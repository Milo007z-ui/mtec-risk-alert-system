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 Rate รายคลัสเตอร์" sheetId="1" state="visible" r:id="rId1"/>
    <sheet xmlns:r="http://schemas.openxmlformats.org/officeDocument/2006/relationships" name="AADT_Pnt_2568 (6 จังหวัด)" sheetId="2" state="visible" r:id="rId2"/>
    <sheet xmlns:r="http://schemas.openxmlformats.org/officeDocument/2006/relationships" name="สูตรและแหล่งข้อมูล" sheetId="3" state="visible" r:id="rId3"/>
  </sheets>
  <definedNames>
    <definedName name="_xlnm._FilterDatabase" localSheetId="0" hidden="1">'Accident Rate รายคลัสเตอร์'!$A$1:$AC$395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  <col width="11" customWidth="1" min="5" max="5"/>
    <col width="15" customWidth="1" min="6" max="6"/>
    <col width="15" customWidth="1" min="7" max="7"/>
    <col width="15" customWidth="1" min="8" max="8"/>
    <col width="40" customWidth="1" min="9" max="9"/>
    <col width="34" customWidth="1" min="10" max="10"/>
    <col width="14" customWidth="1" min="11" max="11"/>
    <col width="13" customWidth="1" min="12" max="12"/>
    <col width="20" customWidth="1" min="13" max="13"/>
    <col width="14" customWidth="1" min="14" max="14"/>
    <col width="14" customWidth="1" min="15" max="15"/>
    <col width="22" customWidth="1" min="16" max="16"/>
    <col width="22" customWidth="1" min="17" max="17"/>
    <col width="10" customWidth="1" min="18" max="18"/>
    <col width="22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21" customWidth="1" min="25" max="25"/>
    <col width="18" customWidth="1" min="26" max="26"/>
    <col width="22" customWidth="1" min="27" max="27"/>
    <col width="22" customWidth="1" min="28" max="28"/>
    <col width="10" customWidth="1" min="29" max="29"/>
  </cols>
  <sheetData>
    <row r="1" ht="48" customHeight="1">
      <c r="A1" s="1" t="inlineStr">
        <is>
          <t>id</t>
        </is>
      </c>
      <c r="B1" s="1" t="inlineStr">
        <is>
          <t>ถนน</t>
        </is>
      </c>
      <c r="C1" s="1" t="inlineStr">
        <is>
          <t>จังหวัด</t>
        </is>
      </c>
      <c r="D1" s="1" t="inlineStr">
        <is>
          <t>ทางหลวง</t>
        </is>
      </c>
      <c r="E1" s="1" t="inlineStr">
        <is>
          <t>ตอนควบคุม</t>
        </is>
      </c>
      <c r="F1" s="1" t="inlineStr">
        <is>
          <t>กม. คลัสเตอร์</t>
        </is>
      </c>
      <c r="G1" s="1" t="inlineStr">
        <is>
          <t>lat คลัสเตอร์</t>
        </is>
      </c>
      <c r="H1" s="1" t="inlineStr">
        <is>
          <t>lon คลัสเตอร์</t>
        </is>
      </c>
      <c r="I1" s="1" t="inlineStr">
        <is>
          <t>FID จุดสำรวจ</t>
        </is>
      </c>
      <c r="J1" s="1" t="inlineStr">
        <is>
          <t>ชื่อตอน (จุดสำรวจ)</t>
        </is>
      </c>
      <c r="K1" s="1" t="inlineStr">
        <is>
          <t>กม. จุดสำรวจ</t>
        </is>
      </c>
      <c r="L1" s="1" t="inlineStr">
        <is>
          <t>ประเภทสถานี</t>
        </is>
      </c>
      <c r="M1" s="1" t="inlineStr">
        <is>
          <t>จำนวนจุดสำรวจในตอน</t>
        </is>
      </c>
      <c r="N1" s="1" t="inlineStr">
        <is>
          <t>lat จุดสำรวจ</t>
        </is>
      </c>
      <c r="O1" s="1" t="inlineStr">
        <is>
          <t>lon จุดสำรวจ</t>
        </is>
      </c>
      <c r="P1" s="1" t="inlineStr">
        <is>
          <t>ระยะคลัสเตอร์–จุดสำรวจ (กม.)</t>
        </is>
      </c>
      <c r="Q1" s="1" t="inlineStr">
        <is>
          <t>A (อุบัติเหตุ 2566–2568)</t>
        </is>
      </c>
      <c r="R1" s="1" t="inlineStr">
        <is>
          <t>T (ปี)</t>
        </is>
      </c>
      <c r="S1" s="1" t="inlineStr">
        <is>
          <t>V = AADT 2568 (คัน/วัน)</t>
        </is>
      </c>
      <c r="T1" s="1" t="inlineStr">
        <is>
          <t>L (กม.)</t>
        </is>
      </c>
      <c r="U1" s="1" t="inlineStr">
        <is>
          <t>เสียชีวิต</t>
        </is>
      </c>
      <c r="V1" s="1" t="inlineStr">
        <is>
          <t>บาดเจ็บ</t>
        </is>
      </c>
      <c r="W1" s="1" t="inlineStr">
        <is>
          <t>SI</t>
        </is>
      </c>
      <c r="X1" s="1" t="inlineStr">
        <is>
          <t>ระดับ SI</t>
        </is>
      </c>
      <c r="Y1" s="2" t="inlineStr">
        <is>
          <t>ตัวตั้ง A×1,000,000</t>
        </is>
      </c>
      <c r="Z1" s="2" t="inlineStr">
        <is>
          <t>ตัวหาร 365×T×V×L</t>
        </is>
      </c>
      <c r="AA1" s="2" t="inlineStr">
        <is>
          <t>R (สมการ 2.2) ครั้ง/ล้านคัน-กม.</t>
        </is>
      </c>
      <c r="AB1" s="2" t="inlineStr">
        <is>
          <t>R (สมการ 2.3) ครั้ง/ล้านคัน</t>
        </is>
      </c>
      <c r="AC1" s="2" t="inlineStr">
        <is>
          <t>อันดับ R</t>
        </is>
      </c>
    </row>
    <row r="2">
      <c r="A2" t="inlineStr">
        <is>
          <t>zone_1</t>
        </is>
      </c>
      <c r="B2" t="inlineStr">
        <is>
          <t>บางแค - คลองมหาสวัสดิ์</t>
        </is>
      </c>
      <c r="C2" t="inlineStr">
        <is>
          <t>กรุงเทพมหานคร</t>
        </is>
      </c>
      <c r="D2" t="n">
        <v>9</v>
      </c>
      <c r="E2" t="inlineStr">
        <is>
          <t>0102</t>
        </is>
      </c>
      <c r="F2" t="inlineStr">
        <is>
          <t>31.1–31.75</t>
        </is>
      </c>
      <c r="G2" t="n">
        <v>13.788179</v>
      </c>
      <c r="H2" t="n">
        <v>100.409883</v>
      </c>
      <c r="I2" t="inlineStr">
        <is>
          <t>hods_aadt_pnt_2568.fid-6461857d_1a0f2643074_49fb</t>
        </is>
      </c>
      <c r="J2" t="inlineStr">
        <is>
          <t>บางแค - คลองมหาสวัสดิ์</t>
        </is>
      </c>
      <c r="K2" t="inlineStr">
        <is>
          <t>20+430</t>
        </is>
      </c>
      <c r="L2" t="inlineStr">
        <is>
          <t>สถานีย่อย (C)</t>
        </is>
      </c>
      <c r="M2" t="n">
        <v>1</v>
      </c>
      <c r="N2" t="n">
        <v>13.680379</v>
      </c>
      <c r="O2" t="n">
        <v>100.406708</v>
      </c>
      <c r="P2" t="n">
        <v>11.99</v>
      </c>
      <c r="Q2" t="n">
        <v>16</v>
      </c>
      <c r="R2" t="n">
        <v>3</v>
      </c>
      <c r="S2" s="3" t="n">
        <v>164129</v>
      </c>
      <c r="T2" t="n">
        <v>1</v>
      </c>
      <c r="U2" t="n">
        <v>0</v>
      </c>
      <c r="V2" t="n">
        <v>10</v>
      </c>
      <c r="W2" t="n">
        <v>0.625</v>
      </c>
      <c r="X2" t="inlineStr">
        <is>
          <t>low</t>
        </is>
      </c>
      <c r="Y2" s="3">
        <f>Q2*1000000</f>
        <v/>
      </c>
      <c r="Z2" s="3">
        <f>365*R2*S2*T2</f>
        <v/>
      </c>
      <c r="AA2" s="4">
        <f>Y2/Z2</f>
        <v/>
      </c>
      <c r="AB2" s="4">
        <f>Q2*1000000/(365*R2*S2)</f>
        <v/>
      </c>
      <c r="AC2">
        <f>RANK(AA2,$AA$2:$AA$395,0)</f>
        <v/>
      </c>
    </row>
    <row r="3">
      <c r="A3" t="inlineStr">
        <is>
          <t>zone_2</t>
        </is>
      </c>
      <c r="B3" t="inlineStr">
        <is>
          <t>บางแค - คลองมหาสวัสดิ์</t>
        </is>
      </c>
      <c r="C3" t="inlineStr">
        <is>
          <t>กรุงเทพมหานคร</t>
        </is>
      </c>
      <c r="D3" t="n">
        <v>9</v>
      </c>
      <c r="E3" t="inlineStr">
        <is>
          <t>0102</t>
        </is>
      </c>
      <c r="F3" t="inlineStr">
        <is>
          <t>23.3–29.15</t>
        </is>
      </c>
      <c r="G3" t="n">
        <v>13.73591</v>
      </c>
      <c r="H3" t="n">
        <v>100.405942</v>
      </c>
      <c r="I3" t="inlineStr">
        <is>
          <t>hods_aadt_pnt_2568.fid-6461857d_1a0f2643074_49fb</t>
        </is>
      </c>
      <c r="J3" t="inlineStr">
        <is>
          <t>บางแค - คลองมหาสวัสดิ์</t>
        </is>
      </c>
      <c r="K3" t="inlineStr">
        <is>
          <t>20+430</t>
        </is>
      </c>
      <c r="L3" t="inlineStr">
        <is>
          <t>สถานีย่อย (C)</t>
        </is>
      </c>
      <c r="M3" t="n">
        <v>1</v>
      </c>
      <c r="N3" t="n">
        <v>13.680379</v>
      </c>
      <c r="O3" t="n">
        <v>100.406708</v>
      </c>
      <c r="P3" t="n">
        <v>6.18</v>
      </c>
      <c r="Q3" t="n">
        <v>122</v>
      </c>
      <c r="R3" t="n">
        <v>3</v>
      </c>
      <c r="S3" s="3" t="n">
        <v>164129</v>
      </c>
      <c r="T3" t="n">
        <v>1</v>
      </c>
      <c r="U3" t="n">
        <v>4</v>
      </c>
      <c r="V3" t="n">
        <v>66</v>
      </c>
      <c r="W3" t="n">
        <v>0.5738</v>
      </c>
      <c r="X3" t="inlineStr">
        <is>
          <t>low</t>
        </is>
      </c>
      <c r="Y3" s="3">
        <f>Q3*1000000</f>
        <v/>
      </c>
      <c r="Z3" s="3">
        <f>365*R3*S3*T3</f>
        <v/>
      </c>
      <c r="AA3" s="4">
        <f>Y3/Z3</f>
        <v/>
      </c>
      <c r="AB3" s="4">
        <f>Q3*1000000/(365*R3*S3)</f>
        <v/>
      </c>
      <c r="AC3">
        <f>RANK(AA3,$AA$2:$AA$395,0)</f>
        <v/>
      </c>
    </row>
    <row r="4">
      <c r="A4" t="inlineStr">
        <is>
          <t>zone_3</t>
        </is>
      </c>
      <c r="B4" t="inlineStr">
        <is>
          <t>บางแค - คลองมหาสวัสดิ์</t>
        </is>
      </c>
      <c r="C4" t="inlineStr">
        <is>
          <t>กรุงเทพมหานคร</t>
        </is>
      </c>
      <c r="D4" t="n">
        <v>9</v>
      </c>
      <c r="E4" t="inlineStr">
        <is>
          <t>0102</t>
        </is>
      </c>
      <c r="F4" t="inlineStr">
        <is>
          <t>28.8–30.997</t>
        </is>
      </c>
      <c r="G4" t="n">
        <v>13.768276</v>
      </c>
      <c r="H4" t="n">
        <v>100.407687</v>
      </c>
      <c r="I4" t="inlineStr">
        <is>
          <t>hods_aadt_pnt_2568.fid-6461857d_1a0f2643074_49fb</t>
        </is>
      </c>
      <c r="J4" t="inlineStr">
        <is>
          <t>บางแค - คลองมหาสวัสดิ์</t>
        </is>
      </c>
      <c r="K4" t="inlineStr">
        <is>
          <t>20+430</t>
        </is>
      </c>
      <c r="L4" t="inlineStr">
        <is>
          <t>สถานีย่อย (C)</t>
        </is>
      </c>
      <c r="M4" t="n">
        <v>1</v>
      </c>
      <c r="N4" t="n">
        <v>13.680379</v>
      </c>
      <c r="O4" t="n">
        <v>100.406708</v>
      </c>
      <c r="P4" t="n">
        <v>9.77</v>
      </c>
      <c r="Q4" t="n">
        <v>56</v>
      </c>
      <c r="R4" t="n">
        <v>3</v>
      </c>
      <c r="S4" s="3" t="n">
        <v>164129</v>
      </c>
      <c r="T4" t="n">
        <v>1</v>
      </c>
      <c r="U4" t="n">
        <v>3</v>
      </c>
      <c r="V4" t="n">
        <v>29</v>
      </c>
      <c r="W4" t="n">
        <v>0.5714</v>
      </c>
      <c r="X4" t="inlineStr">
        <is>
          <t>low</t>
        </is>
      </c>
      <c r="Y4" s="3">
        <f>Q4*1000000</f>
        <v/>
      </c>
      <c r="Z4" s="3">
        <f>365*R4*S4*T4</f>
        <v/>
      </c>
      <c r="AA4" s="4">
        <f>Y4/Z4</f>
        <v/>
      </c>
      <c r="AB4" s="4">
        <f>Q4*1000000/(365*R4*S4)</f>
        <v/>
      </c>
      <c r="AC4">
        <f>RANK(AA4,$AA$2:$AA$395,0)</f>
        <v/>
      </c>
    </row>
    <row r="5">
      <c r="A5" t="inlineStr">
        <is>
          <t>zone_4</t>
        </is>
      </c>
      <c r="B5" t="inlineStr">
        <is>
          <t>บางแค - คลองมหาสวัสดิ์</t>
        </is>
      </c>
      <c r="C5" t="inlineStr">
        <is>
          <t>กรุงเทพมหานคร</t>
        </is>
      </c>
      <c r="D5" t="n">
        <v>3902</v>
      </c>
      <c r="E5" t="inlineStr">
        <is>
          <t>0102</t>
        </is>
      </c>
      <c r="F5" t="inlineStr">
        <is>
          <t>30.056–31.2</t>
        </is>
      </c>
      <c r="G5" t="n">
        <v>13.779019</v>
      </c>
      <c r="H5" t="n">
        <v>100.408752</v>
      </c>
      <c r="I5" t="inlineStr">
        <is>
          <t>hods_aadt_pnt_2568.fid-6461857d_1a0f2643074_5323</t>
        </is>
      </c>
      <c r="J5" t="inlineStr">
        <is>
          <t>บางแค - คลองมหาสวัสดิ์</t>
        </is>
      </c>
      <c r="K5" t="inlineStr">
        <is>
          <t>20+430</t>
        </is>
      </c>
      <c r="L5" t="inlineStr">
        <is>
          <t>สถานีย่อย (C)</t>
        </is>
      </c>
      <c r="M5" t="n">
        <v>1</v>
      </c>
      <c r="N5" t="n">
        <v>13.680386</v>
      </c>
      <c r="O5" t="n">
        <v>100.406817</v>
      </c>
      <c r="P5" t="n">
        <v>10.97</v>
      </c>
      <c r="Q5" t="n">
        <v>25</v>
      </c>
      <c r="R5" t="n">
        <v>3</v>
      </c>
      <c r="S5" s="3" t="n">
        <v>38106</v>
      </c>
      <c r="T5" t="n">
        <v>1</v>
      </c>
      <c r="U5" t="n">
        <v>1</v>
      </c>
      <c r="V5" t="n">
        <v>11</v>
      </c>
      <c r="W5" t="n">
        <v>0.48</v>
      </c>
      <c r="X5" t="inlineStr">
        <is>
          <t>low</t>
        </is>
      </c>
      <c r="Y5" s="3">
        <f>Q5*1000000</f>
        <v/>
      </c>
      <c r="Z5" s="3">
        <f>365*R5*S5*T5</f>
        <v/>
      </c>
      <c r="AA5" s="4">
        <f>Y5/Z5</f>
        <v/>
      </c>
      <c r="AB5" s="4">
        <f>Q5*1000000/(365*R5*S5)</f>
        <v/>
      </c>
      <c r="AC5">
        <f>RANK(AA5,$AA$2:$AA$395,0)</f>
        <v/>
      </c>
    </row>
    <row r="6">
      <c r="A6" t="inlineStr">
        <is>
          <t>zone_5</t>
        </is>
      </c>
      <c r="B6" t="inlineStr">
        <is>
          <t>อรุณอมรินทร์ - พุทธมณฑลสาย 4</t>
        </is>
      </c>
      <c r="C6" t="inlineStr">
        <is>
          <t>กรุงเทพมหานคร</t>
        </is>
      </c>
      <c r="D6" t="n">
        <v>338</v>
      </c>
      <c r="E6" t="inlineStr">
        <is>
          <t>0102</t>
        </is>
      </c>
      <c r="F6" t="inlineStr">
        <is>
          <t>4.18–8.377</t>
        </is>
      </c>
      <c r="G6" t="n">
        <v>13.782445</v>
      </c>
      <c r="H6" t="n">
        <v>100.412717</v>
      </c>
      <c r="I6" t="inlineStr">
        <is>
          <t>hods_aadt_pnt_2568.fid-6461857d_1a0f2643074_4c96</t>
        </is>
      </c>
      <c r="J6" t="inlineStr">
        <is>
          <t>ทางยกระดับบางกอกน้อย - นครชัยศรี</t>
        </is>
      </c>
      <c r="K6" t="inlineStr">
        <is>
          <t>2+164</t>
        </is>
      </c>
      <c r="L6" t="inlineStr">
        <is>
          <t>สถานีย่อย (C)</t>
        </is>
      </c>
      <c r="M6" t="n">
        <v>2</v>
      </c>
      <c r="N6" t="n">
        <v>13.780577</v>
      </c>
      <c r="O6" t="n">
        <v>100.432289</v>
      </c>
      <c r="P6" t="n">
        <v>2.12</v>
      </c>
      <c r="Q6" t="n">
        <v>114</v>
      </c>
      <c r="R6" t="n">
        <v>3</v>
      </c>
      <c r="S6" s="3" t="n">
        <v>69899</v>
      </c>
      <c r="T6" t="n">
        <v>1</v>
      </c>
      <c r="U6" t="n">
        <v>3</v>
      </c>
      <c r="V6" t="n">
        <v>77</v>
      </c>
      <c r="W6" t="n">
        <v>0.7018</v>
      </c>
      <c r="X6" t="inlineStr">
        <is>
          <t>low</t>
        </is>
      </c>
      <c r="Y6" s="3">
        <f>Q6*1000000</f>
        <v/>
      </c>
      <c r="Z6" s="3">
        <f>365*R6*S6*T6</f>
        <v/>
      </c>
      <c r="AA6" s="4">
        <f>Y6/Z6</f>
        <v/>
      </c>
      <c r="AB6" s="4">
        <f>Q6*1000000/(365*R6*S6)</f>
        <v/>
      </c>
      <c r="AC6">
        <f>RANK(AA6,$AA$2:$AA$395,0)</f>
        <v/>
      </c>
    </row>
    <row r="7">
      <c r="A7" t="inlineStr">
        <is>
          <t>zone_6</t>
        </is>
      </c>
      <c r="B7" t="inlineStr">
        <is>
          <t>อรุณอมรินทร์ - พุทธมณฑลสาย 4</t>
        </is>
      </c>
      <c r="C7" t="inlineStr">
        <is>
          <t>กรุงเทพมหานคร</t>
        </is>
      </c>
      <c r="D7" t="n">
        <v>338</v>
      </c>
      <c r="E7" t="inlineStr">
        <is>
          <t>0101</t>
        </is>
      </c>
      <c r="F7" t="inlineStr">
        <is>
          <t>10.59–12.55</t>
        </is>
      </c>
      <c r="G7" t="n">
        <v>13.787295</v>
      </c>
      <c r="H7" t="n">
        <v>100.36664</v>
      </c>
      <c r="I7" t="inlineStr">
        <is>
          <t>hods_aadt_pnt_2568.fid-6461857d_1a0f2643074_4c95</t>
        </is>
      </c>
      <c r="J7" t="inlineStr">
        <is>
          <t>อรุณอมรินทร์ - พุทธมณฑลสาย4</t>
        </is>
      </c>
      <c r="K7" t="inlineStr">
        <is>
          <t>9+281</t>
        </is>
      </c>
      <c r="L7" t="inlineStr">
        <is>
          <t>สถานีย่อย (C)</t>
        </is>
      </c>
      <c r="M7" t="n">
        <v>2</v>
      </c>
      <c r="N7" t="n">
        <v>13.78557</v>
      </c>
      <c r="O7" t="n">
        <v>100.386882</v>
      </c>
      <c r="P7" t="n">
        <v>2.19</v>
      </c>
      <c r="Q7" t="n">
        <v>94</v>
      </c>
      <c r="R7" t="n">
        <v>3</v>
      </c>
      <c r="S7" s="3" t="n">
        <v>145895</v>
      </c>
      <c r="T7" t="n">
        <v>1</v>
      </c>
      <c r="U7" t="n">
        <v>0</v>
      </c>
      <c r="V7" t="n">
        <v>51</v>
      </c>
      <c r="W7" t="n">
        <v>0.5426</v>
      </c>
      <c r="X7" t="inlineStr">
        <is>
          <t>low</t>
        </is>
      </c>
      <c r="Y7" s="3">
        <f>Q7*1000000</f>
        <v/>
      </c>
      <c r="Z7" s="3">
        <f>365*R7*S7*T7</f>
        <v/>
      </c>
      <c r="AA7" s="4">
        <f>Y7/Z7</f>
        <v/>
      </c>
      <c r="AB7" s="4">
        <f>Q7*1000000/(365*R7*S7)</f>
        <v/>
      </c>
      <c r="AC7">
        <f>RANK(AA7,$AA$2:$AA$395,0)</f>
        <v/>
      </c>
    </row>
    <row r="8">
      <c r="A8" t="inlineStr">
        <is>
          <t>zone_7</t>
        </is>
      </c>
      <c r="B8" t="inlineStr">
        <is>
          <t>อรุณอมรินทร์ - พุทธมณฑลสาย 4</t>
        </is>
      </c>
      <c r="C8" t="inlineStr">
        <is>
          <t>กรุงเทพมหานคร</t>
        </is>
      </c>
      <c r="D8" t="n">
        <v>338</v>
      </c>
      <c r="E8" t="inlineStr">
        <is>
          <t>0101</t>
        </is>
      </c>
      <c r="F8" t="inlineStr">
        <is>
          <t>0.05–1.23</t>
        </is>
      </c>
      <c r="G8" t="n">
        <v>13.786276</v>
      </c>
      <c r="H8" t="n">
        <v>100.46417</v>
      </c>
      <c r="I8" t="inlineStr">
        <is>
          <t>hods_aadt_pnt_2568.fid-6461857d_1a0f2643074_4c95</t>
        </is>
      </c>
      <c r="J8" t="inlineStr">
        <is>
          <t>อรุณอมรินทร์ - พุทธมณฑลสาย4</t>
        </is>
      </c>
      <c r="K8" t="inlineStr">
        <is>
          <t>9+281</t>
        </is>
      </c>
      <c r="L8" t="inlineStr">
        <is>
          <t>สถานีย่อย (C)</t>
        </is>
      </c>
      <c r="M8" t="n">
        <v>2</v>
      </c>
      <c r="N8" t="n">
        <v>13.78557</v>
      </c>
      <c r="O8" t="n">
        <v>100.386882</v>
      </c>
      <c r="P8" t="n">
        <v>8.35</v>
      </c>
      <c r="Q8" t="n">
        <v>25</v>
      </c>
      <c r="R8" t="n">
        <v>3</v>
      </c>
      <c r="S8" s="3" t="n">
        <v>145895</v>
      </c>
      <c r="T8" t="n">
        <v>1</v>
      </c>
      <c r="U8" t="n">
        <v>1</v>
      </c>
      <c r="V8" t="n">
        <v>15</v>
      </c>
      <c r="W8" t="n">
        <v>0.64</v>
      </c>
      <c r="X8" t="inlineStr">
        <is>
          <t>low</t>
        </is>
      </c>
      <c r="Y8" s="3">
        <f>Q8*1000000</f>
        <v/>
      </c>
      <c r="Z8" s="3">
        <f>365*R8*S8*T8</f>
        <v/>
      </c>
      <c r="AA8" s="4">
        <f>Y8/Z8</f>
        <v/>
      </c>
      <c r="AB8" s="4">
        <f>Q8*1000000/(365*R8*S8)</f>
        <v/>
      </c>
      <c r="AC8">
        <f>RANK(AA8,$AA$2:$AA$395,0)</f>
        <v/>
      </c>
    </row>
    <row r="9">
      <c r="A9" t="inlineStr">
        <is>
          <t>zone_8</t>
        </is>
      </c>
      <c r="B9" t="inlineStr">
        <is>
          <t>อรุณอมรินทร์ - พุทธมณฑลสาย 4</t>
        </is>
      </c>
      <c r="C9" t="inlineStr">
        <is>
          <t>กรุงเทพมหานคร</t>
        </is>
      </c>
      <c r="D9" t="n">
        <v>338</v>
      </c>
      <c r="E9" t="inlineStr">
        <is>
          <t>0102</t>
        </is>
      </c>
      <c r="F9" t="inlineStr">
        <is>
          <t>2.455–3.372</t>
        </is>
      </c>
      <c r="G9" t="n">
        <v>13.780583</v>
      </c>
      <c r="H9" t="n">
        <v>100.444894</v>
      </c>
      <c r="I9" t="inlineStr">
        <is>
          <t>hods_aadt_pnt_2568.fid-6461857d_1a0f2643074_4c96</t>
        </is>
      </c>
      <c r="J9" t="inlineStr">
        <is>
          <t>ทางยกระดับบางกอกน้อย - นครชัยศรี</t>
        </is>
      </c>
      <c r="K9" t="inlineStr">
        <is>
          <t>2+164</t>
        </is>
      </c>
      <c r="L9" t="inlineStr">
        <is>
          <t>สถานีย่อย (C)</t>
        </is>
      </c>
      <c r="M9" t="n">
        <v>2</v>
      </c>
      <c r="N9" t="n">
        <v>13.780577</v>
      </c>
      <c r="O9" t="n">
        <v>100.432289</v>
      </c>
      <c r="P9" t="n">
        <v>1.36</v>
      </c>
      <c r="Q9" t="n">
        <v>35</v>
      </c>
      <c r="R9" t="n">
        <v>3</v>
      </c>
      <c r="S9" s="3" t="n">
        <v>69899</v>
      </c>
      <c r="T9" t="n">
        <v>1</v>
      </c>
      <c r="U9" t="n">
        <v>0</v>
      </c>
      <c r="V9" t="n">
        <v>10</v>
      </c>
      <c r="W9" t="n">
        <v>0.2857</v>
      </c>
      <c r="X9" t="inlineStr">
        <is>
          <t>low</t>
        </is>
      </c>
      <c r="Y9" s="3">
        <f>Q9*1000000</f>
        <v/>
      </c>
      <c r="Z9" s="3">
        <f>365*R9*S9*T9</f>
        <v/>
      </c>
      <c r="AA9" s="4">
        <f>Y9/Z9</f>
        <v/>
      </c>
      <c r="AB9" s="4">
        <f>Q9*1000000/(365*R9*S9)</f>
        <v/>
      </c>
      <c r="AC9">
        <f>RANK(AA9,$AA$2:$AA$395,0)</f>
        <v/>
      </c>
    </row>
    <row r="10">
      <c r="A10" t="inlineStr">
        <is>
          <t>zone_9</t>
        </is>
      </c>
      <c r="B10" t="inlineStr">
        <is>
          <t>อรุณอมรินทร์ - พุทธมณฑลสาย 4</t>
        </is>
      </c>
      <c r="C10" t="inlineStr">
        <is>
          <t>กรุงเทพมหานคร</t>
        </is>
      </c>
      <c r="D10" t="n">
        <v>338</v>
      </c>
      <c r="E10" t="inlineStr">
        <is>
          <t>0101</t>
        </is>
      </c>
      <c r="F10" t="inlineStr">
        <is>
          <t>8.29–10.305</t>
        </is>
      </c>
      <c r="G10" t="n">
        <v>13.785238</v>
      </c>
      <c r="H10" t="n">
        <v>100.385295</v>
      </c>
      <c r="I10" t="inlineStr">
        <is>
          <t>hods_aadt_pnt_2568.fid-6461857d_1a0f2643074_4c95</t>
        </is>
      </c>
      <c r="J10" t="inlineStr">
        <is>
          <t>อรุณอมรินทร์ - พุทธมณฑลสาย4</t>
        </is>
      </c>
      <c r="K10" t="inlineStr">
        <is>
          <t>9+281</t>
        </is>
      </c>
      <c r="L10" t="inlineStr">
        <is>
          <t>สถานีย่อย (C)</t>
        </is>
      </c>
      <c r="M10" t="n">
        <v>2</v>
      </c>
      <c r="N10" t="n">
        <v>13.78557</v>
      </c>
      <c r="O10" t="n">
        <v>100.386882</v>
      </c>
      <c r="P10" t="n">
        <v>0.18</v>
      </c>
      <c r="Q10" t="n">
        <v>43</v>
      </c>
      <c r="R10" t="n">
        <v>3</v>
      </c>
      <c r="S10" s="3" t="n">
        <v>145895</v>
      </c>
      <c r="T10" t="n">
        <v>1</v>
      </c>
      <c r="U10" t="n">
        <v>1</v>
      </c>
      <c r="V10" t="n">
        <v>19</v>
      </c>
      <c r="W10" t="n">
        <v>0.4651</v>
      </c>
      <c r="X10" t="inlineStr">
        <is>
          <t>low</t>
        </is>
      </c>
      <c r="Y10" s="3">
        <f>Q10*1000000</f>
        <v/>
      </c>
      <c r="Z10" s="3">
        <f>365*R10*S10*T10</f>
        <v/>
      </c>
      <c r="AA10" s="4">
        <f>Y10/Z10</f>
        <v/>
      </c>
      <c r="AB10" s="4">
        <f>Q10*1000000/(365*R10*S10)</f>
        <v/>
      </c>
      <c r="AC10">
        <f>RANK(AA10,$AA$2:$AA$395,0)</f>
        <v/>
      </c>
    </row>
    <row r="11">
      <c r="A11" t="inlineStr">
        <is>
          <t>zone_10</t>
        </is>
      </c>
      <c r="B11" t="inlineStr">
        <is>
          <t>อรุณอมรินทร์ - พุทธมณฑลสาย 4</t>
        </is>
      </c>
      <c r="C11" t="inlineStr">
        <is>
          <t>กรุงเทพมหานคร</t>
        </is>
      </c>
      <c r="D11" t="n">
        <v>338</v>
      </c>
      <c r="E11" t="inlineStr">
        <is>
          <t>0102</t>
        </is>
      </c>
      <c r="F11" t="inlineStr">
        <is>
          <t>1.958–2.2</t>
        </is>
      </c>
      <c r="G11" t="n">
        <v>13.782969</v>
      </c>
      <c r="H11" t="n">
        <v>100.452513</v>
      </c>
      <c r="I11" t="inlineStr">
        <is>
          <t>hods_aadt_pnt_2568.fid-6461857d_1a0f2643074_4c96</t>
        </is>
      </c>
      <c r="J11" t="inlineStr">
        <is>
          <t>ทางยกระดับบางกอกน้อย - นครชัยศรี</t>
        </is>
      </c>
      <c r="K11" t="inlineStr">
        <is>
          <t>2+164</t>
        </is>
      </c>
      <c r="L11" t="inlineStr">
        <is>
          <t>สถานีย่อย (C)</t>
        </is>
      </c>
      <c r="M11" t="n">
        <v>2</v>
      </c>
      <c r="N11" t="n">
        <v>13.780577</v>
      </c>
      <c r="O11" t="n">
        <v>100.432289</v>
      </c>
      <c r="P11" t="n">
        <v>2.2</v>
      </c>
      <c r="Q11" t="n">
        <v>8</v>
      </c>
      <c r="R11" t="n">
        <v>3</v>
      </c>
      <c r="S11" s="3" t="n">
        <v>69899</v>
      </c>
      <c r="T11" t="n">
        <v>1</v>
      </c>
      <c r="U11" t="n">
        <v>0</v>
      </c>
      <c r="V11" t="n">
        <v>4</v>
      </c>
      <c r="W11" t="n">
        <v>0.5</v>
      </c>
      <c r="X11" t="inlineStr">
        <is>
          <t>low</t>
        </is>
      </c>
      <c r="Y11" s="3">
        <f>Q11*1000000</f>
        <v/>
      </c>
      <c r="Z11" s="3">
        <f>365*R11*S11*T11</f>
        <v/>
      </c>
      <c r="AA11" s="4">
        <f>Y11/Z11</f>
        <v/>
      </c>
      <c r="AB11" s="4">
        <f>Q11*1000000/(365*R11*S11)</f>
        <v/>
      </c>
      <c r="AC11">
        <f>RANK(AA11,$AA$2:$AA$395,0)</f>
        <v/>
      </c>
    </row>
    <row r="12">
      <c r="A12" t="inlineStr">
        <is>
          <t>zone_11</t>
        </is>
      </c>
      <c r="B12" t="inlineStr">
        <is>
          <t>อรุณอมรินทร์ - พุทธมณฑลสาย 4</t>
        </is>
      </c>
      <c r="C12" t="inlineStr">
        <is>
          <t>กรุงเทพมหานคร</t>
        </is>
      </c>
      <c r="D12" t="n">
        <v>338</v>
      </c>
      <c r="E12" t="inlineStr">
        <is>
          <t>0101</t>
        </is>
      </c>
      <c r="F12" t="inlineStr">
        <is>
          <t>13.29–13.45</t>
        </is>
      </c>
      <c r="G12" t="n">
        <v>13.788534</v>
      </c>
      <c r="H12" t="n">
        <v>100.349488</v>
      </c>
      <c r="I12" t="inlineStr">
        <is>
          <t>hods_aadt_pnt_2568.fid-6461857d_1a0f2643074_4c95</t>
        </is>
      </c>
      <c r="J12" t="inlineStr">
        <is>
          <t>อรุณอมรินทร์ - พุทธมณฑลสาย4</t>
        </is>
      </c>
      <c r="K12" t="inlineStr">
        <is>
          <t>9+281</t>
        </is>
      </c>
      <c r="L12" t="inlineStr">
        <is>
          <t>สถานีย่อย (C)</t>
        </is>
      </c>
      <c r="M12" t="n">
        <v>2</v>
      </c>
      <c r="N12" t="n">
        <v>13.78557</v>
      </c>
      <c r="O12" t="n">
        <v>100.386882</v>
      </c>
      <c r="P12" t="n">
        <v>4.05</v>
      </c>
      <c r="Q12" t="n">
        <v>8</v>
      </c>
      <c r="R12" t="n">
        <v>3</v>
      </c>
      <c r="S12" s="3" t="n">
        <v>145895</v>
      </c>
      <c r="T12" t="n">
        <v>1</v>
      </c>
      <c r="U12" t="n">
        <v>0</v>
      </c>
      <c r="V12" t="n">
        <v>1</v>
      </c>
      <c r="W12" t="n">
        <v>0.125</v>
      </c>
      <c r="X12" t="inlineStr">
        <is>
          <t>low</t>
        </is>
      </c>
      <c r="Y12" s="3">
        <f>Q12*1000000</f>
        <v/>
      </c>
      <c r="Z12" s="3">
        <f>365*R12*S12*T12</f>
        <v/>
      </c>
      <c r="AA12" s="4">
        <f>Y12/Z12</f>
        <v/>
      </c>
      <c r="AB12" s="4">
        <f>Q12*1000000/(365*R12*S12)</f>
        <v/>
      </c>
      <c r="AC12">
        <f>RANK(AA12,$AA$2:$AA$395,0)</f>
        <v/>
      </c>
    </row>
    <row r="13">
      <c r="A13" t="inlineStr">
        <is>
          <t>zone_12</t>
        </is>
      </c>
      <c r="B13" t="inlineStr">
        <is>
          <t>อรุณอมรินทร์ - พุทธมณฑลสาย 4</t>
        </is>
      </c>
      <c r="C13" t="inlineStr">
        <is>
          <t>กรุงเทพมหานคร</t>
        </is>
      </c>
      <c r="D13" t="n">
        <v>338</v>
      </c>
      <c r="E13" t="inlineStr">
        <is>
          <t>0101</t>
        </is>
      </c>
      <c r="F13" t="inlineStr">
        <is>
          <t>14.5–15</t>
        </is>
      </c>
      <c r="G13" t="n">
        <v>13.787797</v>
      </c>
      <c r="H13" t="n">
        <v>100.336781</v>
      </c>
      <c r="I13" t="inlineStr">
        <is>
          <t>hods_aadt_pnt_2568.fid-6461857d_1a0f2643074_4c95</t>
        </is>
      </c>
      <c r="J13" t="inlineStr">
        <is>
          <t>อรุณอมรินทร์ - พุทธมณฑลสาย4</t>
        </is>
      </c>
      <c r="K13" t="inlineStr">
        <is>
          <t>9+281</t>
        </is>
      </c>
      <c r="L13" t="inlineStr">
        <is>
          <t>สถานีย่อย (C)</t>
        </is>
      </c>
      <c r="M13" t="n">
        <v>2</v>
      </c>
      <c r="N13" t="n">
        <v>13.78557</v>
      </c>
      <c r="O13" t="n">
        <v>100.386882</v>
      </c>
      <c r="P13" t="n">
        <v>5.42</v>
      </c>
      <c r="Q13" t="n">
        <v>18</v>
      </c>
      <c r="R13" t="n">
        <v>3</v>
      </c>
      <c r="S13" s="3" t="n">
        <v>145895</v>
      </c>
      <c r="T13" t="n">
        <v>1</v>
      </c>
      <c r="U13" t="n">
        <v>0</v>
      </c>
      <c r="V13" t="n">
        <v>14</v>
      </c>
      <c r="W13" t="n">
        <v>0.7778</v>
      </c>
      <c r="X13" t="inlineStr">
        <is>
          <t>low</t>
        </is>
      </c>
      <c r="Y13" s="3">
        <f>Q13*1000000</f>
        <v/>
      </c>
      <c r="Z13" s="3">
        <f>365*R13*S13*T13</f>
        <v/>
      </c>
      <c r="AA13" s="4">
        <f>Y13/Z13</f>
        <v/>
      </c>
      <c r="AB13" s="4">
        <f>Q13*1000000/(365*R13*S13)</f>
        <v/>
      </c>
      <c r="AC13">
        <f>RANK(AA13,$AA$2:$AA$395,0)</f>
        <v/>
      </c>
    </row>
    <row r="14">
      <c r="A14" t="inlineStr">
        <is>
          <t>zone_13</t>
        </is>
      </c>
      <c r="B14" t="inlineStr">
        <is>
          <t>อรุณอมรินทร์ - พุทธมณฑลสาย 4</t>
        </is>
      </c>
      <c r="C14" t="inlineStr">
        <is>
          <t>กรุงเทพมหานคร</t>
        </is>
      </c>
      <c r="D14" t="n">
        <v>338</v>
      </c>
      <c r="E14" t="inlineStr">
        <is>
          <t>0101</t>
        </is>
      </c>
      <c r="F14" t="inlineStr">
        <is>
          <t>13.84–14.32</t>
        </is>
      </c>
      <c r="G14" t="n">
        <v>13.788287</v>
      </c>
      <c r="H14" t="n">
        <v>100.342726</v>
      </c>
      <c r="I14" t="inlineStr">
        <is>
          <t>hods_aadt_pnt_2568.fid-6461857d_1a0f2643074_4c95</t>
        </is>
      </c>
      <c r="J14" t="inlineStr">
        <is>
          <t>อรุณอมรินทร์ - พุทธมณฑลสาย4</t>
        </is>
      </c>
      <c r="K14" t="inlineStr">
        <is>
          <t>9+281</t>
        </is>
      </c>
      <c r="L14" t="inlineStr">
        <is>
          <t>สถานีย่อย (C)</t>
        </is>
      </c>
      <c r="M14" t="n">
        <v>2</v>
      </c>
      <c r="N14" t="n">
        <v>13.78557</v>
      </c>
      <c r="O14" t="n">
        <v>100.386882</v>
      </c>
      <c r="P14" t="n">
        <v>4.78</v>
      </c>
      <c r="Q14" t="n">
        <v>15</v>
      </c>
      <c r="R14" t="n">
        <v>3</v>
      </c>
      <c r="S14" s="3" t="n">
        <v>145895</v>
      </c>
      <c r="T14" t="n">
        <v>1</v>
      </c>
      <c r="U14" t="n">
        <v>0</v>
      </c>
      <c r="V14" t="n">
        <v>6</v>
      </c>
      <c r="W14" t="n">
        <v>0.4</v>
      </c>
      <c r="X14" t="inlineStr">
        <is>
          <t>low</t>
        </is>
      </c>
      <c r="Y14" s="3">
        <f>Q14*1000000</f>
        <v/>
      </c>
      <c r="Z14" s="3">
        <f>365*R14*S14*T14</f>
        <v/>
      </c>
      <c r="AA14" s="4">
        <f>Y14/Z14</f>
        <v/>
      </c>
      <c r="AB14" s="4">
        <f>Q14*1000000/(365*R14*S14)</f>
        <v/>
      </c>
      <c r="AC14">
        <f>RANK(AA14,$AA$2:$AA$395,0)</f>
        <v/>
      </c>
    </row>
    <row r="15">
      <c r="A15" t="inlineStr">
        <is>
          <t>zone_14</t>
        </is>
      </c>
      <c r="B15" t="inlineStr">
        <is>
          <t>อรุณอมรินทร์ - พุทธมณฑลสาย 4</t>
        </is>
      </c>
      <c r="C15" t="inlineStr">
        <is>
          <t>กรุงเทพมหานคร</t>
        </is>
      </c>
      <c r="D15" t="n">
        <v>338</v>
      </c>
      <c r="E15" t="inlineStr">
        <is>
          <t>0101</t>
        </is>
      </c>
      <c r="F15" t="inlineStr">
        <is>
          <t>3.58–3.9</t>
        </is>
      </c>
      <c r="G15" t="n">
        <v>13.780258</v>
      </c>
      <c r="H15" t="n">
        <v>100.437961</v>
      </c>
      <c r="I15" t="inlineStr">
        <is>
          <t>hods_aadt_pnt_2568.fid-6461857d_1a0f2643074_4c95</t>
        </is>
      </c>
      <c r="J15" t="inlineStr">
        <is>
          <t>อรุณอมรินทร์ - พุทธมณฑลสาย4</t>
        </is>
      </c>
      <c r="K15" t="inlineStr">
        <is>
          <t>9+281</t>
        </is>
      </c>
      <c r="L15" t="inlineStr">
        <is>
          <t>สถานีย่อย (C)</t>
        </is>
      </c>
      <c r="M15" t="n">
        <v>2</v>
      </c>
      <c r="N15" t="n">
        <v>13.78557</v>
      </c>
      <c r="O15" t="n">
        <v>100.386882</v>
      </c>
      <c r="P15" t="n">
        <v>5.55</v>
      </c>
      <c r="Q15" t="n">
        <v>8</v>
      </c>
      <c r="R15" t="n">
        <v>3</v>
      </c>
      <c r="S15" s="3" t="n">
        <v>145895</v>
      </c>
      <c r="T15" t="n">
        <v>1</v>
      </c>
      <c r="U15" t="n">
        <v>0</v>
      </c>
      <c r="V15" t="n">
        <v>2</v>
      </c>
      <c r="W15" t="n">
        <v>0.25</v>
      </c>
      <c r="X15" t="inlineStr">
        <is>
          <t>low</t>
        </is>
      </c>
      <c r="Y15" s="3">
        <f>Q15*1000000</f>
        <v/>
      </c>
      <c r="Z15" s="3">
        <f>365*R15*S15*T15</f>
        <v/>
      </c>
      <c r="AA15" s="4">
        <f>Y15/Z15</f>
        <v/>
      </c>
      <c r="AB15" s="4">
        <f>Q15*1000000/(365*R15*S15)</f>
        <v/>
      </c>
      <c r="AC15">
        <f>RANK(AA15,$AA$2:$AA$395,0)</f>
        <v/>
      </c>
    </row>
    <row r="16">
      <c r="A16" t="inlineStr">
        <is>
          <t>zone_15</t>
        </is>
      </c>
      <c r="B16" t="inlineStr">
        <is>
          <t>อรุณอมรินทร์ - พุทธมณฑลสาย 4</t>
        </is>
      </c>
      <c r="C16" t="inlineStr">
        <is>
          <t>กรุงเทพมหานคร</t>
        </is>
      </c>
      <c r="D16" t="n">
        <v>338</v>
      </c>
      <c r="E16" t="inlineStr">
        <is>
          <t>0102</t>
        </is>
      </c>
      <c r="F16" t="inlineStr">
        <is>
          <t>1.49–1.715</t>
        </is>
      </c>
      <c r="G16" t="n">
        <v>13.783963</v>
      </c>
      <c r="H16" t="n">
        <v>100.455828</v>
      </c>
      <c r="I16" t="inlineStr">
        <is>
          <t>hods_aadt_pnt_2568.fid-6461857d_1a0f2643074_4c96</t>
        </is>
      </c>
      <c r="J16" t="inlineStr">
        <is>
          <t>ทางยกระดับบางกอกน้อย - นครชัยศรี</t>
        </is>
      </c>
      <c r="K16" t="inlineStr">
        <is>
          <t>2+164</t>
        </is>
      </c>
      <c r="L16" t="inlineStr">
        <is>
          <t>สถานีย่อย (C)</t>
        </is>
      </c>
      <c r="M16" t="n">
        <v>2</v>
      </c>
      <c r="N16" t="n">
        <v>13.780577</v>
      </c>
      <c r="O16" t="n">
        <v>100.432289</v>
      </c>
      <c r="P16" t="n">
        <v>2.57</v>
      </c>
      <c r="Q16" t="n">
        <v>11</v>
      </c>
      <c r="R16" t="n">
        <v>3</v>
      </c>
      <c r="S16" s="3" t="n">
        <v>69899</v>
      </c>
      <c r="T16" t="n">
        <v>1</v>
      </c>
      <c r="U16" t="n">
        <v>0</v>
      </c>
      <c r="V16" t="n">
        <v>6</v>
      </c>
      <c r="W16" t="n">
        <v>0.5455</v>
      </c>
      <c r="X16" t="inlineStr">
        <is>
          <t>low</t>
        </is>
      </c>
      <c r="Y16" s="3">
        <f>Q16*1000000</f>
        <v/>
      </c>
      <c r="Z16" s="3">
        <f>365*R16*S16*T16</f>
        <v/>
      </c>
      <c r="AA16" s="4">
        <f>Y16/Z16</f>
        <v/>
      </c>
      <c r="AB16" s="4">
        <f>Q16*1000000/(365*R16*S16)</f>
        <v/>
      </c>
      <c r="AC16">
        <f>RANK(AA16,$AA$2:$AA$395,0)</f>
        <v/>
      </c>
    </row>
    <row r="17">
      <c r="A17" t="inlineStr">
        <is>
          <t>zone_16</t>
        </is>
      </c>
      <c r="B17" t="inlineStr">
        <is>
          <t>อรุณอมรินทร์ - พุทธมณฑลสาย4</t>
        </is>
      </c>
      <c r="C17" t="inlineStr">
        <is>
          <t>กรุงเทพมหานคร</t>
        </is>
      </c>
      <c r="D17" t="n">
        <v>338</v>
      </c>
      <c r="E17" t="inlineStr">
        <is>
          <t>0102</t>
        </is>
      </c>
      <c r="F17" t="inlineStr">
        <is>
          <t>0.01–15.1</t>
        </is>
      </c>
      <c r="G17" t="n">
        <v>13.784491</v>
      </c>
      <c r="H17" t="n">
        <v>100.396776</v>
      </c>
      <c r="I17" t="inlineStr">
        <is>
          <t>hods_aadt_pnt_2568.fid-6461857d_1a0f2643074_4c96</t>
        </is>
      </c>
      <c r="J17" t="inlineStr">
        <is>
          <t>ทางยกระดับบางกอกน้อย - นครชัยศรี</t>
        </is>
      </c>
      <c r="K17" t="inlineStr">
        <is>
          <t>2+164</t>
        </is>
      </c>
      <c r="L17" t="inlineStr">
        <is>
          <t>สถานีย่อย (C)</t>
        </is>
      </c>
      <c r="M17" t="n">
        <v>2</v>
      </c>
      <c r="N17" t="n">
        <v>13.780577</v>
      </c>
      <c r="O17" t="n">
        <v>100.432289</v>
      </c>
      <c r="P17" t="n">
        <v>3.86</v>
      </c>
      <c r="Q17" t="n">
        <v>918</v>
      </c>
      <c r="R17" t="n">
        <v>3</v>
      </c>
      <c r="S17" s="3" t="n">
        <v>69899</v>
      </c>
      <c r="T17" t="n">
        <v>1</v>
      </c>
      <c r="U17" t="n">
        <v>18</v>
      </c>
      <c r="V17" t="n">
        <v>607</v>
      </c>
      <c r="W17" t="n">
        <v>0.6808</v>
      </c>
      <c r="X17" t="inlineStr">
        <is>
          <t>low</t>
        </is>
      </c>
      <c r="Y17" s="3">
        <f>Q17*1000000</f>
        <v/>
      </c>
      <c r="Z17" s="3">
        <f>365*R17*S17*T17</f>
        <v/>
      </c>
      <c r="AA17" s="4">
        <f>Y17/Z17</f>
        <v/>
      </c>
      <c r="AB17" s="4">
        <f>Q17*1000000/(365*R17*S17)</f>
        <v/>
      </c>
      <c r="AC17">
        <f>RANK(AA17,$AA$2:$AA$395,0)</f>
        <v/>
      </c>
    </row>
    <row r="18">
      <c r="A18" t="inlineStr">
        <is>
          <t>zone_17</t>
        </is>
      </c>
      <c r="B18" t="inlineStr">
        <is>
          <t>อรุณอมรินทร์ - พุทธมณฑลสาย 4</t>
        </is>
      </c>
      <c r="C18" t="inlineStr">
        <is>
          <t>กรุงเทพมหานคร</t>
        </is>
      </c>
      <c r="D18" t="n">
        <v>338</v>
      </c>
      <c r="E18" t="inlineStr">
        <is>
          <t>0102</t>
        </is>
      </c>
      <c r="F18" t="inlineStr">
        <is>
          <t>7.038–8.4</t>
        </is>
      </c>
      <c r="G18" t="n">
        <v>13.783829</v>
      </c>
      <c r="H18" t="n">
        <v>100.400638</v>
      </c>
      <c r="I18" t="inlineStr">
        <is>
          <t>hods_aadt_pnt_2568.fid-6461857d_1a0f2643074_4c96</t>
        </is>
      </c>
      <c r="J18" t="inlineStr">
        <is>
          <t>ทางยกระดับบางกอกน้อย - นครชัยศรี</t>
        </is>
      </c>
      <c r="K18" t="inlineStr">
        <is>
          <t>2+164</t>
        </is>
      </c>
      <c r="L18" t="inlineStr">
        <is>
          <t>สถานีย่อย (C)</t>
        </is>
      </c>
      <c r="M18" t="n">
        <v>2</v>
      </c>
      <c r="N18" t="n">
        <v>13.780577</v>
      </c>
      <c r="O18" t="n">
        <v>100.432289</v>
      </c>
      <c r="P18" t="n">
        <v>3.44</v>
      </c>
      <c r="Q18" t="n">
        <v>72</v>
      </c>
      <c r="R18" t="n">
        <v>3</v>
      </c>
      <c r="S18" s="3" t="n">
        <v>69899</v>
      </c>
      <c r="T18" t="n">
        <v>1</v>
      </c>
      <c r="U18" t="n">
        <v>0</v>
      </c>
      <c r="V18" t="n">
        <v>40</v>
      </c>
      <c r="W18" t="n">
        <v>0.5556</v>
      </c>
      <c r="X18" t="inlineStr">
        <is>
          <t>low</t>
        </is>
      </c>
      <c r="Y18" s="3">
        <f>Q18*1000000</f>
        <v/>
      </c>
      <c r="Z18" s="3">
        <f>365*R18*S18*T18</f>
        <v/>
      </c>
      <c r="AA18" s="4">
        <f>Y18/Z18</f>
        <v/>
      </c>
      <c r="AB18" s="4">
        <f>Q18*1000000/(365*R18*S18)</f>
        <v/>
      </c>
      <c r="AC18">
        <f>RANK(AA18,$AA$2:$AA$395,0)</f>
        <v/>
      </c>
    </row>
    <row r="19">
      <c r="A19" t="inlineStr">
        <is>
          <t>zone_18</t>
        </is>
      </c>
      <c r="B19" t="inlineStr">
        <is>
          <t>บางแค - คลองมหาสวัสดิ์</t>
        </is>
      </c>
      <c r="C19" t="inlineStr">
        <is>
          <t>กรุงเทพมหานคร</t>
        </is>
      </c>
      <c r="D19" t="n">
        <v>9</v>
      </c>
      <c r="E19" t="inlineStr">
        <is>
          <t>0102</t>
        </is>
      </c>
      <c r="F19" t="inlineStr">
        <is>
          <t>30.056–31.7</t>
        </is>
      </c>
      <c r="G19" t="n">
        <v>13.787243</v>
      </c>
      <c r="H19" t="n">
        <v>100.409651</v>
      </c>
      <c r="I19" t="inlineStr">
        <is>
          <t>hods_aadt_pnt_2568.fid-6461857d_1a0f2643074_49fb</t>
        </is>
      </c>
      <c r="J19" t="inlineStr">
        <is>
          <t>บางแค - คลองมหาสวัสดิ์</t>
        </is>
      </c>
      <c r="K19" t="inlineStr">
        <is>
          <t>20+430</t>
        </is>
      </c>
      <c r="L19" t="inlineStr">
        <is>
          <t>สถานีย่อย (C)</t>
        </is>
      </c>
      <c r="M19" t="n">
        <v>1</v>
      </c>
      <c r="N19" t="n">
        <v>13.680379</v>
      </c>
      <c r="O19" t="n">
        <v>100.406708</v>
      </c>
      <c r="P19" t="n">
        <v>11.89</v>
      </c>
      <c r="Q19" t="n">
        <v>15</v>
      </c>
      <c r="R19" t="n">
        <v>3</v>
      </c>
      <c r="S19" s="3" t="n">
        <v>164129</v>
      </c>
      <c r="T19" t="n">
        <v>1</v>
      </c>
      <c r="U19" t="n">
        <v>0</v>
      </c>
      <c r="V19" t="n">
        <v>8</v>
      </c>
      <c r="W19" t="n">
        <v>0.5333</v>
      </c>
      <c r="X19" t="inlineStr">
        <is>
          <t>low</t>
        </is>
      </c>
      <c r="Y19" s="3">
        <f>Q19*1000000</f>
        <v/>
      </c>
      <c r="Z19" s="3">
        <f>365*R19*S19*T19</f>
        <v/>
      </c>
      <c r="AA19" s="4">
        <f>Y19/Z19</f>
        <v/>
      </c>
      <c r="AB19" s="4">
        <f>Q19*1000000/(365*R19*S19)</f>
        <v/>
      </c>
      <c r="AC19">
        <f>RANK(AA19,$AA$2:$AA$395,0)</f>
        <v/>
      </c>
    </row>
    <row r="20">
      <c r="A20" t="inlineStr">
        <is>
          <t>zone_19</t>
        </is>
      </c>
      <c r="B20" t="inlineStr">
        <is>
          <t>บางแค - คลองมหาสวัสดิ์</t>
        </is>
      </c>
      <c r="C20" t="inlineStr">
        <is>
          <t>กรุงเทพมหานคร</t>
        </is>
      </c>
      <c r="D20" t="n">
        <v>9</v>
      </c>
      <c r="E20" t="inlineStr">
        <is>
          <t>0102</t>
        </is>
      </c>
      <c r="F20" t="inlineStr">
        <is>
          <t>25–26.3</t>
        </is>
      </c>
      <c r="G20" t="n">
        <v>13.729343</v>
      </c>
      <c r="H20" t="n">
        <v>100.405793</v>
      </c>
      <c r="I20" t="inlineStr">
        <is>
          <t>hods_aadt_pnt_2568.fid-6461857d_1a0f2643074_49fb</t>
        </is>
      </c>
      <c r="J20" t="inlineStr">
        <is>
          <t>บางแค - คลองมหาสวัสดิ์</t>
        </is>
      </c>
      <c r="K20" t="inlineStr">
        <is>
          <t>20+430</t>
        </is>
      </c>
      <c r="L20" t="inlineStr">
        <is>
          <t>สถานีย่อย (C)</t>
        </is>
      </c>
      <c r="M20" t="n">
        <v>1</v>
      </c>
      <c r="N20" t="n">
        <v>13.680379</v>
      </c>
      <c r="O20" t="n">
        <v>100.406708</v>
      </c>
      <c r="P20" t="n">
        <v>5.45</v>
      </c>
      <c r="Q20" t="n">
        <v>19</v>
      </c>
      <c r="R20" t="n">
        <v>3</v>
      </c>
      <c r="S20" s="3" t="n">
        <v>164129</v>
      </c>
      <c r="T20" t="n">
        <v>1</v>
      </c>
      <c r="U20" t="n">
        <v>0</v>
      </c>
      <c r="V20" t="n">
        <v>10</v>
      </c>
      <c r="W20" t="n">
        <v>0.5263</v>
      </c>
      <c r="X20" t="inlineStr">
        <is>
          <t>low</t>
        </is>
      </c>
      <c r="Y20" s="3">
        <f>Q20*1000000</f>
        <v/>
      </c>
      <c r="Z20" s="3">
        <f>365*R20*S20*T20</f>
        <v/>
      </c>
      <c r="AA20" s="4">
        <f>Y20/Z20</f>
        <v/>
      </c>
      <c r="AB20" s="4">
        <f>Q20*1000000/(365*R20*S20)</f>
        <v/>
      </c>
      <c r="AC20">
        <f>RANK(AA20,$AA$2:$AA$395,0)</f>
        <v/>
      </c>
    </row>
    <row r="21">
      <c r="A21" t="inlineStr">
        <is>
          <t>zone_20</t>
        </is>
      </c>
      <c r="B21" t="inlineStr">
        <is>
          <t>อรุณอมรินทร์ - พุทธมณฑลสาย4</t>
        </is>
      </c>
      <c r="C21" t="inlineStr">
        <is>
          <t>กรุงเทพมหานคร</t>
        </is>
      </c>
      <c r="D21" t="n">
        <v>338</v>
      </c>
      <c r="E21" t="inlineStr">
        <is>
          <t>0201</t>
        </is>
      </c>
      <c r="F21" t="inlineStr">
        <is>
          <t>0.002–31.4</t>
        </is>
      </c>
      <c r="G21" t="n">
        <v>13.780055</v>
      </c>
      <c r="H21" t="n">
        <v>100.439952</v>
      </c>
      <c r="I21" t="inlineStr">
        <is>
          <t>hods_aadt_pnt_2568.fid-6461857d_1a0f2643074_4c98</t>
        </is>
      </c>
      <c r="J21" t="inlineStr">
        <is>
          <t>พุทธมณฑลสาย4 - นครชัยศรี</t>
        </is>
      </c>
      <c r="K21" t="inlineStr">
        <is>
          <t>22+081</t>
        </is>
      </c>
      <c r="L21" t="inlineStr">
        <is>
          <t>สถานีย่อย (C)</t>
        </is>
      </c>
      <c r="M21" t="n">
        <v>1</v>
      </c>
      <c r="N21" t="n">
        <v>13.785611</v>
      </c>
      <c r="O21" t="n">
        <v>100.271944</v>
      </c>
      <c r="P21" t="n">
        <v>18.15</v>
      </c>
      <c r="Q21" t="n">
        <v>240</v>
      </c>
      <c r="R21" t="n">
        <v>3</v>
      </c>
      <c r="S21" s="3" t="n">
        <v>141795</v>
      </c>
      <c r="T21" t="n">
        <v>1</v>
      </c>
      <c r="U21" t="n">
        <v>8</v>
      </c>
      <c r="V21" t="n">
        <v>156</v>
      </c>
      <c r="W21" t="n">
        <v>0.6833</v>
      </c>
      <c r="X21" t="inlineStr">
        <is>
          <t>low</t>
        </is>
      </c>
      <c r="Y21" s="3">
        <f>Q21*1000000</f>
        <v/>
      </c>
      <c r="Z21" s="3">
        <f>365*R21*S21*T21</f>
        <v/>
      </c>
      <c r="AA21" s="4">
        <f>Y21/Z21</f>
        <v/>
      </c>
      <c r="AB21" s="4">
        <f>Q21*1000000/(365*R21*S21)</f>
        <v/>
      </c>
      <c r="AC21">
        <f>RANK(AA21,$AA$2:$AA$395,0)</f>
        <v/>
      </c>
    </row>
    <row r="22">
      <c r="A22" t="inlineStr">
        <is>
          <t>zone_21</t>
        </is>
      </c>
      <c r="B22" t="inlineStr">
        <is>
          <t>บางแค - คลองมหาสวัสดิ์</t>
        </is>
      </c>
      <c r="C22" t="inlineStr">
        <is>
          <t>กรุงเทพมหานคร</t>
        </is>
      </c>
      <c r="D22" t="n">
        <v>3902</v>
      </c>
      <c r="E22" t="inlineStr">
        <is>
          <t>0102</t>
        </is>
      </c>
      <c r="F22" t="inlineStr">
        <is>
          <t>27.4–28.6</t>
        </is>
      </c>
      <c r="G22" t="n">
        <v>13.750586</v>
      </c>
      <c r="H22" t="n">
        <v>100.405574</v>
      </c>
      <c r="I22" t="inlineStr">
        <is>
          <t>hods_aadt_pnt_2568.fid-6461857d_1a0f2643074_5323</t>
        </is>
      </c>
      <c r="J22" t="inlineStr">
        <is>
          <t>บางแค - คลองมหาสวัสดิ์</t>
        </is>
      </c>
      <c r="K22" t="inlineStr">
        <is>
          <t>20+430</t>
        </is>
      </c>
      <c r="L22" t="inlineStr">
        <is>
          <t>สถานีย่อย (C)</t>
        </is>
      </c>
      <c r="M22" t="n">
        <v>1</v>
      </c>
      <c r="N22" t="n">
        <v>13.680386</v>
      </c>
      <c r="O22" t="n">
        <v>100.406817</v>
      </c>
      <c r="P22" t="n">
        <v>7.81</v>
      </c>
      <c r="Q22" t="n">
        <v>11</v>
      </c>
      <c r="R22" t="n">
        <v>3</v>
      </c>
      <c r="S22" s="3" t="n">
        <v>38106</v>
      </c>
      <c r="T22" t="n">
        <v>1</v>
      </c>
      <c r="U22" t="n">
        <v>0</v>
      </c>
      <c r="V22" t="n">
        <v>7</v>
      </c>
      <c r="W22" t="n">
        <v>0.6364</v>
      </c>
      <c r="X22" t="inlineStr">
        <is>
          <t>low</t>
        </is>
      </c>
      <c r="Y22" s="3">
        <f>Q22*1000000</f>
        <v/>
      </c>
      <c r="Z22" s="3">
        <f>365*R22*S22*T22</f>
        <v/>
      </c>
      <c r="AA22" s="4">
        <f>Y22/Z22</f>
        <v/>
      </c>
      <c r="AB22" s="4">
        <f>Q22*1000000/(365*R22*S22)</f>
        <v/>
      </c>
      <c r="AC22">
        <f>RANK(AA22,$AA$2:$AA$395,0)</f>
        <v/>
      </c>
    </row>
    <row r="23">
      <c r="A23" t="inlineStr">
        <is>
          <t>zone_22</t>
        </is>
      </c>
      <c r="B23" t="inlineStr">
        <is>
          <t>อรุณอมรินทร์ - พุทธมณฑลสาย4</t>
        </is>
      </c>
      <c r="C23" t="inlineStr">
        <is>
          <t>กรุงเทพมหานคร</t>
        </is>
      </c>
      <c r="D23" t="n">
        <v>338</v>
      </c>
      <c r="E23" t="inlineStr">
        <is>
          <t>0101</t>
        </is>
      </c>
      <c r="F23" t="inlineStr">
        <is>
          <t>0.005–13</t>
        </is>
      </c>
      <c r="G23" t="n">
        <v>13.786869</v>
      </c>
      <c r="H23" t="n">
        <v>100.372236</v>
      </c>
      <c r="I23" t="inlineStr">
        <is>
          <t>hods_aadt_pnt_2568.fid-6461857d_1a0f2643074_4c95</t>
        </is>
      </c>
      <c r="J23" t="inlineStr">
        <is>
          <t>อรุณอมรินทร์ - พุทธมณฑลสาย4</t>
        </is>
      </c>
      <c r="K23" t="inlineStr">
        <is>
          <t>9+281</t>
        </is>
      </c>
      <c r="L23" t="inlineStr">
        <is>
          <t>สถานีย่อย (C)</t>
        </is>
      </c>
      <c r="M23" t="n">
        <v>2</v>
      </c>
      <c r="N23" t="n">
        <v>13.78557</v>
      </c>
      <c r="O23" t="n">
        <v>100.386882</v>
      </c>
      <c r="P23" t="n">
        <v>1.59</v>
      </c>
      <c r="Q23" t="n">
        <v>227</v>
      </c>
      <c r="R23" t="n">
        <v>3</v>
      </c>
      <c r="S23" s="3" t="n">
        <v>145895</v>
      </c>
      <c r="T23" t="n">
        <v>1</v>
      </c>
      <c r="U23" t="n">
        <v>1</v>
      </c>
      <c r="V23" t="n">
        <v>139</v>
      </c>
      <c r="W23" t="n">
        <v>0.6167</v>
      </c>
      <c r="X23" t="inlineStr">
        <is>
          <t>low</t>
        </is>
      </c>
      <c r="Y23" s="3">
        <f>Q23*1000000</f>
        <v/>
      </c>
      <c r="Z23" s="3">
        <f>365*R23*S23*T23</f>
        <v/>
      </c>
      <c r="AA23" s="4">
        <f>Y23/Z23</f>
        <v/>
      </c>
      <c r="AB23" s="4">
        <f>Q23*1000000/(365*R23*S23)</f>
        <v/>
      </c>
      <c r="AC23">
        <f>RANK(AA23,$AA$2:$AA$395,0)</f>
        <v/>
      </c>
    </row>
    <row r="24">
      <c r="A24" t="inlineStr">
        <is>
          <t>zone_23</t>
        </is>
      </c>
      <c r="B24" t="inlineStr">
        <is>
          <t>บางแค - คลองมหาสวัสดิ์</t>
        </is>
      </c>
      <c r="C24" t="inlineStr">
        <is>
          <t>กรุงเทพมหานคร</t>
        </is>
      </c>
      <c r="D24" t="n">
        <v>3902</v>
      </c>
      <c r="E24" t="inlineStr">
        <is>
          <t>0102</t>
        </is>
      </c>
      <c r="F24" t="inlineStr">
        <is>
          <t>28.5–29.682</t>
        </is>
      </c>
      <c r="G24" t="n">
        <v>13.760221</v>
      </c>
      <c r="H24" t="n">
        <v>100.406401</v>
      </c>
      <c r="I24" t="inlineStr">
        <is>
          <t>hods_aadt_pnt_2568.fid-6461857d_1a0f2643074_5323</t>
        </is>
      </c>
      <c r="J24" t="inlineStr">
        <is>
          <t>บางแค - คลองมหาสวัสดิ์</t>
        </is>
      </c>
      <c r="K24" t="inlineStr">
        <is>
          <t>20+430</t>
        </is>
      </c>
      <c r="L24" t="inlineStr">
        <is>
          <t>สถานีย่อย (C)</t>
        </is>
      </c>
      <c r="M24" t="n">
        <v>1</v>
      </c>
      <c r="N24" t="n">
        <v>13.680386</v>
      </c>
      <c r="O24" t="n">
        <v>100.406817</v>
      </c>
      <c r="P24" t="n">
        <v>8.880000000000001</v>
      </c>
      <c r="Q24" t="n">
        <v>9</v>
      </c>
      <c r="R24" t="n">
        <v>3</v>
      </c>
      <c r="S24" s="3" t="n">
        <v>38106</v>
      </c>
      <c r="T24" t="n">
        <v>1</v>
      </c>
      <c r="U24" t="n">
        <v>2</v>
      </c>
      <c r="V24" t="n">
        <v>4</v>
      </c>
      <c r="W24" t="n">
        <v>0.6667</v>
      </c>
      <c r="X24" t="inlineStr">
        <is>
          <t>low</t>
        </is>
      </c>
      <c r="Y24" s="3">
        <f>Q24*1000000</f>
        <v/>
      </c>
      <c r="Z24" s="3">
        <f>365*R24*S24*T24</f>
        <v/>
      </c>
      <c r="AA24" s="4">
        <f>Y24/Z24</f>
        <v/>
      </c>
      <c r="AB24" s="4">
        <f>Q24*1000000/(365*R24*S24)</f>
        <v/>
      </c>
      <c r="AC24">
        <f>RANK(AA24,$AA$2:$AA$395,0)</f>
        <v/>
      </c>
    </row>
    <row r="25">
      <c r="A25" t="inlineStr">
        <is>
          <t>zone_24</t>
        </is>
      </c>
      <c r="B25" t="inlineStr">
        <is>
          <t>อรุณอมรินทร์ - พุทธมณฑลสาย4</t>
        </is>
      </c>
      <c r="C25" t="inlineStr">
        <is>
          <t>กรุงเทพมหานคร</t>
        </is>
      </c>
      <c r="D25" t="n">
        <v>338</v>
      </c>
      <c r="E25" t="inlineStr">
        <is>
          <t>0101</t>
        </is>
      </c>
      <c r="F25" t="inlineStr">
        <is>
          <t>13.867–15.1</t>
        </is>
      </c>
      <c r="G25" t="n">
        <v>13.788253</v>
      </c>
      <c r="H25" t="n">
        <v>100.338222</v>
      </c>
      <c r="I25" t="inlineStr">
        <is>
          <t>hods_aadt_pnt_2568.fid-6461857d_1a0f2643074_4c95</t>
        </is>
      </c>
      <c r="J25" t="inlineStr">
        <is>
          <t>อรุณอมรินทร์ - พุทธมณฑลสาย4</t>
        </is>
      </c>
      <c r="K25" t="inlineStr">
        <is>
          <t>9+281</t>
        </is>
      </c>
      <c r="L25" t="inlineStr">
        <is>
          <t>สถานีย่อย (C)</t>
        </is>
      </c>
      <c r="M25" t="n">
        <v>2</v>
      </c>
      <c r="N25" t="n">
        <v>13.78557</v>
      </c>
      <c r="O25" t="n">
        <v>100.386882</v>
      </c>
      <c r="P25" t="n">
        <v>5.26</v>
      </c>
      <c r="Q25" t="n">
        <v>50</v>
      </c>
      <c r="R25" t="n">
        <v>3</v>
      </c>
      <c r="S25" s="3" t="n">
        <v>145895</v>
      </c>
      <c r="T25" t="n">
        <v>1</v>
      </c>
      <c r="U25" t="n">
        <v>0</v>
      </c>
      <c r="V25" t="n">
        <v>36</v>
      </c>
      <c r="W25" t="n">
        <v>0.72</v>
      </c>
      <c r="X25" t="inlineStr">
        <is>
          <t>low</t>
        </is>
      </c>
      <c r="Y25" s="3">
        <f>Q25*1000000</f>
        <v/>
      </c>
      <c r="Z25" s="3">
        <f>365*R25*S25*T25</f>
        <v/>
      </c>
      <c r="AA25" s="4">
        <f>Y25/Z25</f>
        <v/>
      </c>
      <c r="AB25" s="4">
        <f>Q25*1000000/(365*R25*S25)</f>
        <v/>
      </c>
      <c r="AC25">
        <f>RANK(AA25,$AA$2:$AA$395,0)</f>
        <v/>
      </c>
    </row>
    <row r="26">
      <c r="A26" t="inlineStr">
        <is>
          <t>zone_25</t>
        </is>
      </c>
      <c r="B26" t="inlineStr">
        <is>
          <t>อรุณอมรินทร์ - พุทธมณฑลสาย4</t>
        </is>
      </c>
      <c r="C26" t="inlineStr">
        <is>
          <t>กรุงเทพมหานคร</t>
        </is>
      </c>
      <c r="D26" t="n">
        <v>338</v>
      </c>
      <c r="E26" t="inlineStr">
        <is>
          <t>0101</t>
        </is>
      </c>
      <c r="F26" t="inlineStr">
        <is>
          <t>13.27–13.7</t>
        </is>
      </c>
      <c r="G26" t="n">
        <v>13.78849</v>
      </c>
      <c r="H26" t="n">
        <v>100.348295</v>
      </c>
      <c r="I26" t="inlineStr">
        <is>
          <t>hods_aadt_pnt_2568.fid-6461857d_1a0f2643074_4c95</t>
        </is>
      </c>
      <c r="J26" t="inlineStr">
        <is>
          <t>อรุณอมรินทร์ - พุทธมณฑลสาย4</t>
        </is>
      </c>
      <c r="K26" t="inlineStr">
        <is>
          <t>9+281</t>
        </is>
      </c>
      <c r="L26" t="inlineStr">
        <is>
          <t>สถานีย่อย (C)</t>
        </is>
      </c>
      <c r="M26" t="n">
        <v>2</v>
      </c>
      <c r="N26" t="n">
        <v>13.78557</v>
      </c>
      <c r="O26" t="n">
        <v>100.386882</v>
      </c>
      <c r="P26" t="n">
        <v>4.18</v>
      </c>
      <c r="Q26" t="n">
        <v>15</v>
      </c>
      <c r="R26" t="n">
        <v>3</v>
      </c>
      <c r="S26" s="3" t="n">
        <v>145895</v>
      </c>
      <c r="T26" t="n">
        <v>1</v>
      </c>
      <c r="U26" t="n">
        <v>0</v>
      </c>
      <c r="V26" t="n">
        <v>7</v>
      </c>
      <c r="W26" t="n">
        <v>0.4667</v>
      </c>
      <c r="X26" t="inlineStr">
        <is>
          <t>low</t>
        </is>
      </c>
      <c r="Y26" s="3">
        <f>Q26*1000000</f>
        <v/>
      </c>
      <c r="Z26" s="3">
        <f>365*R26*S26*T26</f>
        <v/>
      </c>
      <c r="AA26" s="4">
        <f>Y26/Z26</f>
        <v/>
      </c>
      <c r="AB26" s="4">
        <f>Q26*1000000/(365*R26*S26)</f>
        <v/>
      </c>
      <c r="AC26">
        <f>RANK(AA26,$AA$2:$AA$395,0)</f>
        <v/>
      </c>
    </row>
    <row r="27">
      <c r="A27" t="inlineStr">
        <is>
          <t>zone_26</t>
        </is>
      </c>
      <c r="B27" t="inlineStr">
        <is>
          <t>บางแค - คลองมหาสวัสดิ์</t>
        </is>
      </c>
      <c r="C27" t="inlineStr">
        <is>
          <t>กรุงเทพมหานคร</t>
        </is>
      </c>
      <c r="D27" t="n">
        <v>3901</v>
      </c>
      <c r="E27" t="inlineStr">
        <is>
          <t>0102</t>
        </is>
      </c>
      <c r="F27" t="inlineStr">
        <is>
          <t>29.6–30.85</t>
        </is>
      </c>
      <c r="G27" t="n">
        <v>13.769853</v>
      </c>
      <c r="H27" t="n">
        <v>100.407501</v>
      </c>
      <c r="I27" t="inlineStr">
        <is>
          <t>hods_aadt_pnt_2568.fid-6461857d_1a0f2643074_5313</t>
        </is>
      </c>
      <c r="J27" t="inlineStr">
        <is>
          <t>บางแค - คลองมหาสวัสดิ์</t>
        </is>
      </c>
      <c r="K27" t="inlineStr">
        <is>
          <t>20+430</t>
        </is>
      </c>
      <c r="L27" t="inlineStr">
        <is>
          <t>สถานีย่อย (C)</t>
        </is>
      </c>
      <c r="M27" t="n">
        <v>1</v>
      </c>
      <c r="N27" t="n">
        <v>13.680396</v>
      </c>
      <c r="O27" t="n">
        <v>100.406611</v>
      </c>
      <c r="P27" t="n">
        <v>9.949999999999999</v>
      </c>
      <c r="Q27" t="n">
        <v>6</v>
      </c>
      <c r="R27" t="n">
        <v>3</v>
      </c>
      <c r="S27" s="3" t="n">
        <v>41328</v>
      </c>
      <c r="T27" t="n">
        <v>1</v>
      </c>
      <c r="U27" t="n">
        <v>0</v>
      </c>
      <c r="V27" t="n">
        <v>2</v>
      </c>
      <c r="W27" t="n">
        <v>0.3333</v>
      </c>
      <c r="X27" t="inlineStr">
        <is>
          <t>low</t>
        </is>
      </c>
      <c r="Y27" s="3">
        <f>Q27*1000000</f>
        <v/>
      </c>
      <c r="Z27" s="3">
        <f>365*R27*S27*T27</f>
        <v/>
      </c>
      <c r="AA27" s="4">
        <f>Y27/Z27</f>
        <v/>
      </c>
      <c r="AB27" s="4">
        <f>Q27*1000000/(365*R27*S27)</f>
        <v/>
      </c>
      <c r="AC27">
        <f>RANK(AA27,$AA$2:$AA$395,0)</f>
        <v/>
      </c>
    </row>
    <row r="28">
      <c r="A28" t="inlineStr">
        <is>
          <t>zone_27</t>
        </is>
      </c>
      <c r="B28" t="inlineStr">
        <is>
          <t>บางแค - คลองมหาสวัสดิ์</t>
        </is>
      </c>
      <c r="C28" t="inlineStr">
        <is>
          <t>กรุงเทพมหานคร</t>
        </is>
      </c>
      <c r="D28" t="n">
        <v>3901</v>
      </c>
      <c r="E28" t="inlineStr">
        <is>
          <t>0102</t>
        </is>
      </c>
      <c r="F28" t="inlineStr">
        <is>
          <t>28.3–31</t>
        </is>
      </c>
      <c r="G28" t="n">
        <v>13.775301</v>
      </c>
      <c r="H28" t="n">
        <v>100.408361</v>
      </c>
      <c r="I28" t="inlineStr">
        <is>
          <t>hods_aadt_pnt_2568.fid-6461857d_1a0f2643074_5313</t>
        </is>
      </c>
      <c r="J28" t="inlineStr">
        <is>
          <t>บางแค - คลองมหาสวัสดิ์</t>
        </is>
      </c>
      <c r="K28" t="inlineStr">
        <is>
          <t>20+430</t>
        </is>
      </c>
      <c r="L28" t="inlineStr">
        <is>
          <t>สถานีย่อย (C)</t>
        </is>
      </c>
      <c r="M28" t="n">
        <v>1</v>
      </c>
      <c r="N28" t="n">
        <v>13.680396</v>
      </c>
      <c r="O28" t="n">
        <v>100.406611</v>
      </c>
      <c r="P28" t="n">
        <v>10.55</v>
      </c>
      <c r="Q28" t="n">
        <v>18</v>
      </c>
      <c r="R28" t="n">
        <v>3</v>
      </c>
      <c r="S28" s="3" t="n">
        <v>41328</v>
      </c>
      <c r="T28" t="n">
        <v>1</v>
      </c>
      <c r="U28" t="n">
        <v>0</v>
      </c>
      <c r="V28" t="n">
        <v>7</v>
      </c>
      <c r="W28" t="n">
        <v>0.3889</v>
      </c>
      <c r="X28" t="inlineStr">
        <is>
          <t>low</t>
        </is>
      </c>
      <c r="Y28" s="3">
        <f>Q28*1000000</f>
        <v/>
      </c>
      <c r="Z28" s="3">
        <f>365*R28*S28*T28</f>
        <v/>
      </c>
      <c r="AA28" s="4">
        <f>Y28/Z28</f>
        <v/>
      </c>
      <c r="AB28" s="4">
        <f>Q28*1000000/(365*R28*S28)</f>
        <v/>
      </c>
      <c r="AC28">
        <f>RANK(AA28,$AA$2:$AA$395,0)</f>
        <v/>
      </c>
    </row>
    <row r="29">
      <c r="A29" t="inlineStr">
        <is>
          <t>zone_28</t>
        </is>
      </c>
      <c r="B29" t="inlineStr">
        <is>
          <t>บางแค - คลองมหาสวัสดิ์</t>
        </is>
      </c>
      <c r="C29" t="inlineStr">
        <is>
          <t>กรุงเทพมหานคร</t>
        </is>
      </c>
      <c r="D29" t="n">
        <v>9</v>
      </c>
      <c r="E29" t="inlineStr">
        <is>
          <t>0102</t>
        </is>
      </c>
      <c r="F29" t="inlineStr">
        <is>
          <t>23.5–23.85</t>
        </is>
      </c>
      <c r="G29" t="n">
        <v>13.715015</v>
      </c>
      <c r="H29" t="n">
        <v>100.405761</v>
      </c>
      <c r="I29" t="inlineStr">
        <is>
          <t>hods_aadt_pnt_2568.fid-6461857d_1a0f2643074_49fb</t>
        </is>
      </c>
      <c r="J29" t="inlineStr">
        <is>
          <t>บางแค - คลองมหาสวัสดิ์</t>
        </is>
      </c>
      <c r="K29" t="inlineStr">
        <is>
          <t>20+430</t>
        </is>
      </c>
      <c r="L29" t="inlineStr">
        <is>
          <t>สถานีย่อย (C)</t>
        </is>
      </c>
      <c r="M29" t="n">
        <v>1</v>
      </c>
      <c r="N29" t="n">
        <v>13.680379</v>
      </c>
      <c r="O29" t="n">
        <v>100.406708</v>
      </c>
      <c r="P29" t="n">
        <v>3.85</v>
      </c>
      <c r="Q29" t="n">
        <v>8</v>
      </c>
      <c r="R29" t="n">
        <v>3</v>
      </c>
      <c r="S29" s="3" t="n">
        <v>164129</v>
      </c>
      <c r="T29" t="n">
        <v>1</v>
      </c>
      <c r="U29" t="n">
        <v>1</v>
      </c>
      <c r="V29" t="n">
        <v>4</v>
      </c>
      <c r="W29" t="n">
        <v>0.625</v>
      </c>
      <c r="X29" t="inlineStr">
        <is>
          <t>low</t>
        </is>
      </c>
      <c r="Y29" s="3">
        <f>Q29*1000000</f>
        <v/>
      </c>
      <c r="Z29" s="3">
        <f>365*R29*S29*T29</f>
        <v/>
      </c>
      <c r="AA29" s="4">
        <f>Y29/Z29</f>
        <v/>
      </c>
      <c r="AB29" s="4">
        <f>Q29*1000000/(365*R29*S29)</f>
        <v/>
      </c>
      <c r="AC29">
        <f>RANK(AA29,$AA$2:$AA$395,0)</f>
        <v/>
      </c>
    </row>
    <row r="30">
      <c r="A30" t="inlineStr">
        <is>
          <t>zone_29</t>
        </is>
      </c>
      <c r="B30" t="inlineStr">
        <is>
          <t>บางแค - คลองมหาสวัสดิ์</t>
        </is>
      </c>
      <c r="C30" t="inlineStr">
        <is>
          <t>กรุงเทพมหานคร</t>
        </is>
      </c>
      <c r="D30" t="n">
        <v>3901</v>
      </c>
      <c r="E30" t="inlineStr">
        <is>
          <t>0102</t>
        </is>
      </c>
      <c r="F30" t="inlineStr">
        <is>
          <t>28.2–28.3</t>
        </is>
      </c>
      <c r="G30" t="n">
        <v>13.756352</v>
      </c>
      <c r="H30" t="n">
        <v>100.40591</v>
      </c>
      <c r="I30" t="inlineStr">
        <is>
          <t>hods_aadt_pnt_2568.fid-6461857d_1a0f2643074_5313</t>
        </is>
      </c>
      <c r="J30" t="inlineStr">
        <is>
          <t>บางแค - คลองมหาสวัสดิ์</t>
        </is>
      </c>
      <c r="K30" t="inlineStr">
        <is>
          <t>20+430</t>
        </is>
      </c>
      <c r="L30" t="inlineStr">
        <is>
          <t>สถานีย่อย (C)</t>
        </is>
      </c>
      <c r="M30" t="n">
        <v>1</v>
      </c>
      <c r="N30" t="n">
        <v>13.680396</v>
      </c>
      <c r="O30" t="n">
        <v>100.406611</v>
      </c>
      <c r="P30" t="n">
        <v>8.449999999999999</v>
      </c>
      <c r="Q30" t="n">
        <v>5</v>
      </c>
      <c r="R30" t="n">
        <v>3</v>
      </c>
      <c r="S30" s="3" t="n">
        <v>41328</v>
      </c>
      <c r="T30" t="n">
        <v>1</v>
      </c>
      <c r="U30" t="n">
        <v>0</v>
      </c>
      <c r="V30" t="n">
        <v>3</v>
      </c>
      <c r="W30" t="n">
        <v>0.6</v>
      </c>
      <c r="X30" t="inlineStr">
        <is>
          <t>low</t>
        </is>
      </c>
      <c r="Y30" s="3">
        <f>Q30*1000000</f>
        <v/>
      </c>
      <c r="Z30" s="3">
        <f>365*R30*S30*T30</f>
        <v/>
      </c>
      <c r="AA30" s="4">
        <f>Y30/Z30</f>
        <v/>
      </c>
      <c r="AB30" s="4">
        <f>Q30*1000000/(365*R30*S30)</f>
        <v/>
      </c>
      <c r="AC30">
        <f>RANK(AA30,$AA$2:$AA$395,0)</f>
        <v/>
      </c>
    </row>
    <row r="31">
      <c r="A31" t="inlineStr">
        <is>
          <t>zone_30</t>
        </is>
      </c>
      <c r="B31" t="inlineStr">
        <is>
          <t>บางแค - คลองมหาสวัสดิ์</t>
        </is>
      </c>
      <c r="C31" t="inlineStr">
        <is>
          <t>กรุงเทพมหานคร</t>
        </is>
      </c>
      <c r="D31" t="n">
        <v>9</v>
      </c>
      <c r="E31" t="inlineStr">
        <is>
          <t>0102</t>
        </is>
      </c>
      <c r="F31" t="inlineStr">
        <is>
          <t>24.4–24.8</t>
        </is>
      </c>
      <c r="G31" t="n">
        <v>13.720385</v>
      </c>
      <c r="H31" t="n">
        <v>100.405975</v>
      </c>
      <c r="I31" t="inlineStr">
        <is>
          <t>hods_aadt_pnt_2568.fid-6461857d_1a0f2643074_49fb</t>
        </is>
      </c>
      <c r="J31" t="inlineStr">
        <is>
          <t>บางแค - คลองมหาสวัสดิ์</t>
        </is>
      </c>
      <c r="K31" t="inlineStr">
        <is>
          <t>20+430</t>
        </is>
      </c>
      <c r="L31" t="inlineStr">
        <is>
          <t>สถานีย่อย (C)</t>
        </is>
      </c>
      <c r="M31" t="n">
        <v>1</v>
      </c>
      <c r="N31" t="n">
        <v>13.680379</v>
      </c>
      <c r="O31" t="n">
        <v>100.406708</v>
      </c>
      <c r="P31" t="n">
        <v>4.45</v>
      </c>
      <c r="Q31" t="n">
        <v>5</v>
      </c>
      <c r="R31" t="n">
        <v>3</v>
      </c>
      <c r="S31" s="3" t="n">
        <v>164129</v>
      </c>
      <c r="T31" t="n">
        <v>1</v>
      </c>
      <c r="U31" t="n">
        <v>1</v>
      </c>
      <c r="V31" t="n">
        <v>4</v>
      </c>
      <c r="W31" t="n">
        <v>1</v>
      </c>
      <c r="X31" t="inlineStr">
        <is>
          <t>medium</t>
        </is>
      </c>
      <c r="Y31" s="3">
        <f>Q31*1000000</f>
        <v/>
      </c>
      <c r="Z31" s="3">
        <f>365*R31*S31*T31</f>
        <v/>
      </c>
      <c r="AA31" s="4">
        <f>Y31/Z31</f>
        <v/>
      </c>
      <c r="AB31" s="4">
        <f>Q31*1000000/(365*R31*S31)</f>
        <v/>
      </c>
      <c r="AC31">
        <f>RANK(AA31,$AA$2:$AA$395,0)</f>
        <v/>
      </c>
    </row>
    <row r="32">
      <c r="A32" t="inlineStr">
        <is>
          <t>zone_31</t>
        </is>
      </c>
      <c r="B32" t="inlineStr">
        <is>
          <t>ดาวคะนอง -  แสมดำ</t>
        </is>
      </c>
      <c r="C32" t="inlineStr">
        <is>
          <t>กรุงเทพมหานคร</t>
        </is>
      </c>
      <c r="D32" t="n">
        <v>35</v>
      </c>
      <c r="E32" t="inlineStr">
        <is>
          <t>0100</t>
        </is>
      </c>
      <c r="F32" t="inlineStr">
        <is>
          <t>10–11</t>
        </is>
      </c>
      <c r="G32" t="n">
        <v>13.637813</v>
      </c>
      <c r="H32" t="n">
        <v>100.404866</v>
      </c>
      <c r="I32" t="inlineStr">
        <is>
          <t>hods_aadt_pnt_2568.fid-6461857d_1a0f2643074_4a98</t>
        </is>
      </c>
      <c r="J32" t="inlineStr">
        <is>
          <t>ดาวคะนอง - แสมดำ</t>
        </is>
      </c>
      <c r="K32" t="inlineStr">
        <is>
          <t>6+500</t>
        </is>
      </c>
      <c r="L32" t="inlineStr">
        <is>
          <t>สถานีย่อย (C)</t>
        </is>
      </c>
      <c r="M32" t="n">
        <v>1</v>
      </c>
      <c r="N32" t="n">
        <v>13.659911</v>
      </c>
      <c r="O32" t="n">
        <v>100.435201</v>
      </c>
      <c r="P32" t="n">
        <v>4.1</v>
      </c>
      <c r="Q32" t="n">
        <v>23</v>
      </c>
      <c r="R32" t="n">
        <v>3</v>
      </c>
      <c r="S32" s="3" t="n">
        <v>259277</v>
      </c>
      <c r="T32" t="n">
        <v>1</v>
      </c>
      <c r="U32" t="n">
        <v>1</v>
      </c>
      <c r="V32" t="n">
        <v>14</v>
      </c>
      <c r="W32" t="n">
        <v>0.6522</v>
      </c>
      <c r="X32" t="inlineStr">
        <is>
          <t>low</t>
        </is>
      </c>
      <c r="Y32" s="3">
        <f>Q32*1000000</f>
        <v/>
      </c>
      <c r="Z32" s="3">
        <f>365*R32*S32*T32</f>
        <v/>
      </c>
      <c r="AA32" s="4">
        <f>Y32/Z32</f>
        <v/>
      </c>
      <c r="AB32" s="4">
        <f>Q32*1000000/(365*R32*S32)</f>
        <v/>
      </c>
      <c r="AC32">
        <f>RANK(AA32,$AA$2:$AA$395,0)</f>
        <v/>
      </c>
    </row>
    <row r="33">
      <c r="A33" t="inlineStr">
        <is>
          <t>zone_32</t>
        </is>
      </c>
      <c r="B33" t="inlineStr">
        <is>
          <t>ดาวคะนอง -  แสมดำ</t>
        </is>
      </c>
      <c r="C33" t="inlineStr">
        <is>
          <t>กรุงเทพมหานคร</t>
        </is>
      </c>
      <c r="D33" t="n">
        <v>35</v>
      </c>
      <c r="E33" t="inlineStr">
        <is>
          <t>0100</t>
        </is>
      </c>
      <c r="F33" t="inlineStr">
        <is>
          <t>9.1–9.5</t>
        </is>
      </c>
      <c r="G33" t="n">
        <v>13.644553</v>
      </c>
      <c r="H33" t="n">
        <v>100.4136</v>
      </c>
      <c r="I33" t="inlineStr">
        <is>
          <t>hods_aadt_pnt_2568.fid-6461857d_1a0f2643074_4a98</t>
        </is>
      </c>
      <c r="J33" t="inlineStr">
        <is>
          <t>ดาวคะนอง - แสมดำ</t>
        </is>
      </c>
      <c r="K33" t="inlineStr">
        <is>
          <t>6+500</t>
        </is>
      </c>
      <c r="L33" t="inlineStr">
        <is>
          <t>สถานีย่อย (C)</t>
        </is>
      </c>
      <c r="M33" t="n">
        <v>1</v>
      </c>
      <c r="N33" t="n">
        <v>13.659911</v>
      </c>
      <c r="O33" t="n">
        <v>100.435201</v>
      </c>
      <c r="P33" t="n">
        <v>2.89</v>
      </c>
      <c r="Q33" t="n">
        <v>13</v>
      </c>
      <c r="R33" t="n">
        <v>3</v>
      </c>
      <c r="S33" s="3" t="n">
        <v>259277</v>
      </c>
      <c r="T33" t="n">
        <v>1</v>
      </c>
      <c r="U33" t="n">
        <v>1</v>
      </c>
      <c r="V33" t="n">
        <v>13</v>
      </c>
      <c r="W33" t="n">
        <v>1.0769</v>
      </c>
      <c r="X33" t="inlineStr">
        <is>
          <t>medium</t>
        </is>
      </c>
      <c r="Y33" s="3">
        <f>Q33*1000000</f>
        <v/>
      </c>
      <c r="Z33" s="3">
        <f>365*R33*S33*T33</f>
        <v/>
      </c>
      <c r="AA33" s="4">
        <f>Y33/Z33</f>
        <v/>
      </c>
      <c r="AB33" s="4">
        <f>Q33*1000000/(365*R33*S33)</f>
        <v/>
      </c>
      <c r="AC33">
        <f>RANK(AA33,$AA$2:$AA$395,0)</f>
        <v/>
      </c>
    </row>
    <row r="34">
      <c r="A34" t="inlineStr">
        <is>
          <t>zone_33</t>
        </is>
      </c>
      <c r="B34" t="inlineStr">
        <is>
          <t>ดาวคะนอง -  แสมดำ</t>
        </is>
      </c>
      <c r="C34" t="inlineStr">
        <is>
          <t>กรุงเทพมหานคร</t>
        </is>
      </c>
      <c r="D34" t="n">
        <v>35</v>
      </c>
      <c r="E34" t="inlineStr">
        <is>
          <t>0100</t>
        </is>
      </c>
      <c r="F34" t="inlineStr">
        <is>
          <t>7.7–8.3</t>
        </is>
      </c>
      <c r="G34" t="n">
        <v>13.651926</v>
      </c>
      <c r="H34" t="n">
        <v>100.423588</v>
      </c>
      <c r="I34" t="inlineStr">
        <is>
          <t>hods_aadt_pnt_2568.fid-6461857d_1a0f2643074_4a98</t>
        </is>
      </c>
      <c r="J34" t="inlineStr">
        <is>
          <t>ดาวคะนอง - แสมดำ</t>
        </is>
      </c>
      <c r="K34" t="inlineStr">
        <is>
          <t>6+500</t>
        </is>
      </c>
      <c r="L34" t="inlineStr">
        <is>
          <t>สถานีย่อย (C)</t>
        </is>
      </c>
      <c r="M34" t="n">
        <v>1</v>
      </c>
      <c r="N34" t="n">
        <v>13.659911</v>
      </c>
      <c r="O34" t="n">
        <v>100.435201</v>
      </c>
      <c r="P34" t="n">
        <v>1.54</v>
      </c>
      <c r="Q34" t="n">
        <v>12</v>
      </c>
      <c r="R34" t="n">
        <v>3</v>
      </c>
      <c r="S34" s="3" t="n">
        <v>259277</v>
      </c>
      <c r="T34" t="n">
        <v>1</v>
      </c>
      <c r="U34" t="n">
        <v>1</v>
      </c>
      <c r="V34" t="n">
        <v>12</v>
      </c>
      <c r="W34" t="n">
        <v>1.0833</v>
      </c>
      <c r="X34" t="inlineStr">
        <is>
          <t>medium</t>
        </is>
      </c>
      <c r="Y34" s="3">
        <f>Q34*1000000</f>
        <v/>
      </c>
      <c r="Z34" s="3">
        <f>365*R34*S34*T34</f>
        <v/>
      </c>
      <c r="AA34" s="4">
        <f>Y34/Z34</f>
        <v/>
      </c>
      <c r="AB34" s="4">
        <f>Q34*1000000/(365*R34*S34)</f>
        <v/>
      </c>
      <c r="AC34">
        <f>RANK(AA34,$AA$2:$AA$395,0)</f>
        <v/>
      </c>
    </row>
    <row r="35">
      <c r="A35" t="inlineStr">
        <is>
          <t>zone_34</t>
        </is>
      </c>
      <c r="B35" t="inlineStr">
        <is>
          <t>ดาวคะนอง -  แสมดำ</t>
        </is>
      </c>
      <c r="C35" t="inlineStr">
        <is>
          <t>กรุงเทพมหานคร</t>
        </is>
      </c>
      <c r="D35" t="n">
        <v>35</v>
      </c>
      <c r="E35" t="inlineStr">
        <is>
          <t>0100</t>
        </is>
      </c>
      <c r="F35" t="inlineStr">
        <is>
          <t>2.53–2.727</t>
        </is>
      </c>
      <c r="G35" t="n">
        <v>13.678149</v>
      </c>
      <c r="H35" t="n">
        <v>100.465181</v>
      </c>
      <c r="I35" t="inlineStr">
        <is>
          <t>hods_aadt_pnt_2568.fid-6461857d_1a0f2643074_4a98</t>
        </is>
      </c>
      <c r="J35" t="inlineStr">
        <is>
          <t>ดาวคะนอง - แสมดำ</t>
        </is>
      </c>
      <c r="K35" t="inlineStr">
        <is>
          <t>6+500</t>
        </is>
      </c>
      <c r="L35" t="inlineStr">
        <is>
          <t>สถานีย่อย (C)</t>
        </is>
      </c>
      <c r="M35" t="n">
        <v>1</v>
      </c>
      <c r="N35" t="n">
        <v>13.659911</v>
      </c>
      <c r="O35" t="n">
        <v>100.435201</v>
      </c>
      <c r="P35" t="n">
        <v>3.82</v>
      </c>
      <c r="Q35" t="n">
        <v>5</v>
      </c>
      <c r="R35" t="n">
        <v>3</v>
      </c>
      <c r="S35" s="3" t="n">
        <v>259277</v>
      </c>
      <c r="T35" t="n">
        <v>1</v>
      </c>
      <c r="U35" t="n">
        <v>0</v>
      </c>
      <c r="V35" t="n">
        <v>3</v>
      </c>
      <c r="W35" t="n">
        <v>0.6</v>
      </c>
      <c r="X35" t="inlineStr">
        <is>
          <t>low</t>
        </is>
      </c>
      <c r="Y35" s="3">
        <f>Q35*1000000</f>
        <v/>
      </c>
      <c r="Z35" s="3">
        <f>365*R35*S35*T35</f>
        <v/>
      </c>
      <c r="AA35" s="4">
        <f>Y35/Z35</f>
        <v/>
      </c>
      <c r="AB35" s="4">
        <f>Q35*1000000/(365*R35*S35)</f>
        <v/>
      </c>
      <c r="AC35">
        <f>RANK(AA35,$AA$2:$AA$395,0)</f>
        <v/>
      </c>
    </row>
    <row r="36">
      <c r="A36" t="inlineStr">
        <is>
          <t>zone_35</t>
        </is>
      </c>
      <c r="B36" t="inlineStr">
        <is>
          <t>ดาวคะนอง -  แสมดำ</t>
        </is>
      </c>
      <c r="C36" t="inlineStr">
        <is>
          <t>กรุงเทพมหานคร</t>
        </is>
      </c>
      <c r="D36" t="n">
        <v>35</v>
      </c>
      <c r="E36" t="inlineStr">
        <is>
          <t>0100</t>
        </is>
      </c>
      <c r="F36" t="inlineStr">
        <is>
          <t>4.73–6</t>
        </is>
      </c>
      <c r="G36" t="n">
        <v>13.66383</v>
      </c>
      <c r="H36" t="n">
        <v>100.44187</v>
      </c>
      <c r="I36" t="inlineStr">
        <is>
          <t>hods_aadt_pnt_2568.fid-6461857d_1a0f2643074_4a98</t>
        </is>
      </c>
      <c r="J36" t="inlineStr">
        <is>
          <t>ดาวคะนอง - แสมดำ</t>
        </is>
      </c>
      <c r="K36" t="inlineStr">
        <is>
          <t>6+500</t>
        </is>
      </c>
      <c r="L36" t="inlineStr">
        <is>
          <t>สถานีย่อย (C)</t>
        </is>
      </c>
      <c r="M36" t="n">
        <v>1</v>
      </c>
      <c r="N36" t="n">
        <v>13.659911</v>
      </c>
      <c r="O36" t="n">
        <v>100.435201</v>
      </c>
      <c r="P36" t="n">
        <v>0.84</v>
      </c>
      <c r="Q36" t="n">
        <v>31</v>
      </c>
      <c r="R36" t="n">
        <v>3</v>
      </c>
      <c r="S36" s="3" t="n">
        <v>259277</v>
      </c>
      <c r="T36" t="n">
        <v>1</v>
      </c>
      <c r="U36" t="n">
        <v>0</v>
      </c>
      <c r="V36" t="n">
        <v>21</v>
      </c>
      <c r="W36" t="n">
        <v>0.6774</v>
      </c>
      <c r="X36" t="inlineStr">
        <is>
          <t>low</t>
        </is>
      </c>
      <c r="Y36" s="3">
        <f>Q36*1000000</f>
        <v/>
      </c>
      <c r="Z36" s="3">
        <f>365*R36*S36*T36</f>
        <v/>
      </c>
      <c r="AA36" s="4">
        <f>Y36/Z36</f>
        <v/>
      </c>
      <c r="AB36" s="4">
        <f>Q36*1000000/(365*R36*S36)</f>
        <v/>
      </c>
      <c r="AC36">
        <f>RANK(AA36,$AA$2:$AA$395,0)</f>
        <v/>
      </c>
    </row>
    <row r="37">
      <c r="A37" t="inlineStr">
        <is>
          <t>zone_36</t>
        </is>
      </c>
      <c r="B37" t="inlineStr">
        <is>
          <t>ดาวคะนอง -  แสมดำ</t>
        </is>
      </c>
      <c r="C37" t="inlineStr">
        <is>
          <t>กรุงเทพมหานคร</t>
        </is>
      </c>
      <c r="D37" t="n">
        <v>35</v>
      </c>
      <c r="E37" t="inlineStr">
        <is>
          <t>0100</t>
        </is>
      </c>
      <c r="F37" t="inlineStr">
        <is>
          <t>4.3–4.4</t>
        </is>
      </c>
      <c r="G37" t="n">
        <v>13.669901</v>
      </c>
      <c r="H37" t="n">
        <v>100.451902</v>
      </c>
      <c r="I37" t="inlineStr">
        <is>
          <t>hods_aadt_pnt_2568.fid-6461857d_1a0f2643074_4a98</t>
        </is>
      </c>
      <c r="J37" t="inlineStr">
        <is>
          <t>ดาวคะนอง - แสมดำ</t>
        </is>
      </c>
      <c r="K37" t="inlineStr">
        <is>
          <t>6+500</t>
        </is>
      </c>
      <c r="L37" t="inlineStr">
        <is>
          <t>สถานีย่อย (C)</t>
        </is>
      </c>
      <c r="M37" t="n">
        <v>1</v>
      </c>
      <c r="N37" t="n">
        <v>13.659911</v>
      </c>
      <c r="O37" t="n">
        <v>100.435201</v>
      </c>
      <c r="P37" t="n">
        <v>2.12</v>
      </c>
      <c r="Q37" t="n">
        <v>3</v>
      </c>
      <c r="R37" t="n">
        <v>3</v>
      </c>
      <c r="S37" s="3" t="n">
        <v>259277</v>
      </c>
      <c r="T37" t="n">
        <v>1</v>
      </c>
      <c r="U37" t="n">
        <v>0</v>
      </c>
      <c r="V37" t="n">
        <v>2</v>
      </c>
      <c r="W37" t="n">
        <v>0.6667</v>
      </c>
      <c r="X37" t="inlineStr">
        <is>
          <t>low</t>
        </is>
      </c>
      <c r="Y37" s="3">
        <f>Q37*1000000</f>
        <v/>
      </c>
      <c r="Z37" s="3">
        <f>365*R37*S37*T37</f>
        <v/>
      </c>
      <c r="AA37" s="4">
        <f>Y37/Z37</f>
        <v/>
      </c>
      <c r="AB37" s="4">
        <f>Q37*1000000/(365*R37*S37)</f>
        <v/>
      </c>
      <c r="AC37">
        <f>RANK(AA37,$AA$2:$AA$395,0)</f>
        <v/>
      </c>
    </row>
    <row r="38">
      <c r="A38" t="inlineStr">
        <is>
          <t>zone_37</t>
        </is>
      </c>
      <c r="B38" t="inlineStr">
        <is>
          <t>ดาวคะนอง -  แสมดำ</t>
        </is>
      </c>
      <c r="C38" t="inlineStr">
        <is>
          <t>กรุงเทพมหานคร</t>
        </is>
      </c>
      <c r="D38" t="n">
        <v>35</v>
      </c>
      <c r="E38" t="inlineStr">
        <is>
          <t>0100</t>
        </is>
      </c>
      <c r="F38" t="inlineStr">
        <is>
          <t>13.7–14.6</t>
        </is>
      </c>
      <c r="G38" t="n">
        <v>13.614232</v>
      </c>
      <c r="H38" t="n">
        <v>100.381623</v>
      </c>
      <c r="I38" t="inlineStr">
        <is>
          <t>hods_aadt_pnt_2568.fid-6461857d_1a0f2643074_4a98</t>
        </is>
      </c>
      <c r="J38" t="inlineStr">
        <is>
          <t>ดาวคะนอง - แสมดำ</t>
        </is>
      </c>
      <c r="K38" t="inlineStr">
        <is>
          <t>6+500</t>
        </is>
      </c>
      <c r="L38" t="inlineStr">
        <is>
          <t>สถานีย่อย (C)</t>
        </is>
      </c>
      <c r="M38" t="n">
        <v>1</v>
      </c>
      <c r="N38" t="n">
        <v>13.659911</v>
      </c>
      <c r="O38" t="n">
        <v>100.435201</v>
      </c>
      <c r="P38" t="n">
        <v>7.7</v>
      </c>
      <c r="Q38" t="n">
        <v>23</v>
      </c>
      <c r="R38" t="n">
        <v>3</v>
      </c>
      <c r="S38" s="3" t="n">
        <v>259277</v>
      </c>
      <c r="T38" t="n">
        <v>1</v>
      </c>
      <c r="U38" t="n">
        <v>0</v>
      </c>
      <c r="V38" t="n">
        <v>9</v>
      </c>
      <c r="W38" t="n">
        <v>0.3913</v>
      </c>
      <c r="X38" t="inlineStr">
        <is>
          <t>low</t>
        </is>
      </c>
      <c r="Y38" s="3">
        <f>Q38*1000000</f>
        <v/>
      </c>
      <c r="Z38" s="3">
        <f>365*R38*S38*T38</f>
        <v/>
      </c>
      <c r="AA38" s="4">
        <f>Y38/Z38</f>
        <v/>
      </c>
      <c r="AB38" s="4">
        <f>Q38*1000000/(365*R38*S38)</f>
        <v/>
      </c>
      <c r="AC38">
        <f>RANK(AA38,$AA$2:$AA$395,0)</f>
        <v/>
      </c>
    </row>
    <row r="39">
      <c r="A39" t="inlineStr">
        <is>
          <t>zone_38</t>
        </is>
      </c>
      <c r="B39" t="inlineStr">
        <is>
          <t>ดาวคะนอง -  แสมดำ</t>
        </is>
      </c>
      <c r="C39" t="inlineStr">
        <is>
          <t>กรุงเทพมหานคร</t>
        </is>
      </c>
      <c r="D39" t="n">
        <v>35</v>
      </c>
      <c r="E39" t="inlineStr">
        <is>
          <t>0100</t>
        </is>
      </c>
      <c r="F39" t="inlineStr">
        <is>
          <t>11.9–12.85</t>
        </is>
      </c>
      <c r="G39" t="n">
        <v>13.625425</v>
      </c>
      <c r="H39" t="n">
        <v>100.392674</v>
      </c>
      <c r="I39" t="inlineStr">
        <is>
          <t>hods_aadt_pnt_2568.fid-6461857d_1a0f2643074_4a98</t>
        </is>
      </c>
      <c r="J39" t="inlineStr">
        <is>
          <t>ดาวคะนอง - แสมดำ</t>
        </is>
      </c>
      <c r="K39" t="inlineStr">
        <is>
          <t>6+500</t>
        </is>
      </c>
      <c r="L39" t="inlineStr">
        <is>
          <t>สถานีย่อย (C)</t>
        </is>
      </c>
      <c r="M39" t="n">
        <v>1</v>
      </c>
      <c r="N39" t="n">
        <v>13.659911</v>
      </c>
      <c r="O39" t="n">
        <v>100.435201</v>
      </c>
      <c r="P39" t="n">
        <v>5.99</v>
      </c>
      <c r="Q39" t="n">
        <v>26</v>
      </c>
      <c r="R39" t="n">
        <v>3</v>
      </c>
      <c r="S39" s="3" t="n">
        <v>259277</v>
      </c>
      <c r="T39" t="n">
        <v>1</v>
      </c>
      <c r="U39" t="n">
        <v>1</v>
      </c>
      <c r="V39" t="n">
        <v>6</v>
      </c>
      <c r="W39" t="n">
        <v>0.2692</v>
      </c>
      <c r="X39" t="inlineStr">
        <is>
          <t>low</t>
        </is>
      </c>
      <c r="Y39" s="3">
        <f>Q39*1000000</f>
        <v/>
      </c>
      <c r="Z39" s="3">
        <f>365*R39*S39*T39</f>
        <v/>
      </c>
      <c r="AA39" s="4">
        <f>Y39/Z39</f>
        <v/>
      </c>
      <c r="AB39" s="4">
        <f>Q39*1000000/(365*R39*S39)</f>
        <v/>
      </c>
      <c r="AC39">
        <f>RANK(AA39,$AA$2:$AA$395,0)</f>
        <v/>
      </c>
    </row>
    <row r="40">
      <c r="A40" t="inlineStr">
        <is>
          <t>zone_39</t>
        </is>
      </c>
      <c r="B40" t="inlineStr">
        <is>
          <t>ดาวคะนอง -  แสมดำ</t>
        </is>
      </c>
      <c r="C40" t="inlineStr">
        <is>
          <t>กรุงเทพมหานคร</t>
        </is>
      </c>
      <c r="D40" t="n">
        <v>35</v>
      </c>
      <c r="E40" t="inlineStr">
        <is>
          <t>0100</t>
        </is>
      </c>
      <c r="F40" t="inlineStr">
        <is>
          <t>13.1–13.5</t>
        </is>
      </c>
      <c r="G40" t="n">
        <v>13.619469</v>
      </c>
      <c r="H40" t="n">
        <v>100.386793</v>
      </c>
      <c r="I40" t="inlineStr">
        <is>
          <t>hods_aadt_pnt_2568.fid-6461857d_1a0f2643074_4a98</t>
        </is>
      </c>
      <c r="J40" t="inlineStr">
        <is>
          <t>ดาวคะนอง - แสมดำ</t>
        </is>
      </c>
      <c r="K40" t="inlineStr">
        <is>
          <t>6+500</t>
        </is>
      </c>
      <c r="L40" t="inlineStr">
        <is>
          <t>สถานีย่อย (C)</t>
        </is>
      </c>
      <c r="M40" t="n">
        <v>1</v>
      </c>
      <c r="N40" t="n">
        <v>13.659911</v>
      </c>
      <c r="O40" t="n">
        <v>100.435201</v>
      </c>
      <c r="P40" t="n">
        <v>6.9</v>
      </c>
      <c r="Q40" t="n">
        <v>9</v>
      </c>
      <c r="R40" t="n">
        <v>3</v>
      </c>
      <c r="S40" s="3" t="n">
        <v>259277</v>
      </c>
      <c r="T40" t="n">
        <v>1</v>
      </c>
      <c r="U40" t="n">
        <v>0</v>
      </c>
      <c r="V40" t="n">
        <v>3</v>
      </c>
      <c r="W40" t="n">
        <v>0.3333</v>
      </c>
      <c r="X40" t="inlineStr">
        <is>
          <t>low</t>
        </is>
      </c>
      <c r="Y40" s="3">
        <f>Q40*1000000</f>
        <v/>
      </c>
      <c r="Z40" s="3">
        <f>365*R40*S40*T40</f>
        <v/>
      </c>
      <c r="AA40" s="4">
        <f>Y40/Z40</f>
        <v/>
      </c>
      <c r="AB40" s="4">
        <f>Q40*1000000/(365*R40*S40)</f>
        <v/>
      </c>
      <c r="AC40">
        <f>RANK(AA40,$AA$2:$AA$395,0)</f>
        <v/>
      </c>
    </row>
    <row r="41">
      <c r="A41" t="inlineStr">
        <is>
          <t>zone_40</t>
        </is>
      </c>
      <c r="B41" t="inlineStr">
        <is>
          <t>ดาวคะนอง -  แสมดำ</t>
        </is>
      </c>
      <c r="C41" t="inlineStr">
        <is>
          <t>กรุงเทพมหานคร</t>
        </is>
      </c>
      <c r="D41" t="n">
        <v>35</v>
      </c>
      <c r="E41" t="inlineStr">
        <is>
          <t>0100</t>
        </is>
      </c>
      <c r="F41" t="inlineStr">
        <is>
          <t>11.5–11.7</t>
        </is>
      </c>
      <c r="G41" t="n">
        <v>13.6306</v>
      </c>
      <c r="H41" t="n">
        <v>100.397774</v>
      </c>
      <c r="I41" t="inlineStr">
        <is>
          <t>hods_aadt_pnt_2568.fid-6461857d_1a0f2643074_4a98</t>
        </is>
      </c>
      <c r="J41" t="inlineStr">
        <is>
          <t>ดาวคะนอง - แสมดำ</t>
        </is>
      </c>
      <c r="K41" t="inlineStr">
        <is>
          <t>6+500</t>
        </is>
      </c>
      <c r="L41" t="inlineStr">
        <is>
          <t>สถานีย่อย (C)</t>
        </is>
      </c>
      <c r="M41" t="n">
        <v>1</v>
      </c>
      <c r="N41" t="n">
        <v>13.659911</v>
      </c>
      <c r="O41" t="n">
        <v>100.435201</v>
      </c>
      <c r="P41" t="n">
        <v>5.19</v>
      </c>
      <c r="Q41" t="n">
        <v>3</v>
      </c>
      <c r="R41" t="n">
        <v>3</v>
      </c>
      <c r="S41" s="3" t="n">
        <v>259277</v>
      </c>
      <c r="T41" t="n">
        <v>1</v>
      </c>
      <c r="U41" t="n">
        <v>0</v>
      </c>
      <c r="V41" t="n">
        <v>4</v>
      </c>
      <c r="W41" t="n">
        <v>1.3333</v>
      </c>
      <c r="X41" t="inlineStr">
        <is>
          <t>medium</t>
        </is>
      </c>
      <c r="Y41" s="3">
        <f>Q41*1000000</f>
        <v/>
      </c>
      <c r="Z41" s="3">
        <f>365*R41*S41*T41</f>
        <v/>
      </c>
      <c r="AA41" s="4">
        <f>Y41/Z41</f>
        <v/>
      </c>
      <c r="AB41" s="4">
        <f>Q41*1000000/(365*R41*S41)</f>
        <v/>
      </c>
      <c r="AC41">
        <f>RANK(AA41,$AA$2:$AA$395,0)</f>
        <v/>
      </c>
    </row>
    <row r="42">
      <c r="A42" t="inlineStr">
        <is>
          <t>zone_41</t>
        </is>
      </c>
      <c r="B42" t="inlineStr">
        <is>
          <t>ดาวคะนอง -  แสมดำ</t>
        </is>
      </c>
      <c r="C42" t="inlineStr">
        <is>
          <t>กรุงเทพมหานคร</t>
        </is>
      </c>
      <c r="D42" t="n">
        <v>35</v>
      </c>
      <c r="E42" t="inlineStr">
        <is>
          <t>0100</t>
        </is>
      </c>
      <c r="F42" t="inlineStr">
        <is>
          <t>3.8–3.9</t>
        </is>
      </c>
      <c r="G42" t="n">
        <v>13.672266</v>
      </c>
      <c r="H42" t="n">
        <v>100.455846</v>
      </c>
      <c r="I42" t="inlineStr">
        <is>
          <t>hods_aadt_pnt_2568.fid-6461857d_1a0f2643074_4a98</t>
        </is>
      </c>
      <c r="J42" t="inlineStr">
        <is>
          <t>ดาวคะนอง - แสมดำ</t>
        </is>
      </c>
      <c r="K42" t="inlineStr">
        <is>
          <t>6+500</t>
        </is>
      </c>
      <c r="L42" t="inlineStr">
        <is>
          <t>สถานีย่อย (C)</t>
        </is>
      </c>
      <c r="M42" t="n">
        <v>1</v>
      </c>
      <c r="N42" t="n">
        <v>13.659911</v>
      </c>
      <c r="O42" t="n">
        <v>100.435201</v>
      </c>
      <c r="P42" t="n">
        <v>2.62</v>
      </c>
      <c r="Q42" t="n">
        <v>3</v>
      </c>
      <c r="R42" t="n">
        <v>3</v>
      </c>
      <c r="S42" s="3" t="n">
        <v>259277</v>
      </c>
      <c r="T42" t="n">
        <v>1</v>
      </c>
      <c r="U42" t="n">
        <v>0</v>
      </c>
      <c r="V42" t="n">
        <v>1</v>
      </c>
      <c r="W42" t="n">
        <v>0.3333</v>
      </c>
      <c r="X42" t="inlineStr">
        <is>
          <t>low</t>
        </is>
      </c>
      <c r="Y42" s="3">
        <f>Q42*1000000</f>
        <v/>
      </c>
      <c r="Z42" s="3">
        <f>365*R42*S42*T42</f>
        <v/>
      </c>
      <c r="AA42" s="4">
        <f>Y42/Z42</f>
        <v/>
      </c>
      <c r="AB42" s="4">
        <f>Q42*1000000/(365*R42*S42)</f>
        <v/>
      </c>
      <c r="AC42">
        <f>RANK(AA42,$AA$2:$AA$395,0)</f>
        <v/>
      </c>
    </row>
    <row r="43">
      <c r="A43" t="inlineStr">
        <is>
          <t>zone_42</t>
        </is>
      </c>
      <c r="B43" t="inlineStr">
        <is>
          <t>ดาวคะนอง -  แสมดำ</t>
        </is>
      </c>
      <c r="C43" t="inlineStr">
        <is>
          <t>กรุงเทพมหานคร</t>
        </is>
      </c>
      <c r="D43" t="n">
        <v>35</v>
      </c>
      <c r="E43" t="inlineStr">
        <is>
          <t>0100</t>
        </is>
      </c>
      <c r="F43" t="inlineStr">
        <is>
          <t>8.5–8.65</t>
        </is>
      </c>
      <c r="G43" t="n">
        <v>13.648631</v>
      </c>
      <c r="H43" t="n">
        <v>100.419163</v>
      </c>
      <c r="I43" t="inlineStr">
        <is>
          <t>hods_aadt_pnt_2568.fid-6461857d_1a0f2643074_4a98</t>
        </is>
      </c>
      <c r="J43" t="inlineStr">
        <is>
          <t>ดาวคะนอง - แสมดำ</t>
        </is>
      </c>
      <c r="K43" t="inlineStr">
        <is>
          <t>6+500</t>
        </is>
      </c>
      <c r="L43" t="inlineStr">
        <is>
          <t>สถานีย่อย (C)</t>
        </is>
      </c>
      <c r="M43" t="n">
        <v>1</v>
      </c>
      <c r="N43" t="n">
        <v>13.659911</v>
      </c>
      <c r="O43" t="n">
        <v>100.435201</v>
      </c>
      <c r="P43" t="n">
        <v>2.14</v>
      </c>
      <c r="Q43" t="n">
        <v>5</v>
      </c>
      <c r="R43" t="n">
        <v>3</v>
      </c>
      <c r="S43" s="3" t="n">
        <v>259277</v>
      </c>
      <c r="T43" t="n">
        <v>1</v>
      </c>
      <c r="U43" t="n">
        <v>1</v>
      </c>
      <c r="V43" t="n">
        <v>1</v>
      </c>
      <c r="W43" t="n">
        <v>0.4</v>
      </c>
      <c r="X43" t="inlineStr">
        <is>
          <t>low</t>
        </is>
      </c>
      <c r="Y43" s="3">
        <f>Q43*1000000</f>
        <v/>
      </c>
      <c r="Z43" s="3">
        <f>365*R43*S43*T43</f>
        <v/>
      </c>
      <c r="AA43" s="4">
        <f>Y43/Z43</f>
        <v/>
      </c>
      <c r="AB43" s="4">
        <f>Q43*1000000/(365*R43*S43)</f>
        <v/>
      </c>
      <c r="AC43">
        <f>RANK(AA43,$AA$2:$AA$395,0)</f>
        <v/>
      </c>
    </row>
    <row r="44">
      <c r="A44" t="inlineStr">
        <is>
          <t>zone_43</t>
        </is>
      </c>
      <c r="B44" t="inlineStr">
        <is>
          <t>ดาวคะนอง -  แสมดำ</t>
        </is>
      </c>
      <c r="C44" t="inlineStr">
        <is>
          <t>กรุงเทพมหานคร</t>
        </is>
      </c>
      <c r="D44" t="n">
        <v>35</v>
      </c>
      <c r="E44" t="inlineStr">
        <is>
          <t>0100</t>
        </is>
      </c>
      <c r="F44" t="inlineStr">
        <is>
          <t>6.3–6.7</t>
        </is>
      </c>
      <c r="G44" t="n">
        <v>13.659422</v>
      </c>
      <c r="H44" t="n">
        <v>100.434592</v>
      </c>
      <c r="I44" t="inlineStr">
        <is>
          <t>hods_aadt_pnt_2568.fid-6461857d_1a0f2643074_4a98</t>
        </is>
      </c>
      <c r="J44" t="inlineStr">
        <is>
          <t>ดาวคะนอง - แสมดำ</t>
        </is>
      </c>
      <c r="K44" t="inlineStr">
        <is>
          <t>6+500</t>
        </is>
      </c>
      <c r="L44" t="inlineStr">
        <is>
          <t>สถานีย่อย (C)</t>
        </is>
      </c>
      <c r="M44" t="n">
        <v>1</v>
      </c>
      <c r="N44" t="n">
        <v>13.659911</v>
      </c>
      <c r="O44" t="n">
        <v>100.435201</v>
      </c>
      <c r="P44" t="n">
        <v>0.09</v>
      </c>
      <c r="Q44" t="n">
        <v>9</v>
      </c>
      <c r="R44" t="n">
        <v>3</v>
      </c>
      <c r="S44" s="3" t="n">
        <v>259277</v>
      </c>
      <c r="T44" t="n">
        <v>1</v>
      </c>
      <c r="U44" t="n">
        <v>0</v>
      </c>
      <c r="V44" t="n">
        <v>7</v>
      </c>
      <c r="W44" t="n">
        <v>0.7778</v>
      </c>
      <c r="X44" t="inlineStr">
        <is>
          <t>low</t>
        </is>
      </c>
      <c r="Y44" s="3">
        <f>Q44*1000000</f>
        <v/>
      </c>
      <c r="Z44" s="3">
        <f>365*R44*S44*T44</f>
        <v/>
      </c>
      <c r="AA44" s="4">
        <f>Y44/Z44</f>
        <v/>
      </c>
      <c r="AB44" s="4">
        <f>Q44*1000000/(365*R44*S44)</f>
        <v/>
      </c>
      <c r="AC44">
        <f>RANK(AA44,$AA$2:$AA$395,0)</f>
        <v/>
      </c>
    </row>
    <row r="45">
      <c r="A45" t="inlineStr">
        <is>
          <t>zone_44</t>
        </is>
      </c>
      <c r="B45" t="inlineStr">
        <is>
          <t>ดาวคะนอง -  แสมดำ</t>
        </is>
      </c>
      <c r="C45" t="inlineStr">
        <is>
          <t>กรุงเทพมหานคร</t>
        </is>
      </c>
      <c r="D45" t="n">
        <v>35</v>
      </c>
      <c r="E45" t="inlineStr">
        <is>
          <t>0100</t>
        </is>
      </c>
      <c r="F45" t="inlineStr">
        <is>
          <t>11.2–11.275</t>
        </is>
      </c>
      <c r="G45" t="n">
        <v>13.632961</v>
      </c>
      <c r="H45" t="n">
        <v>100.400094</v>
      </c>
      <c r="I45" t="inlineStr">
        <is>
          <t>hods_aadt_pnt_2568.fid-6461857d_1a0f2643074_4a98</t>
        </is>
      </c>
      <c r="J45" t="inlineStr">
        <is>
          <t>ดาวคะนอง - แสมดำ</t>
        </is>
      </c>
      <c r="K45" t="inlineStr">
        <is>
          <t>6+500</t>
        </is>
      </c>
      <c r="L45" t="inlineStr">
        <is>
          <t>สถานีย่อย (C)</t>
        </is>
      </c>
      <c r="M45" t="n">
        <v>1</v>
      </c>
      <c r="N45" t="n">
        <v>13.659911</v>
      </c>
      <c r="O45" t="n">
        <v>100.435201</v>
      </c>
      <c r="P45" t="n">
        <v>4.83</v>
      </c>
      <c r="Q45" t="n">
        <v>5</v>
      </c>
      <c r="R45" t="n">
        <v>3</v>
      </c>
      <c r="S45" s="3" t="n">
        <v>259277</v>
      </c>
      <c r="T45" t="n">
        <v>1</v>
      </c>
      <c r="U45" t="n">
        <v>1</v>
      </c>
      <c r="V45" t="n">
        <v>3</v>
      </c>
      <c r="W45" t="n">
        <v>0.8</v>
      </c>
      <c r="X45" t="inlineStr">
        <is>
          <t>low</t>
        </is>
      </c>
      <c r="Y45" s="3">
        <f>Q45*1000000</f>
        <v/>
      </c>
      <c r="Z45" s="3">
        <f>365*R45*S45*T45</f>
        <v/>
      </c>
      <c r="AA45" s="4">
        <f>Y45/Z45</f>
        <v/>
      </c>
      <c r="AB45" s="4">
        <f>Q45*1000000/(365*R45*S45)</f>
        <v/>
      </c>
      <c r="AC45">
        <f>RANK(AA45,$AA$2:$AA$395,0)</f>
        <v/>
      </c>
    </row>
    <row r="46">
      <c r="A46" t="inlineStr">
        <is>
          <t>zone_45</t>
        </is>
      </c>
      <c r="B46" t="inlineStr">
        <is>
          <t>ดาวคะนอง -  แสมดำ</t>
        </is>
      </c>
      <c r="C46" t="inlineStr">
        <is>
          <t>กรุงเทพมหานคร</t>
        </is>
      </c>
      <c r="D46" t="n">
        <v>35</v>
      </c>
      <c r="E46" t="inlineStr">
        <is>
          <t>0100</t>
        </is>
      </c>
      <c r="F46" t="inlineStr">
        <is>
          <t>1.842–2.2</t>
        </is>
      </c>
      <c r="G46" t="n">
        <v>13.6797</v>
      </c>
      <c r="H46" t="n">
        <v>100.469509</v>
      </c>
      <c r="I46" t="inlineStr">
        <is>
          <t>hods_aadt_pnt_2568.fid-6461857d_1a0f2643074_4a98</t>
        </is>
      </c>
      <c r="J46" t="inlineStr">
        <is>
          <t>ดาวคะนอง - แสมดำ</t>
        </is>
      </c>
      <c r="K46" t="inlineStr">
        <is>
          <t>6+500</t>
        </is>
      </c>
      <c r="L46" t="inlineStr">
        <is>
          <t>สถานีย่อย (C)</t>
        </is>
      </c>
      <c r="M46" t="n">
        <v>1</v>
      </c>
      <c r="N46" t="n">
        <v>13.659911</v>
      </c>
      <c r="O46" t="n">
        <v>100.435201</v>
      </c>
      <c r="P46" t="n">
        <v>4.31</v>
      </c>
      <c r="Q46" t="n">
        <v>4</v>
      </c>
      <c r="R46" t="n">
        <v>3</v>
      </c>
      <c r="S46" s="3" t="n">
        <v>259277</v>
      </c>
      <c r="T46" t="n">
        <v>1</v>
      </c>
      <c r="U46" t="n">
        <v>0</v>
      </c>
      <c r="V46" t="n">
        <v>5</v>
      </c>
      <c r="W46" t="n">
        <v>1.25</v>
      </c>
      <c r="X46" t="inlineStr">
        <is>
          <t>medium</t>
        </is>
      </c>
      <c r="Y46" s="3">
        <f>Q46*1000000</f>
        <v/>
      </c>
      <c r="Z46" s="3">
        <f>365*R46*S46*T46</f>
        <v/>
      </c>
      <c r="AA46" s="4">
        <f>Y46/Z46</f>
        <v/>
      </c>
      <c r="AB46" s="4">
        <f>Q46*1000000/(365*R46*S46)</f>
        <v/>
      </c>
      <c r="AC46">
        <f>RANK(AA46,$AA$2:$AA$395,0)</f>
        <v/>
      </c>
    </row>
    <row r="47">
      <c r="A47" t="inlineStr">
        <is>
          <t>zone_46</t>
        </is>
      </c>
      <c r="B47" t="inlineStr">
        <is>
          <t>ดาวคะนอง - แสมดำ</t>
        </is>
      </c>
      <c r="C47" t="inlineStr">
        <is>
          <t>กรุงเทพมหานคร</t>
        </is>
      </c>
      <c r="D47" t="n">
        <v>35</v>
      </c>
      <c r="E47" t="inlineStr">
        <is>
          <t>0100</t>
        </is>
      </c>
      <c r="F47" t="inlineStr">
        <is>
          <t>4.6–12.5</t>
        </is>
      </c>
      <c r="G47" t="n">
        <v>13.649457</v>
      </c>
      <c r="H47" t="n">
        <v>100.420272</v>
      </c>
      <c r="I47" t="inlineStr">
        <is>
          <t>hods_aadt_pnt_2568.fid-6461857d_1a0f2643074_4a98</t>
        </is>
      </c>
      <c r="J47" t="inlineStr">
        <is>
          <t>ดาวคะนอง - แสมดำ</t>
        </is>
      </c>
      <c r="K47" t="inlineStr">
        <is>
          <t>6+500</t>
        </is>
      </c>
      <c r="L47" t="inlineStr">
        <is>
          <t>สถานีย่อย (C)</t>
        </is>
      </c>
      <c r="M47" t="n">
        <v>1</v>
      </c>
      <c r="N47" t="n">
        <v>13.659911</v>
      </c>
      <c r="O47" t="n">
        <v>100.435201</v>
      </c>
      <c r="P47" t="n">
        <v>1.99</v>
      </c>
      <c r="Q47" t="n">
        <v>253</v>
      </c>
      <c r="R47" t="n">
        <v>3</v>
      </c>
      <c r="S47" s="3" t="n">
        <v>259277</v>
      </c>
      <c r="T47" t="n">
        <v>1</v>
      </c>
      <c r="U47" t="n">
        <v>8</v>
      </c>
      <c r="V47" t="n">
        <v>139</v>
      </c>
      <c r="W47" t="n">
        <v>0.581</v>
      </c>
      <c r="X47" t="inlineStr">
        <is>
          <t>low</t>
        </is>
      </c>
      <c r="Y47" s="3">
        <f>Q47*1000000</f>
        <v/>
      </c>
      <c r="Z47" s="3">
        <f>365*R47*S47*T47</f>
        <v/>
      </c>
      <c r="AA47" s="4">
        <f>Y47/Z47</f>
        <v/>
      </c>
      <c r="AB47" s="4">
        <f>Q47*1000000/(365*R47*S47)</f>
        <v/>
      </c>
      <c r="AC47">
        <f>RANK(AA47,$AA$2:$AA$395,0)</f>
        <v/>
      </c>
    </row>
    <row r="48">
      <c r="A48" t="inlineStr">
        <is>
          <t>zone_47</t>
        </is>
      </c>
      <c r="B48" t="inlineStr">
        <is>
          <t>ดาวคะนอง - แสมดำ</t>
        </is>
      </c>
      <c r="C48" t="inlineStr">
        <is>
          <t>กรุงเทพมหานคร</t>
        </is>
      </c>
      <c r="D48" t="n">
        <v>35</v>
      </c>
      <c r="E48" t="inlineStr">
        <is>
          <t>0100</t>
        </is>
      </c>
      <c r="F48" t="inlineStr">
        <is>
          <t>13.05–14.1</t>
        </is>
      </c>
      <c r="G48" t="n">
        <v>13.61685</v>
      </c>
      <c r="H48" t="n">
        <v>100.384208</v>
      </c>
      <c r="I48" t="inlineStr">
        <is>
          <t>hods_aadt_pnt_2568.fid-6461857d_1a0f2643074_4a98</t>
        </is>
      </c>
      <c r="J48" t="inlineStr">
        <is>
          <t>ดาวคะนอง - แสมดำ</t>
        </is>
      </c>
      <c r="K48" t="inlineStr">
        <is>
          <t>6+500</t>
        </is>
      </c>
      <c r="L48" t="inlineStr">
        <is>
          <t>สถานีย่อย (C)</t>
        </is>
      </c>
      <c r="M48" t="n">
        <v>1</v>
      </c>
      <c r="N48" t="n">
        <v>13.659911</v>
      </c>
      <c r="O48" t="n">
        <v>100.435201</v>
      </c>
      <c r="P48" t="n">
        <v>7.3</v>
      </c>
      <c r="Q48" t="n">
        <v>20</v>
      </c>
      <c r="R48" t="n">
        <v>3</v>
      </c>
      <c r="S48" s="3" t="n">
        <v>259277</v>
      </c>
      <c r="T48" t="n">
        <v>1</v>
      </c>
      <c r="U48" t="n">
        <v>3</v>
      </c>
      <c r="V48" t="n">
        <v>9</v>
      </c>
      <c r="W48" t="n">
        <v>0.55</v>
      </c>
      <c r="X48" t="inlineStr">
        <is>
          <t>low</t>
        </is>
      </c>
      <c r="Y48" s="3">
        <f>Q48*1000000</f>
        <v/>
      </c>
      <c r="Z48" s="3">
        <f>365*R48*S48*T48</f>
        <v/>
      </c>
      <c r="AA48" s="4">
        <f>Y48/Z48</f>
        <v/>
      </c>
      <c r="AB48" s="4">
        <f>Q48*1000000/(365*R48*S48)</f>
        <v/>
      </c>
      <c r="AC48">
        <f>RANK(AA48,$AA$2:$AA$395,0)</f>
        <v/>
      </c>
    </row>
    <row r="49">
      <c r="A49" t="inlineStr">
        <is>
          <t>zone_48</t>
        </is>
      </c>
      <c r="B49" t="inlineStr">
        <is>
          <t>ดาวคะนอง - แสมดำ</t>
        </is>
      </c>
      <c r="C49" t="inlineStr">
        <is>
          <t>กรุงเทพมหานคร</t>
        </is>
      </c>
      <c r="D49" t="n">
        <v>35</v>
      </c>
      <c r="E49" t="inlineStr">
        <is>
          <t>0100</t>
        </is>
      </c>
      <c r="F49" t="inlineStr">
        <is>
          <t>2.9–3</t>
        </is>
      </c>
      <c r="G49" t="n">
        <v>13.676214</v>
      </c>
      <c r="H49" t="n">
        <v>100.462411</v>
      </c>
      <c r="I49" t="inlineStr">
        <is>
          <t>hods_aadt_pnt_2568.fid-6461857d_1a0f2643074_4a98</t>
        </is>
      </c>
      <c r="J49" t="inlineStr">
        <is>
          <t>ดาวคะนอง - แสมดำ</t>
        </is>
      </c>
      <c r="K49" t="inlineStr">
        <is>
          <t>6+500</t>
        </is>
      </c>
      <c r="L49" t="inlineStr">
        <is>
          <t>สถานีย่อย (C)</t>
        </is>
      </c>
      <c r="M49" t="n">
        <v>1</v>
      </c>
      <c r="N49" t="n">
        <v>13.659911</v>
      </c>
      <c r="O49" t="n">
        <v>100.435201</v>
      </c>
      <c r="P49" t="n">
        <v>3.45</v>
      </c>
      <c r="Q49" t="n">
        <v>7</v>
      </c>
      <c r="R49" t="n">
        <v>3</v>
      </c>
      <c r="S49" s="3" t="n">
        <v>259277</v>
      </c>
      <c r="T49" t="n">
        <v>1</v>
      </c>
      <c r="U49" t="n">
        <v>0</v>
      </c>
      <c r="V49" t="n">
        <v>7</v>
      </c>
      <c r="W49" t="n">
        <v>1</v>
      </c>
      <c r="X49" t="inlineStr">
        <is>
          <t>medium</t>
        </is>
      </c>
      <c r="Y49" s="3">
        <f>Q49*1000000</f>
        <v/>
      </c>
      <c r="Z49" s="3">
        <f>365*R49*S49*T49</f>
        <v/>
      </c>
      <c r="AA49" s="4">
        <f>Y49/Z49</f>
        <v/>
      </c>
      <c r="AB49" s="4">
        <f>Q49*1000000/(365*R49*S49)</f>
        <v/>
      </c>
      <c r="AC49">
        <f>RANK(AA49,$AA$2:$AA$395,0)</f>
        <v/>
      </c>
    </row>
    <row r="50">
      <c r="A50" t="inlineStr">
        <is>
          <t>zone_49</t>
        </is>
      </c>
      <c r="B50" t="inlineStr">
        <is>
          <t>ดาวคะนอง - แสมดำ</t>
        </is>
      </c>
      <c r="C50" t="inlineStr">
        <is>
          <t>กรุงเทพมหานคร</t>
        </is>
      </c>
      <c r="D50" t="n">
        <v>35</v>
      </c>
      <c r="E50" t="inlineStr">
        <is>
          <t>0100</t>
        </is>
      </c>
      <c r="F50" t="inlineStr">
        <is>
          <t>3.475–3.95</t>
        </is>
      </c>
      <c r="G50" t="n">
        <v>13.672266</v>
      </c>
      <c r="H50" t="n">
        <v>100.455846</v>
      </c>
      <c r="I50" t="inlineStr">
        <is>
          <t>hods_aadt_pnt_2568.fid-6461857d_1a0f2643074_4a98</t>
        </is>
      </c>
      <c r="J50" t="inlineStr">
        <is>
          <t>ดาวคะนอง - แสมดำ</t>
        </is>
      </c>
      <c r="K50" t="inlineStr">
        <is>
          <t>6+500</t>
        </is>
      </c>
      <c r="L50" t="inlineStr">
        <is>
          <t>สถานีย่อย (C)</t>
        </is>
      </c>
      <c r="M50" t="n">
        <v>1</v>
      </c>
      <c r="N50" t="n">
        <v>13.659911</v>
      </c>
      <c r="O50" t="n">
        <v>100.435201</v>
      </c>
      <c r="P50" t="n">
        <v>2.62</v>
      </c>
      <c r="Q50" t="n">
        <v>17</v>
      </c>
      <c r="R50" t="n">
        <v>3</v>
      </c>
      <c r="S50" s="3" t="n">
        <v>259277</v>
      </c>
      <c r="T50" t="n">
        <v>1</v>
      </c>
      <c r="U50" t="n">
        <v>1</v>
      </c>
      <c r="V50" t="n">
        <v>13</v>
      </c>
      <c r="W50" t="n">
        <v>0.8235</v>
      </c>
      <c r="X50" t="inlineStr">
        <is>
          <t>low</t>
        </is>
      </c>
      <c r="Y50" s="3">
        <f>Q50*1000000</f>
        <v/>
      </c>
      <c r="Z50" s="3">
        <f>365*R50*S50*T50</f>
        <v/>
      </c>
      <c r="AA50" s="4">
        <f>Y50/Z50</f>
        <v/>
      </c>
      <c r="AB50" s="4">
        <f>Q50*1000000/(365*R50*S50)</f>
        <v/>
      </c>
      <c r="AC50">
        <f>RANK(AA50,$AA$2:$AA$395,0)</f>
        <v/>
      </c>
    </row>
    <row r="51">
      <c r="A51" t="inlineStr">
        <is>
          <t>zone_50</t>
        </is>
      </c>
      <c r="B51" t="inlineStr">
        <is>
          <t>ดาวคะนอง - แสมดำ</t>
        </is>
      </c>
      <c r="C51" t="inlineStr">
        <is>
          <t>กรุงเทพมหานคร</t>
        </is>
      </c>
      <c r="D51" t="n">
        <v>35</v>
      </c>
      <c r="E51" t="inlineStr">
        <is>
          <t>0100</t>
        </is>
      </c>
      <c r="F51" t="inlineStr">
        <is>
          <t>1.015–2.6</t>
        </is>
      </c>
      <c r="G51" t="n">
        <v>13.680156</v>
      </c>
      <c r="H51" t="n">
        <v>100.471289</v>
      </c>
      <c r="I51" t="inlineStr">
        <is>
          <t>hods_aadt_pnt_2568.fid-6461857d_1a0f2643074_4a98</t>
        </is>
      </c>
      <c r="J51" t="inlineStr">
        <is>
          <t>ดาวคะนอง - แสมดำ</t>
        </is>
      </c>
      <c r="K51" t="inlineStr">
        <is>
          <t>6+500</t>
        </is>
      </c>
      <c r="L51" t="inlineStr">
        <is>
          <t>สถานีย่อย (C)</t>
        </is>
      </c>
      <c r="M51" t="n">
        <v>1</v>
      </c>
      <c r="N51" t="n">
        <v>13.659911</v>
      </c>
      <c r="O51" t="n">
        <v>100.435201</v>
      </c>
      <c r="P51" t="n">
        <v>4.5</v>
      </c>
      <c r="Q51" t="n">
        <v>30</v>
      </c>
      <c r="R51" t="n">
        <v>3</v>
      </c>
      <c r="S51" s="3" t="n">
        <v>259277</v>
      </c>
      <c r="T51" t="n">
        <v>1</v>
      </c>
      <c r="U51" t="n">
        <v>3</v>
      </c>
      <c r="V51" t="n">
        <v>24</v>
      </c>
      <c r="W51" t="n">
        <v>0.9</v>
      </c>
      <c r="X51" t="inlineStr">
        <is>
          <t>low</t>
        </is>
      </c>
      <c r="Y51" s="3">
        <f>Q51*1000000</f>
        <v/>
      </c>
      <c r="Z51" s="3">
        <f>365*R51*S51*T51</f>
        <v/>
      </c>
      <c r="AA51" s="4">
        <f>Y51/Z51</f>
        <v/>
      </c>
      <c r="AB51" s="4">
        <f>Q51*1000000/(365*R51*S51)</f>
        <v/>
      </c>
      <c r="AC51">
        <f>RANK(AA51,$AA$2:$AA$395,0)</f>
        <v/>
      </c>
    </row>
    <row r="52">
      <c r="A52" t="inlineStr">
        <is>
          <t>zone_51</t>
        </is>
      </c>
      <c r="B52" t="inlineStr">
        <is>
          <t>ดาวคะนอง - แสมดำ</t>
        </is>
      </c>
      <c r="C52" t="inlineStr">
        <is>
          <t>กรุงเทพมหานคร</t>
        </is>
      </c>
      <c r="D52" t="n">
        <v>35</v>
      </c>
      <c r="E52" t="inlineStr">
        <is>
          <t>0100</t>
        </is>
      </c>
      <c r="F52" t="inlineStr">
        <is>
          <t>4.2–4.4</t>
        </is>
      </c>
      <c r="G52" t="n">
        <v>13.669997</v>
      </c>
      <c r="H52" t="n">
        <v>100.452059</v>
      </c>
      <c r="I52" t="inlineStr">
        <is>
          <t>hods_aadt_pnt_2568.fid-6461857d_1a0f2643074_4a98</t>
        </is>
      </c>
      <c r="J52" t="inlineStr">
        <is>
          <t>ดาวคะนอง - แสมดำ</t>
        </is>
      </c>
      <c r="K52" t="inlineStr">
        <is>
          <t>6+500</t>
        </is>
      </c>
      <c r="L52" t="inlineStr">
        <is>
          <t>สถานีย่อย (C)</t>
        </is>
      </c>
      <c r="M52" t="n">
        <v>1</v>
      </c>
      <c r="N52" t="n">
        <v>13.659911</v>
      </c>
      <c r="O52" t="n">
        <v>100.435201</v>
      </c>
      <c r="P52" t="n">
        <v>2.14</v>
      </c>
      <c r="Q52" t="n">
        <v>10</v>
      </c>
      <c r="R52" t="n">
        <v>3</v>
      </c>
      <c r="S52" s="3" t="n">
        <v>259277</v>
      </c>
      <c r="T52" t="n">
        <v>1</v>
      </c>
      <c r="U52" t="n">
        <v>0</v>
      </c>
      <c r="V52" t="n">
        <v>9</v>
      </c>
      <c r="W52" t="n">
        <v>0.9</v>
      </c>
      <c r="X52" t="inlineStr">
        <is>
          <t>low</t>
        </is>
      </c>
      <c r="Y52" s="3">
        <f>Q52*1000000</f>
        <v/>
      </c>
      <c r="Z52" s="3">
        <f>365*R52*S52*T52</f>
        <v/>
      </c>
      <c r="AA52" s="4">
        <f>Y52/Z52</f>
        <v/>
      </c>
      <c r="AB52" s="4">
        <f>Q52*1000000/(365*R52*S52)</f>
        <v/>
      </c>
      <c r="AC52">
        <f>RANK(AA52,$AA$2:$AA$395,0)</f>
        <v/>
      </c>
    </row>
    <row r="53">
      <c r="A53" t="inlineStr">
        <is>
          <t>zone_52</t>
        </is>
      </c>
      <c r="B53" t="inlineStr">
        <is>
          <t>ดาวคะนอง - แสมดำ</t>
        </is>
      </c>
      <c r="C53" t="inlineStr">
        <is>
          <t>กรุงเทพมหานคร</t>
        </is>
      </c>
      <c r="D53" t="n">
        <v>35</v>
      </c>
      <c r="E53" t="inlineStr">
        <is>
          <t>0100</t>
        </is>
      </c>
      <c r="F53" t="inlineStr">
        <is>
          <t>12.7–12.755</t>
        </is>
      </c>
      <c r="G53" t="n">
        <v>13.623068</v>
      </c>
      <c r="H53" t="n">
        <v>100.390347</v>
      </c>
      <c r="I53" t="inlineStr">
        <is>
          <t>hods_aadt_pnt_2568.fid-6461857d_1a0f2643074_4a98</t>
        </is>
      </c>
      <c r="J53" t="inlineStr">
        <is>
          <t>ดาวคะนอง - แสมดำ</t>
        </is>
      </c>
      <c r="K53" t="inlineStr">
        <is>
          <t>6+500</t>
        </is>
      </c>
      <c r="L53" t="inlineStr">
        <is>
          <t>สถานีย่อย (C)</t>
        </is>
      </c>
      <c r="M53" t="n">
        <v>1</v>
      </c>
      <c r="N53" t="n">
        <v>13.659911</v>
      </c>
      <c r="O53" t="n">
        <v>100.435201</v>
      </c>
      <c r="P53" t="n">
        <v>6.35</v>
      </c>
      <c r="Q53" t="n">
        <v>3</v>
      </c>
      <c r="R53" t="n">
        <v>3</v>
      </c>
      <c r="S53" s="3" t="n">
        <v>259277</v>
      </c>
      <c r="T53" t="n">
        <v>1</v>
      </c>
      <c r="U53" t="n">
        <v>0</v>
      </c>
      <c r="V53" t="n">
        <v>3</v>
      </c>
      <c r="W53" t="n">
        <v>1</v>
      </c>
      <c r="X53" t="inlineStr">
        <is>
          <t>medium</t>
        </is>
      </c>
      <c r="Y53" s="3">
        <f>Q53*1000000</f>
        <v/>
      </c>
      <c r="Z53" s="3">
        <f>365*R53*S53*T53</f>
        <v/>
      </c>
      <c r="AA53" s="4">
        <f>Y53/Z53</f>
        <v/>
      </c>
      <c r="AB53" s="4">
        <f>Q53*1000000/(365*R53*S53)</f>
        <v/>
      </c>
      <c r="AC53">
        <f>RANK(AA53,$AA$2:$AA$395,0)</f>
        <v/>
      </c>
    </row>
    <row r="54">
      <c r="A54" t="inlineStr">
        <is>
          <t>zone_54</t>
        </is>
      </c>
      <c r="B54" t="inlineStr">
        <is>
          <t>แสมดำ - สะพานข้ามแม่น้ำท่าจีนฝั่งตะวันตก</t>
        </is>
      </c>
      <c r="C54" t="inlineStr">
        <is>
          <t>สมุทรสาคร</t>
        </is>
      </c>
      <c r="D54" t="n">
        <v>35</v>
      </c>
      <c r="E54" t="inlineStr">
        <is>
          <t>0201</t>
        </is>
      </c>
      <c r="F54" t="inlineStr">
        <is>
          <t>14.66–16</t>
        </is>
      </c>
      <c r="G54" t="n">
        <v>13.607056</v>
      </c>
      <c r="H54" t="n">
        <v>100.374538</v>
      </c>
      <c r="I54" t="inlineStr">
        <is>
          <t>hods_aadt_pnt_2568.fid-6461857d_1a0f2643074_4a99</t>
        </is>
      </c>
      <c r="J54" t="inlineStr">
        <is>
          <t>แสมดำ - สะพานข้ามแม่น้ำท่าจีนฝั่งตะวันตก</t>
        </is>
      </c>
      <c r="K54" t="inlineStr">
        <is>
          <t>24+550</t>
        </is>
      </c>
      <c r="L54" t="inlineStr">
        <is>
          <t>สถานีหลัก (P)</t>
        </is>
      </c>
      <c r="M54" t="n">
        <v>1</v>
      </c>
      <c r="N54" t="n">
        <v>13.575463</v>
      </c>
      <c r="O54" t="n">
        <v>100.298629</v>
      </c>
      <c r="P54" t="n">
        <v>8.92</v>
      </c>
      <c r="Q54" t="n">
        <v>27</v>
      </c>
      <c r="R54" t="n">
        <v>3</v>
      </c>
      <c r="S54" s="3" t="n">
        <v>143116</v>
      </c>
      <c r="T54" t="n">
        <v>1</v>
      </c>
      <c r="U54" t="n">
        <v>1</v>
      </c>
      <c r="V54" t="n">
        <v>31</v>
      </c>
      <c r="W54" t="n">
        <v>1.1852</v>
      </c>
      <c r="X54" t="inlineStr">
        <is>
          <t>medium</t>
        </is>
      </c>
      <c r="Y54" s="3">
        <f>Q54*1000000</f>
        <v/>
      </c>
      <c r="Z54" s="3">
        <f>365*R54*S54*T54</f>
        <v/>
      </c>
      <c r="AA54" s="4">
        <f>Y54/Z54</f>
        <v/>
      </c>
      <c r="AB54" s="4">
        <f>Q54*1000000/(365*R54*S54)</f>
        <v/>
      </c>
      <c r="AC54">
        <f>RANK(AA54,$AA$2:$AA$395,0)</f>
        <v/>
      </c>
    </row>
    <row r="55">
      <c r="A55" t="inlineStr">
        <is>
          <t>zone_55</t>
        </is>
      </c>
      <c r="B55" t="inlineStr">
        <is>
          <t>ดาวคะนอง -  แสมดำ</t>
        </is>
      </c>
      <c r="C55" t="inlineStr">
        <is>
          <t>กรุงเทพมหานคร</t>
        </is>
      </c>
      <c r="D55" t="n">
        <v>35</v>
      </c>
      <c r="E55" t="inlineStr">
        <is>
          <t>0100</t>
        </is>
      </c>
      <c r="F55" t="inlineStr">
        <is>
          <t>9–14.625</t>
        </is>
      </c>
      <c r="G55" t="n">
        <v>13.644553</v>
      </c>
      <c r="H55" t="n">
        <v>100.4136</v>
      </c>
      <c r="I55" t="inlineStr">
        <is>
          <t>hods_aadt_pnt_2568.fid-6461857d_1a0f2643074_4a98</t>
        </is>
      </c>
      <c r="J55" t="inlineStr">
        <is>
          <t>ดาวคะนอง - แสมดำ</t>
        </is>
      </c>
      <c r="K55" t="inlineStr">
        <is>
          <t>6+500</t>
        </is>
      </c>
      <c r="L55" t="inlineStr">
        <is>
          <t>สถานีย่อย (C)</t>
        </is>
      </c>
      <c r="M55" t="n">
        <v>1</v>
      </c>
      <c r="N55" t="n">
        <v>13.659911</v>
      </c>
      <c r="O55" t="n">
        <v>100.435201</v>
      </c>
      <c r="P55" t="n">
        <v>2.89</v>
      </c>
      <c r="Q55" t="n">
        <v>23</v>
      </c>
      <c r="R55" t="n">
        <v>3</v>
      </c>
      <c r="S55" s="3" t="n">
        <v>259277</v>
      </c>
      <c r="T55" t="n">
        <v>1</v>
      </c>
      <c r="U55" t="n">
        <v>0</v>
      </c>
      <c r="V55" t="n">
        <v>14</v>
      </c>
      <c r="W55" t="n">
        <v>0.6087</v>
      </c>
      <c r="X55" t="inlineStr">
        <is>
          <t>low</t>
        </is>
      </c>
      <c r="Y55" s="3">
        <f>Q55*1000000</f>
        <v/>
      </c>
      <c r="Z55" s="3">
        <f>365*R55*S55*T55</f>
        <v/>
      </c>
      <c r="AA55" s="4">
        <f>Y55/Z55</f>
        <v/>
      </c>
      <c r="AB55" s="4">
        <f>Q55*1000000/(365*R55*S55)</f>
        <v/>
      </c>
      <c r="AC55">
        <f>RANK(AA55,$AA$2:$AA$395,0)</f>
        <v/>
      </c>
    </row>
    <row r="56">
      <c r="A56" t="inlineStr">
        <is>
          <t>zone_56</t>
        </is>
      </c>
      <c r="B56" t="inlineStr">
        <is>
          <t>ดาวคะนอง -  แสมดำ</t>
        </is>
      </c>
      <c r="C56" t="inlineStr">
        <is>
          <t>กรุงเทพมหานคร</t>
        </is>
      </c>
      <c r="D56" t="n">
        <v>35</v>
      </c>
      <c r="E56" t="inlineStr">
        <is>
          <t>0100</t>
        </is>
      </c>
      <c r="F56" t="inlineStr">
        <is>
          <t>5.4–6.6</t>
        </is>
      </c>
      <c r="G56" t="n">
        <v>13.661829</v>
      </c>
      <c r="H56" t="n">
        <v>100.438565</v>
      </c>
      <c r="I56" t="inlineStr">
        <is>
          <t>hods_aadt_pnt_2568.fid-6461857d_1a0f2643074_4a98</t>
        </is>
      </c>
      <c r="J56" t="inlineStr">
        <is>
          <t>ดาวคะนอง - แสมดำ</t>
        </is>
      </c>
      <c r="K56" t="inlineStr">
        <is>
          <t>6+500</t>
        </is>
      </c>
      <c r="L56" t="inlineStr">
        <is>
          <t>สถานีย่อย (C)</t>
        </is>
      </c>
      <c r="M56" t="n">
        <v>1</v>
      </c>
      <c r="N56" t="n">
        <v>13.659911</v>
      </c>
      <c r="O56" t="n">
        <v>100.435201</v>
      </c>
      <c r="P56" t="n">
        <v>0.42</v>
      </c>
      <c r="Q56" t="n">
        <v>45</v>
      </c>
      <c r="R56" t="n">
        <v>3</v>
      </c>
      <c r="S56" s="3" t="n">
        <v>259277</v>
      </c>
      <c r="T56" t="n">
        <v>1</v>
      </c>
      <c r="U56" t="n">
        <v>0</v>
      </c>
      <c r="V56" t="n">
        <v>31</v>
      </c>
      <c r="W56" t="n">
        <v>0.6889</v>
      </c>
      <c r="X56" t="inlineStr">
        <is>
          <t>low</t>
        </is>
      </c>
      <c r="Y56" s="3">
        <f>Q56*1000000</f>
        <v/>
      </c>
      <c r="Z56" s="3">
        <f>365*R56*S56*T56</f>
        <v/>
      </c>
      <c r="AA56" s="4">
        <f>Y56/Z56</f>
        <v/>
      </c>
      <c r="AB56" s="4">
        <f>Q56*1000000/(365*R56*S56)</f>
        <v/>
      </c>
      <c r="AC56">
        <f>RANK(AA56,$AA$2:$AA$395,0)</f>
        <v/>
      </c>
    </row>
    <row r="57">
      <c r="A57" t="inlineStr">
        <is>
          <t>zone_57</t>
        </is>
      </c>
      <c r="B57" t="inlineStr">
        <is>
          <t>ดาวคะนอง - แสมดำ</t>
        </is>
      </c>
      <c r="C57" t="inlineStr">
        <is>
          <t>กรุงเทพมหานคร</t>
        </is>
      </c>
      <c r="D57" t="n">
        <v>35</v>
      </c>
      <c r="E57" t="inlineStr">
        <is>
          <t>0100</t>
        </is>
      </c>
      <c r="F57" t="inlineStr">
        <is>
          <t>2.51–3.8</t>
        </is>
      </c>
      <c r="G57" t="n">
        <v>13.675582</v>
      </c>
      <c r="H57" t="n">
        <v>100.461364</v>
      </c>
      <c r="I57" t="inlineStr">
        <is>
          <t>hods_aadt_pnt_2568.fid-6461857d_1a0f2643074_4a98</t>
        </is>
      </c>
      <c r="J57" t="inlineStr">
        <is>
          <t>ดาวคะนอง - แสมดำ</t>
        </is>
      </c>
      <c r="K57" t="inlineStr">
        <is>
          <t>6+500</t>
        </is>
      </c>
      <c r="L57" t="inlineStr">
        <is>
          <t>สถานีย่อย (C)</t>
        </is>
      </c>
      <c r="M57" t="n">
        <v>1</v>
      </c>
      <c r="N57" t="n">
        <v>13.659911</v>
      </c>
      <c r="O57" t="n">
        <v>100.435201</v>
      </c>
      <c r="P57" t="n">
        <v>3.32</v>
      </c>
      <c r="Q57" t="n">
        <v>31</v>
      </c>
      <c r="R57" t="n">
        <v>3</v>
      </c>
      <c r="S57" s="3" t="n">
        <v>259277</v>
      </c>
      <c r="T57" t="n">
        <v>1</v>
      </c>
      <c r="U57" t="n">
        <v>1</v>
      </c>
      <c r="V57" t="n">
        <v>31</v>
      </c>
      <c r="W57" t="n">
        <v>1.0323</v>
      </c>
      <c r="X57" t="inlineStr">
        <is>
          <t>medium</t>
        </is>
      </c>
      <c r="Y57" s="3">
        <f>Q57*1000000</f>
        <v/>
      </c>
      <c r="Z57" s="3">
        <f>365*R57*S57*T57</f>
        <v/>
      </c>
      <c r="AA57" s="4">
        <f>Y57/Z57</f>
        <v/>
      </c>
      <c r="AB57" s="4">
        <f>Q57*1000000/(365*R57*S57)</f>
        <v/>
      </c>
      <c r="AC57">
        <f>RANK(AA57,$AA$2:$AA$395,0)</f>
        <v/>
      </c>
    </row>
    <row r="58">
      <c r="A58" t="inlineStr">
        <is>
          <t>zone_58</t>
        </is>
      </c>
      <c r="B58" t="inlineStr">
        <is>
          <t>ดาวคะนอง - แสมดำ</t>
        </is>
      </c>
      <c r="C58" t="inlineStr">
        <is>
          <t>กรุงเทพมหานคร</t>
        </is>
      </c>
      <c r="D58" t="n">
        <v>35</v>
      </c>
      <c r="E58" t="inlineStr">
        <is>
          <t>0100</t>
        </is>
      </c>
      <c r="F58" t="inlineStr">
        <is>
          <t>1–1.5</t>
        </is>
      </c>
      <c r="G58" t="n">
        <v>13.681656</v>
      </c>
      <c r="H58" t="n">
        <v>100.477079</v>
      </c>
      <c r="I58" t="inlineStr">
        <is>
          <t>hods_aadt_pnt_2568.fid-6461857d_1a0f2643074_4a98</t>
        </is>
      </c>
      <c r="J58" t="inlineStr">
        <is>
          <t>ดาวคะนอง - แสมดำ</t>
        </is>
      </c>
      <c r="K58" t="inlineStr">
        <is>
          <t>6+500</t>
        </is>
      </c>
      <c r="L58" t="inlineStr">
        <is>
          <t>สถานีย่อย (C)</t>
        </is>
      </c>
      <c r="M58" t="n">
        <v>1</v>
      </c>
      <c r="N58" t="n">
        <v>13.659911</v>
      </c>
      <c r="O58" t="n">
        <v>100.435201</v>
      </c>
      <c r="P58" t="n">
        <v>5.13</v>
      </c>
      <c r="Q58" t="n">
        <v>15</v>
      </c>
      <c r="R58" t="n">
        <v>3</v>
      </c>
      <c r="S58" s="3" t="n">
        <v>259277</v>
      </c>
      <c r="T58" t="n">
        <v>1</v>
      </c>
      <c r="U58" t="n">
        <v>1</v>
      </c>
      <c r="V58" t="n">
        <v>15</v>
      </c>
      <c r="W58" t="n">
        <v>1.0667</v>
      </c>
      <c r="X58" t="inlineStr">
        <is>
          <t>medium</t>
        </is>
      </c>
      <c r="Y58" s="3">
        <f>Q58*1000000</f>
        <v/>
      </c>
      <c r="Z58" s="3">
        <f>365*R58*S58*T58</f>
        <v/>
      </c>
      <c r="AA58" s="4">
        <f>Y58/Z58</f>
        <v/>
      </c>
      <c r="AB58" s="4">
        <f>Q58*1000000/(365*R58*S58)</f>
        <v/>
      </c>
      <c r="AC58">
        <f>RANK(AA58,$AA$2:$AA$395,0)</f>
        <v/>
      </c>
    </row>
    <row r="59">
      <c r="A59" t="inlineStr">
        <is>
          <t>zone_59</t>
        </is>
      </c>
      <c r="B59" t="inlineStr">
        <is>
          <t>ดาวคะนอง -  แสมดำ</t>
        </is>
      </c>
      <c r="C59" t="inlineStr">
        <is>
          <t>กรุงเทพมหานคร</t>
        </is>
      </c>
      <c r="D59" t="n">
        <v>35</v>
      </c>
      <c r="E59" t="inlineStr">
        <is>
          <t>0100</t>
        </is>
      </c>
      <c r="F59" t="inlineStr">
        <is>
          <t>13.645–13.76</t>
        </is>
      </c>
      <c r="G59" t="n">
        <v>13.61685</v>
      </c>
      <c r="H59" t="n">
        <v>100.384208</v>
      </c>
      <c r="I59" t="inlineStr">
        <is>
          <t>hods_aadt_pnt_2568.fid-6461857d_1a0f2643074_4a98</t>
        </is>
      </c>
      <c r="J59" t="inlineStr">
        <is>
          <t>ดาวคะนอง - แสมดำ</t>
        </is>
      </c>
      <c r="K59" t="inlineStr">
        <is>
          <t>6+500</t>
        </is>
      </c>
      <c r="L59" t="inlineStr">
        <is>
          <t>สถานีย่อย (C)</t>
        </is>
      </c>
      <c r="M59" t="n">
        <v>1</v>
      </c>
      <c r="N59" t="n">
        <v>13.659911</v>
      </c>
      <c r="O59" t="n">
        <v>100.435201</v>
      </c>
      <c r="P59" t="n">
        <v>7.3</v>
      </c>
      <c r="Q59" t="n">
        <v>4</v>
      </c>
      <c r="R59" t="n">
        <v>3</v>
      </c>
      <c r="S59" s="3" t="n">
        <v>259277</v>
      </c>
      <c r="T59" t="n">
        <v>1</v>
      </c>
      <c r="U59" t="n">
        <v>1</v>
      </c>
      <c r="V59" t="n">
        <v>1</v>
      </c>
      <c r="W59" t="n">
        <v>0.5</v>
      </c>
      <c r="X59" t="inlineStr">
        <is>
          <t>low</t>
        </is>
      </c>
      <c r="Y59" s="3">
        <f>Q59*1000000</f>
        <v/>
      </c>
      <c r="Z59" s="3">
        <f>365*R59*S59*T59</f>
        <v/>
      </c>
      <c r="AA59" s="4">
        <f>Y59/Z59</f>
        <v/>
      </c>
      <c r="AB59" s="4">
        <f>Q59*1000000/(365*R59*S59)</f>
        <v/>
      </c>
      <c r="AC59">
        <f>RANK(AA59,$AA$2:$AA$395,0)</f>
        <v/>
      </c>
    </row>
    <row r="60">
      <c r="A60" t="inlineStr">
        <is>
          <t>zone_60</t>
        </is>
      </c>
      <c r="B60" t="inlineStr">
        <is>
          <t>ดาวคะนอง - แสมดำ</t>
        </is>
      </c>
      <c r="C60" t="inlineStr">
        <is>
          <t>กรุงเทพมหานคร</t>
        </is>
      </c>
      <c r="D60" t="n">
        <v>35</v>
      </c>
      <c r="E60" t="inlineStr">
        <is>
          <t>0100</t>
        </is>
      </c>
      <c r="F60" t="inlineStr">
        <is>
          <t>12–13.4</t>
        </is>
      </c>
      <c r="G60" t="n">
        <v>13.62333</v>
      </c>
      <c r="H60" t="n">
        <v>100.390606</v>
      </c>
      <c r="I60" t="inlineStr">
        <is>
          <t>hods_aadt_pnt_2568.fid-6461857d_1a0f2643074_4a98</t>
        </is>
      </c>
      <c r="J60" t="inlineStr">
        <is>
          <t>ดาวคะนอง - แสมดำ</t>
        </is>
      </c>
      <c r="K60" t="inlineStr">
        <is>
          <t>6+500</t>
        </is>
      </c>
      <c r="L60" t="inlineStr">
        <is>
          <t>สถานีย่อย (C)</t>
        </is>
      </c>
      <c r="M60" t="n">
        <v>1</v>
      </c>
      <c r="N60" t="n">
        <v>13.659911</v>
      </c>
      <c r="O60" t="n">
        <v>100.435201</v>
      </c>
      <c r="P60" t="n">
        <v>6.31</v>
      </c>
      <c r="Q60" t="n">
        <v>34</v>
      </c>
      <c r="R60" t="n">
        <v>3</v>
      </c>
      <c r="S60" s="3" t="n">
        <v>259277</v>
      </c>
      <c r="T60" t="n">
        <v>1</v>
      </c>
      <c r="U60" t="n">
        <v>2</v>
      </c>
      <c r="V60" t="n">
        <v>14</v>
      </c>
      <c r="W60" t="n">
        <v>0.4706</v>
      </c>
      <c r="X60" t="inlineStr">
        <is>
          <t>low</t>
        </is>
      </c>
      <c r="Y60" s="3">
        <f>Q60*1000000</f>
        <v/>
      </c>
      <c r="Z60" s="3">
        <f>365*R60*S60*T60</f>
        <v/>
      </c>
      <c r="AA60" s="4">
        <f>Y60/Z60</f>
        <v/>
      </c>
      <c r="AB60" s="4">
        <f>Q60*1000000/(365*R60*S60)</f>
        <v/>
      </c>
      <c r="AC60">
        <f>RANK(AA60,$AA$2:$AA$395,0)</f>
        <v/>
      </c>
    </row>
    <row r="61">
      <c r="A61" t="inlineStr">
        <is>
          <t>zone_61</t>
        </is>
      </c>
      <c r="B61" t="inlineStr">
        <is>
          <t>ดาวคะนอง - แสมดำ</t>
        </is>
      </c>
      <c r="C61" t="inlineStr">
        <is>
          <t>กรุงเทพมหานคร</t>
        </is>
      </c>
      <c r="D61" t="n">
        <v>35</v>
      </c>
      <c r="E61" t="inlineStr">
        <is>
          <t>0100</t>
        </is>
      </c>
      <c r="F61" t="inlineStr">
        <is>
          <t>11.275–11.55</t>
        </is>
      </c>
      <c r="G61" t="n">
        <v>13.632338</v>
      </c>
      <c r="H61" t="n">
        <v>100.399482</v>
      </c>
      <c r="I61" t="inlineStr">
        <is>
          <t>hods_aadt_pnt_2568.fid-6461857d_1a0f2643074_4a98</t>
        </is>
      </c>
      <c r="J61" t="inlineStr">
        <is>
          <t>ดาวคะนอง - แสมดำ</t>
        </is>
      </c>
      <c r="K61" t="inlineStr">
        <is>
          <t>6+500</t>
        </is>
      </c>
      <c r="L61" t="inlineStr">
        <is>
          <t>สถานีย่อย (C)</t>
        </is>
      </c>
      <c r="M61" t="n">
        <v>1</v>
      </c>
      <c r="N61" t="n">
        <v>13.659911</v>
      </c>
      <c r="O61" t="n">
        <v>100.435201</v>
      </c>
      <c r="P61" t="n">
        <v>4.93</v>
      </c>
      <c r="Q61" t="n">
        <v>8</v>
      </c>
      <c r="R61" t="n">
        <v>3</v>
      </c>
      <c r="S61" s="3" t="n">
        <v>259277</v>
      </c>
      <c r="T61" t="n">
        <v>1</v>
      </c>
      <c r="U61" t="n">
        <v>0</v>
      </c>
      <c r="V61" t="n">
        <v>3</v>
      </c>
      <c r="W61" t="n">
        <v>0.375</v>
      </c>
      <c r="X61" t="inlineStr">
        <is>
          <t>low</t>
        </is>
      </c>
      <c r="Y61" s="3">
        <f>Q61*1000000</f>
        <v/>
      </c>
      <c r="Z61" s="3">
        <f>365*R61*S61*T61</f>
        <v/>
      </c>
      <c r="AA61" s="4">
        <f>Y61/Z61</f>
        <v/>
      </c>
      <c r="AB61" s="4">
        <f>Q61*1000000/(365*R61*S61)</f>
        <v/>
      </c>
      <c r="AC61">
        <f>RANK(AA61,$AA$2:$AA$395,0)</f>
        <v/>
      </c>
    </row>
    <row r="62">
      <c r="A62" t="inlineStr">
        <is>
          <t>zone_62</t>
        </is>
      </c>
      <c r="B62" t="inlineStr">
        <is>
          <t>ดาวคะนอง -  แสมดำ</t>
        </is>
      </c>
      <c r="C62" t="inlineStr">
        <is>
          <t>กรุงเทพมหานคร</t>
        </is>
      </c>
      <c r="D62" t="n">
        <v>35</v>
      </c>
      <c r="E62" t="inlineStr">
        <is>
          <t>0100</t>
        </is>
      </c>
      <c r="F62" t="inlineStr">
        <is>
          <t>1.8–2.3</t>
        </is>
      </c>
      <c r="G62" t="n">
        <v>13.679931</v>
      </c>
      <c r="H62" t="n">
        <v>100.470397</v>
      </c>
      <c r="I62" t="inlineStr">
        <is>
          <t>hods_aadt_pnt_2568.fid-6461857d_1a0f2643074_4a98</t>
        </is>
      </c>
      <c r="J62" t="inlineStr">
        <is>
          <t>ดาวคะนอง - แสมดำ</t>
        </is>
      </c>
      <c r="K62" t="inlineStr">
        <is>
          <t>6+500</t>
        </is>
      </c>
      <c r="L62" t="inlineStr">
        <is>
          <t>สถานีย่อย (C)</t>
        </is>
      </c>
      <c r="M62" t="n">
        <v>1</v>
      </c>
      <c r="N62" t="n">
        <v>13.659911</v>
      </c>
      <c r="O62" t="n">
        <v>100.435201</v>
      </c>
      <c r="P62" t="n">
        <v>4.41</v>
      </c>
      <c r="Q62" t="n">
        <v>9</v>
      </c>
      <c r="R62" t="n">
        <v>3</v>
      </c>
      <c r="S62" s="3" t="n">
        <v>259277</v>
      </c>
      <c r="T62" t="n">
        <v>1</v>
      </c>
      <c r="U62" t="n">
        <v>0</v>
      </c>
      <c r="V62" t="n">
        <v>5</v>
      </c>
      <c r="W62" t="n">
        <v>0.5556</v>
      </c>
      <c r="X62" t="inlineStr">
        <is>
          <t>low</t>
        </is>
      </c>
      <c r="Y62" s="3">
        <f>Q62*1000000</f>
        <v/>
      </c>
      <c r="Z62" s="3">
        <f>365*R62*S62*T62</f>
        <v/>
      </c>
      <c r="AA62" s="4">
        <f>Y62/Z62</f>
        <v/>
      </c>
      <c r="AB62" s="4">
        <f>Q62*1000000/(365*R62*S62)</f>
        <v/>
      </c>
      <c r="AC62">
        <f>RANK(AA62,$AA$2:$AA$395,0)</f>
        <v/>
      </c>
    </row>
    <row r="63">
      <c r="A63" t="inlineStr">
        <is>
          <t>zone_63</t>
        </is>
      </c>
      <c r="B63" t="inlineStr">
        <is>
          <t>ดาวคะนอง -  แสมดำ</t>
        </is>
      </c>
      <c r="C63" t="inlineStr">
        <is>
          <t>กรุงเทพมหานคร</t>
        </is>
      </c>
      <c r="D63" t="n">
        <v>35</v>
      </c>
      <c r="E63" t="inlineStr">
        <is>
          <t>0100</t>
        </is>
      </c>
      <c r="F63" t="inlineStr">
        <is>
          <t>10–10.7</t>
        </is>
      </c>
      <c r="G63" t="n">
        <v>13.63941</v>
      </c>
      <c r="H63" t="n">
        <v>100.406519</v>
      </c>
      <c r="I63" t="inlineStr">
        <is>
          <t>hods_aadt_pnt_2568.fid-6461857d_1a0f2643074_4a98</t>
        </is>
      </c>
      <c r="J63" t="inlineStr">
        <is>
          <t>ดาวคะนอง - แสมดำ</t>
        </is>
      </c>
      <c r="K63" t="inlineStr">
        <is>
          <t>6+500</t>
        </is>
      </c>
      <c r="L63" t="inlineStr">
        <is>
          <t>สถานีย่อย (C)</t>
        </is>
      </c>
      <c r="M63" t="n">
        <v>1</v>
      </c>
      <c r="N63" t="n">
        <v>13.659911</v>
      </c>
      <c r="O63" t="n">
        <v>100.435201</v>
      </c>
      <c r="P63" t="n">
        <v>3.85</v>
      </c>
      <c r="Q63" t="n">
        <v>17</v>
      </c>
      <c r="R63" t="n">
        <v>3</v>
      </c>
      <c r="S63" s="3" t="n">
        <v>259277</v>
      </c>
      <c r="T63" t="n">
        <v>1</v>
      </c>
      <c r="U63" t="n">
        <v>1</v>
      </c>
      <c r="V63" t="n">
        <v>6</v>
      </c>
      <c r="W63" t="n">
        <v>0.4118</v>
      </c>
      <c r="X63" t="inlineStr">
        <is>
          <t>low</t>
        </is>
      </c>
      <c r="Y63" s="3">
        <f>Q63*1000000</f>
        <v/>
      </c>
      <c r="Z63" s="3">
        <f>365*R63*S63*T63</f>
        <v/>
      </c>
      <c r="AA63" s="4">
        <f>Y63/Z63</f>
        <v/>
      </c>
      <c r="AB63" s="4">
        <f>Q63*1000000/(365*R63*S63)</f>
        <v/>
      </c>
      <c r="AC63">
        <f>RANK(AA63,$AA$2:$AA$395,0)</f>
        <v/>
      </c>
    </row>
    <row r="64">
      <c r="A64" t="inlineStr">
        <is>
          <t>zone_64</t>
        </is>
      </c>
      <c r="B64" t="inlineStr">
        <is>
          <t>ดาวคะนอง -  แสมดำ</t>
        </is>
      </c>
      <c r="C64" t="inlineStr">
        <is>
          <t>กรุงเทพมหานคร</t>
        </is>
      </c>
      <c r="D64" t="n">
        <v>35</v>
      </c>
      <c r="E64" t="inlineStr">
        <is>
          <t>0100</t>
        </is>
      </c>
      <c r="F64" t="inlineStr">
        <is>
          <t>14–14.66</t>
        </is>
      </c>
      <c r="G64" t="n">
        <v>13.613213</v>
      </c>
      <c r="H64" t="n">
        <v>100.38077</v>
      </c>
      <c r="I64" t="inlineStr">
        <is>
          <t>hods_aadt_pnt_2568.fid-6461857d_1a0f2643074_4a98</t>
        </is>
      </c>
      <c r="J64" t="inlineStr">
        <is>
          <t>ดาวคะนอง - แสมดำ</t>
        </is>
      </c>
      <c r="K64" t="inlineStr">
        <is>
          <t>6+500</t>
        </is>
      </c>
      <c r="L64" t="inlineStr">
        <is>
          <t>สถานีย่อย (C)</t>
        </is>
      </c>
      <c r="M64" t="n">
        <v>1</v>
      </c>
      <c r="N64" t="n">
        <v>13.659911</v>
      </c>
      <c r="O64" t="n">
        <v>100.435201</v>
      </c>
      <c r="P64" t="n">
        <v>7.85</v>
      </c>
      <c r="Q64" t="n">
        <v>18</v>
      </c>
      <c r="R64" t="n">
        <v>3</v>
      </c>
      <c r="S64" s="3" t="n">
        <v>259277</v>
      </c>
      <c r="T64" t="n">
        <v>1</v>
      </c>
      <c r="U64" t="n">
        <v>0</v>
      </c>
      <c r="V64" t="n">
        <v>9</v>
      </c>
      <c r="W64" t="n">
        <v>0.5</v>
      </c>
      <c r="X64" t="inlineStr">
        <is>
          <t>low</t>
        </is>
      </c>
      <c r="Y64" s="3">
        <f>Q64*1000000</f>
        <v/>
      </c>
      <c r="Z64" s="3">
        <f>365*R64*S64*T64</f>
        <v/>
      </c>
      <c r="AA64" s="4">
        <f>Y64/Z64</f>
        <v/>
      </c>
      <c r="AB64" s="4">
        <f>Q64*1000000/(365*R64*S64)</f>
        <v/>
      </c>
      <c r="AC64">
        <f>RANK(AA64,$AA$2:$AA$395,0)</f>
        <v/>
      </c>
    </row>
    <row r="65">
      <c r="A65" t="inlineStr">
        <is>
          <t>zone_65</t>
        </is>
      </c>
      <c r="B65" t="inlineStr">
        <is>
          <t>ดาวคะนอง -  แสมดำ</t>
        </is>
      </c>
      <c r="C65" t="inlineStr">
        <is>
          <t>กรุงเทพมหานคร</t>
        </is>
      </c>
      <c r="D65" t="n">
        <v>35</v>
      </c>
      <c r="E65" t="inlineStr">
        <is>
          <t>0100</t>
        </is>
      </c>
      <c r="F65" t="inlineStr">
        <is>
          <t>6.85–8.7</t>
        </is>
      </c>
      <c r="G65" t="n">
        <v>13.651386</v>
      </c>
      <c r="H65" t="n">
        <v>100.422843</v>
      </c>
      <c r="I65" t="inlineStr">
        <is>
          <t>hods_aadt_pnt_2568.fid-6461857d_1a0f2643074_4a98</t>
        </is>
      </c>
      <c r="J65" t="inlineStr">
        <is>
          <t>ดาวคะนอง - แสมดำ</t>
        </is>
      </c>
      <c r="K65" t="inlineStr">
        <is>
          <t>6+500</t>
        </is>
      </c>
      <c r="L65" t="inlineStr">
        <is>
          <t>สถานีย่อย (C)</t>
        </is>
      </c>
      <c r="M65" t="n">
        <v>1</v>
      </c>
      <c r="N65" t="n">
        <v>13.659911</v>
      </c>
      <c r="O65" t="n">
        <v>100.435201</v>
      </c>
      <c r="P65" t="n">
        <v>1.64</v>
      </c>
      <c r="Q65" t="n">
        <v>42</v>
      </c>
      <c r="R65" t="n">
        <v>3</v>
      </c>
      <c r="S65" s="3" t="n">
        <v>259277</v>
      </c>
      <c r="T65" t="n">
        <v>1</v>
      </c>
      <c r="U65" t="n">
        <v>0</v>
      </c>
      <c r="V65" t="n">
        <v>30</v>
      </c>
      <c r="W65" t="n">
        <v>0.7143</v>
      </c>
      <c r="X65" t="inlineStr">
        <is>
          <t>low</t>
        </is>
      </c>
      <c r="Y65" s="3">
        <f>Q65*1000000</f>
        <v/>
      </c>
      <c r="Z65" s="3">
        <f>365*R65*S65*T65</f>
        <v/>
      </c>
      <c r="AA65" s="4">
        <f>Y65/Z65</f>
        <v/>
      </c>
      <c r="AB65" s="4">
        <f>Q65*1000000/(365*R65*S65)</f>
        <v/>
      </c>
      <c r="AC65">
        <f>RANK(AA65,$AA$2:$AA$395,0)</f>
        <v/>
      </c>
    </row>
    <row r="66">
      <c r="A66" t="inlineStr">
        <is>
          <t>zone_66</t>
        </is>
      </c>
      <c r="B66" t="inlineStr">
        <is>
          <t>ดาวคะนอง - แสมดำ</t>
        </is>
      </c>
      <c r="C66" t="inlineStr">
        <is>
          <t>กรุงเทพมหานคร</t>
        </is>
      </c>
      <c r="D66" t="n">
        <v>35</v>
      </c>
      <c r="E66" t="inlineStr">
        <is>
          <t>0100</t>
        </is>
      </c>
      <c r="F66" t="inlineStr">
        <is>
          <t>4–5.15</t>
        </is>
      </c>
      <c r="G66" t="n">
        <v>13.668942</v>
      </c>
      <c r="H66" t="n">
        <v>100.450334</v>
      </c>
      <c r="I66" t="inlineStr">
        <is>
          <t>hods_aadt_pnt_2568.fid-6461857d_1a0f2643074_4a98</t>
        </is>
      </c>
      <c r="J66" t="inlineStr">
        <is>
          <t>ดาวคะนอง - แสมดำ</t>
        </is>
      </c>
      <c r="K66" t="inlineStr">
        <is>
          <t>6+500</t>
        </is>
      </c>
      <c r="L66" t="inlineStr">
        <is>
          <t>สถานีย่อย (C)</t>
        </is>
      </c>
      <c r="M66" t="n">
        <v>1</v>
      </c>
      <c r="N66" t="n">
        <v>13.659911</v>
      </c>
      <c r="O66" t="n">
        <v>100.435201</v>
      </c>
      <c r="P66" t="n">
        <v>1.92</v>
      </c>
      <c r="Q66" t="n">
        <v>19</v>
      </c>
      <c r="R66" t="n">
        <v>3</v>
      </c>
      <c r="S66" s="3" t="n">
        <v>259277</v>
      </c>
      <c r="T66" t="n">
        <v>1</v>
      </c>
      <c r="U66" t="n">
        <v>1</v>
      </c>
      <c r="V66" t="n">
        <v>9</v>
      </c>
      <c r="W66" t="n">
        <v>0.5263</v>
      </c>
      <c r="X66" t="inlineStr">
        <is>
          <t>low</t>
        </is>
      </c>
      <c r="Y66" s="3">
        <f>Q66*1000000</f>
        <v/>
      </c>
      <c r="Z66" s="3">
        <f>365*R66*S66*T66</f>
        <v/>
      </c>
      <c r="AA66" s="4">
        <f>Y66/Z66</f>
        <v/>
      </c>
      <c r="AB66" s="4">
        <f>Q66*1000000/(365*R66*S66)</f>
        <v/>
      </c>
      <c r="AC66">
        <f>RANK(AA66,$AA$2:$AA$395,0)</f>
        <v/>
      </c>
    </row>
    <row r="67">
      <c r="A67" t="inlineStr">
        <is>
          <t>zone_68</t>
        </is>
      </c>
      <c r="B67" t="inlineStr">
        <is>
          <t>คลองพระยาสุเรนทร์ - ประเวศ</t>
        </is>
      </c>
      <c r="C67" t="inlineStr">
        <is>
          <t>กรุงเทพมหานคร</t>
        </is>
      </c>
      <c r="D67" t="n">
        <v>3901</v>
      </c>
      <c r="E67" t="inlineStr">
        <is>
          <t>0202</t>
        </is>
      </c>
      <c r="F67" t="inlineStr">
        <is>
          <t>39.2–49.7</t>
        </is>
      </c>
      <c r="G67" t="n">
        <v>13.860475</v>
      </c>
      <c r="H67" t="n">
        <v>100.676677</v>
      </c>
      <c r="I67" t="inlineStr">
        <is>
          <t>hods_aadt_pnt_2568.fid-6461857d_1a0f2643074_5317</t>
        </is>
      </c>
      <c r="J67" t="inlineStr">
        <is>
          <t>คลองบางไผ่ - คลองบางหลวง</t>
        </is>
      </c>
      <c r="K67" t="inlineStr">
        <is>
          <t>46+472</t>
        </is>
      </c>
      <c r="L67" t="inlineStr">
        <is>
          <t>สถานีย่อย (C)</t>
        </is>
      </c>
      <c r="M67" t="n">
        <v>1</v>
      </c>
      <c r="N67" t="n">
        <v>13.92182</v>
      </c>
      <c r="O67" t="n">
        <v>100.412147</v>
      </c>
      <c r="P67" t="n">
        <v>29.36</v>
      </c>
      <c r="Q67" t="n">
        <v>3</v>
      </c>
      <c r="R67" t="n">
        <v>3</v>
      </c>
      <c r="S67" s="3" t="n">
        <v>69929</v>
      </c>
      <c r="T67" t="n">
        <v>1</v>
      </c>
      <c r="U67" t="n">
        <v>0</v>
      </c>
      <c r="V67" t="n">
        <v>0</v>
      </c>
      <c r="W67" t="n">
        <v>0</v>
      </c>
      <c r="X67" t="inlineStr">
        <is>
          <t>low</t>
        </is>
      </c>
      <c r="Y67" s="3">
        <f>Q67*1000000</f>
        <v/>
      </c>
      <c r="Z67" s="3">
        <f>365*R67*S67*T67</f>
        <v/>
      </c>
      <c r="AA67" s="4">
        <f>Y67/Z67</f>
        <v/>
      </c>
      <c r="AB67" s="4">
        <f>Q67*1000000/(365*R67*S67)</f>
        <v/>
      </c>
      <c r="AC67">
        <f>RANK(AA67,$AA$2:$AA$395,0)</f>
        <v/>
      </c>
    </row>
    <row r="68">
      <c r="A68" t="inlineStr">
        <is>
          <t>zone_72</t>
        </is>
      </c>
      <c r="B68" t="inlineStr">
        <is>
          <t>บางปะอิน - แขวงรามอินทรา</t>
        </is>
      </c>
      <c r="C68" t="inlineStr">
        <is>
          <t>กรุงเทพมหานคร</t>
        </is>
      </c>
      <c r="D68" t="n">
        <v>9</v>
      </c>
      <c r="E68" t="inlineStr">
        <is>
          <t>0401</t>
        </is>
      </c>
      <c r="F68" t="inlineStr">
        <is>
          <t>31.3–44.3</t>
        </is>
      </c>
      <c r="G68" t="n">
        <v>13.873773</v>
      </c>
      <c r="H68" t="n">
        <v>100.681121</v>
      </c>
      <c r="I68" t="inlineStr">
        <is>
          <t>hods_aadt_pnt_2568.fid-6461857d_1a0f2643074_4a01</t>
        </is>
      </c>
      <c r="J68" t="inlineStr">
        <is>
          <t>บางปะอิน - แขวงรามอินทรา</t>
        </is>
      </c>
      <c r="K68" t="inlineStr">
        <is>
          <t>1+500</t>
        </is>
      </c>
      <c r="L68" t="inlineStr">
        <is>
          <t>สถานีย่อย (C)</t>
        </is>
      </c>
      <c r="M68" t="n">
        <v>2</v>
      </c>
      <c r="N68" t="n">
        <v>14.182401</v>
      </c>
      <c r="O68" t="n">
        <v>100.640628</v>
      </c>
      <c r="P68" t="n">
        <v>34.59</v>
      </c>
      <c r="Q68" t="n">
        <v>487</v>
      </c>
      <c r="R68" t="n">
        <v>3</v>
      </c>
      <c r="S68" s="3" t="n">
        <v>160792</v>
      </c>
      <c r="T68" t="n">
        <v>1</v>
      </c>
      <c r="U68" t="n">
        <v>2</v>
      </c>
      <c r="V68" t="n">
        <v>318</v>
      </c>
      <c r="W68" t="n">
        <v>0.6571</v>
      </c>
      <c r="X68" t="inlineStr">
        <is>
          <t>low</t>
        </is>
      </c>
      <c r="Y68" s="3">
        <f>Q68*1000000</f>
        <v/>
      </c>
      <c r="Z68" s="3">
        <f>365*R68*S68*T68</f>
        <v/>
      </c>
      <c r="AA68" s="4">
        <f>Y68/Z68</f>
        <v/>
      </c>
      <c r="AB68" s="4">
        <f>Q68*1000000/(365*R68*S68)</f>
        <v/>
      </c>
      <c r="AC68">
        <f>RANK(AA68,$AA$2:$AA$395,0)</f>
        <v/>
      </c>
    </row>
    <row r="69">
      <c r="A69" t="inlineStr">
        <is>
          <t>zone_73</t>
        </is>
      </c>
      <c r="B69" t="inlineStr">
        <is>
          <t>บางปะอิน - แขวงรามอินทรา</t>
        </is>
      </c>
      <c r="C69" t="inlineStr">
        <is>
          <t>ปทุมธานี</t>
        </is>
      </c>
      <c r="D69" t="n">
        <v>9</v>
      </c>
      <c r="E69" t="inlineStr">
        <is>
          <t>0401</t>
        </is>
      </c>
      <c r="F69" t="inlineStr">
        <is>
          <t>29.4–31.5</t>
        </is>
      </c>
      <c r="G69" t="n">
        <v>13.935053</v>
      </c>
      <c r="H69" t="n">
        <v>100.708878</v>
      </c>
      <c r="I69" t="inlineStr">
        <is>
          <t>hods_aadt_pnt_2568.fid-6461857d_1a0f2643074_4a01</t>
        </is>
      </c>
      <c r="J69" t="inlineStr">
        <is>
          <t>บางปะอิน - แขวงรามอินทรา</t>
        </is>
      </c>
      <c r="K69" t="inlineStr">
        <is>
          <t>1+500</t>
        </is>
      </c>
      <c r="L69" t="inlineStr">
        <is>
          <t>สถานีย่อย (C)</t>
        </is>
      </c>
      <c r="M69" t="n">
        <v>2</v>
      </c>
      <c r="N69" t="n">
        <v>14.182401</v>
      </c>
      <c r="O69" t="n">
        <v>100.640628</v>
      </c>
      <c r="P69" t="n">
        <v>28.47</v>
      </c>
      <c r="Q69" t="n">
        <v>47</v>
      </c>
      <c r="R69" t="n">
        <v>3</v>
      </c>
      <c r="S69" s="3" t="n">
        <v>160792</v>
      </c>
      <c r="T69" t="n">
        <v>1</v>
      </c>
      <c r="U69" t="n">
        <v>0</v>
      </c>
      <c r="V69" t="n">
        <v>12</v>
      </c>
      <c r="W69" t="n">
        <v>0.2553</v>
      </c>
      <c r="X69" t="inlineStr">
        <is>
          <t>low</t>
        </is>
      </c>
      <c r="Y69" s="3">
        <f>Q69*1000000</f>
        <v/>
      </c>
      <c r="Z69" s="3">
        <f>365*R69*S69*T69</f>
        <v/>
      </c>
      <c r="AA69" s="4">
        <f>Y69/Z69</f>
        <v/>
      </c>
      <c r="AB69" s="4">
        <f>Q69*1000000/(365*R69*S69)</f>
        <v/>
      </c>
      <c r="AC69">
        <f>RANK(AA69,$AA$2:$AA$395,0)</f>
        <v/>
      </c>
    </row>
    <row r="70">
      <c r="A70" t="inlineStr">
        <is>
          <t>zone_74</t>
        </is>
      </c>
      <c r="B70" t="inlineStr">
        <is>
          <t>บางปะอิน - แขวงรามอินทรา</t>
        </is>
      </c>
      <c r="C70" t="inlineStr">
        <is>
          <t>ปทุมธานี</t>
        </is>
      </c>
      <c r="D70" t="n">
        <v>9</v>
      </c>
      <c r="E70" t="inlineStr">
        <is>
          <t>0401</t>
        </is>
      </c>
      <c r="F70" t="inlineStr">
        <is>
          <t>29.1–29.4</t>
        </is>
      </c>
      <c r="G70" t="n">
        <v>13.946842</v>
      </c>
      <c r="H70" t="n">
        <v>100.711774</v>
      </c>
      <c r="I70" t="inlineStr">
        <is>
          <t>hods_aadt_pnt_2568.fid-6461857d_1a0f2643074_4a01</t>
        </is>
      </c>
      <c r="J70" t="inlineStr">
        <is>
          <t>บางปะอิน - แขวงรามอินทรา</t>
        </is>
      </c>
      <c r="K70" t="inlineStr">
        <is>
          <t>1+500</t>
        </is>
      </c>
      <c r="L70" t="inlineStr">
        <is>
          <t>สถานีย่อย (C)</t>
        </is>
      </c>
      <c r="M70" t="n">
        <v>2</v>
      </c>
      <c r="N70" t="n">
        <v>14.182401</v>
      </c>
      <c r="O70" t="n">
        <v>100.640628</v>
      </c>
      <c r="P70" t="n">
        <v>27.29</v>
      </c>
      <c r="Q70" t="n">
        <v>7</v>
      </c>
      <c r="R70" t="n">
        <v>3</v>
      </c>
      <c r="S70" s="3" t="n">
        <v>160792</v>
      </c>
      <c r="T70" t="n">
        <v>1</v>
      </c>
      <c r="U70" t="n">
        <v>0</v>
      </c>
      <c r="V70" t="n">
        <v>0</v>
      </c>
      <c r="W70" t="n">
        <v>0</v>
      </c>
      <c r="X70" t="inlineStr">
        <is>
          <t>low</t>
        </is>
      </c>
      <c r="Y70" s="3">
        <f>Q70*1000000</f>
        <v/>
      </c>
      <c r="Z70" s="3">
        <f>365*R70*S70*T70</f>
        <v/>
      </c>
      <c r="AA70" s="4">
        <f>Y70/Z70</f>
        <v/>
      </c>
      <c r="AB70" s="4">
        <f>Q70*1000000/(365*R70*S70)</f>
        <v/>
      </c>
      <c r="AC70">
        <f>RANK(AA70,$AA$2:$AA$395,0)</f>
        <v/>
      </c>
    </row>
    <row r="71">
      <c r="A71" t="inlineStr">
        <is>
          <t>zone_75</t>
        </is>
      </c>
      <c r="B71" t="inlineStr">
        <is>
          <t>บางปะอิน - แขวงรามอินทรา</t>
        </is>
      </c>
      <c r="C71" t="inlineStr">
        <is>
          <t>ปทุมธานี</t>
        </is>
      </c>
      <c r="D71" t="n">
        <v>9</v>
      </c>
      <c r="E71" t="inlineStr">
        <is>
          <t>0401</t>
        </is>
      </c>
      <c r="F71" t="inlineStr">
        <is>
          <t>26.7–28.5</t>
        </is>
      </c>
      <c r="G71" t="n">
        <v>13.961821</v>
      </c>
      <c r="H71" t="n">
        <v>100.712745</v>
      </c>
      <c r="I71" t="inlineStr">
        <is>
          <t>hods_aadt_pnt_2568.fid-6461857d_1a0f2643074_4a01</t>
        </is>
      </c>
      <c r="J71" t="inlineStr">
        <is>
          <t>บางปะอิน - แขวงรามอินทรา</t>
        </is>
      </c>
      <c r="K71" t="inlineStr">
        <is>
          <t>1+500</t>
        </is>
      </c>
      <c r="L71" t="inlineStr">
        <is>
          <t>สถานีย่อย (C)</t>
        </is>
      </c>
      <c r="M71" t="n">
        <v>2</v>
      </c>
      <c r="N71" t="n">
        <v>14.182401</v>
      </c>
      <c r="O71" t="n">
        <v>100.640628</v>
      </c>
      <c r="P71" t="n">
        <v>25.73</v>
      </c>
      <c r="Q71" t="n">
        <v>31</v>
      </c>
      <c r="R71" t="n">
        <v>3</v>
      </c>
      <c r="S71" s="3" t="n">
        <v>160792</v>
      </c>
      <c r="T71" t="n">
        <v>1</v>
      </c>
      <c r="U71" t="n">
        <v>1</v>
      </c>
      <c r="V71" t="n">
        <v>3</v>
      </c>
      <c r="W71" t="n">
        <v>0.129</v>
      </c>
      <c r="X71" t="inlineStr">
        <is>
          <t>low</t>
        </is>
      </c>
      <c r="Y71" s="3">
        <f>Q71*1000000</f>
        <v/>
      </c>
      <c r="Z71" s="3">
        <f>365*R71*S71*T71</f>
        <v/>
      </c>
      <c r="AA71" s="4">
        <f>Y71/Z71</f>
        <v/>
      </c>
      <c r="AB71" s="4">
        <f>Q71*1000000/(365*R71*S71)</f>
        <v/>
      </c>
      <c r="AC71">
        <f>RANK(AA71,$AA$2:$AA$395,0)</f>
        <v/>
      </c>
    </row>
    <row r="72">
      <c r="A72" t="inlineStr">
        <is>
          <t>zone_76</t>
        </is>
      </c>
      <c r="B72" t="inlineStr">
        <is>
          <t>บางปะอิน - แขวงรามอินทรา</t>
        </is>
      </c>
      <c r="C72" t="inlineStr">
        <is>
          <t>ปทุมธานี</t>
        </is>
      </c>
      <c r="D72" t="n">
        <v>9</v>
      </c>
      <c r="E72" t="inlineStr">
        <is>
          <t>0401</t>
        </is>
      </c>
      <c r="F72" t="inlineStr">
        <is>
          <t>25.9–26.5</t>
        </is>
      </c>
      <c r="G72" t="n">
        <v>13.974639</v>
      </c>
      <c r="H72" t="n">
        <v>100.713264</v>
      </c>
      <c r="I72" t="inlineStr">
        <is>
          <t>hods_aadt_pnt_2568.fid-6461857d_1a0f2643074_4a01</t>
        </is>
      </c>
      <c r="J72" t="inlineStr">
        <is>
          <t>บางปะอิน - แขวงรามอินทรา</t>
        </is>
      </c>
      <c r="K72" t="inlineStr">
        <is>
          <t>1+500</t>
        </is>
      </c>
      <c r="L72" t="inlineStr">
        <is>
          <t>สถานีย่อย (C)</t>
        </is>
      </c>
      <c r="M72" t="n">
        <v>2</v>
      </c>
      <c r="N72" t="n">
        <v>14.182401</v>
      </c>
      <c r="O72" t="n">
        <v>100.640628</v>
      </c>
      <c r="P72" t="n">
        <v>24.39</v>
      </c>
      <c r="Q72" t="n">
        <v>8</v>
      </c>
      <c r="R72" t="n">
        <v>3</v>
      </c>
      <c r="S72" s="3" t="n">
        <v>160792</v>
      </c>
      <c r="T72" t="n">
        <v>1</v>
      </c>
      <c r="U72" t="n">
        <v>0</v>
      </c>
      <c r="V72" t="n">
        <v>0</v>
      </c>
      <c r="W72" t="n">
        <v>0</v>
      </c>
      <c r="X72" t="inlineStr">
        <is>
          <t>low</t>
        </is>
      </c>
      <c r="Y72" s="3">
        <f>Q72*1000000</f>
        <v/>
      </c>
      <c r="Z72" s="3">
        <f>365*R72*S72*T72</f>
        <v/>
      </c>
      <c r="AA72" s="4">
        <f>Y72/Z72</f>
        <v/>
      </c>
      <c r="AB72" s="4">
        <f>Q72*1000000/(365*R72*S72)</f>
        <v/>
      </c>
      <c r="AC72">
        <f>RANK(AA72,$AA$2:$AA$395,0)</f>
        <v/>
      </c>
    </row>
    <row r="73">
      <c r="A73" t="inlineStr">
        <is>
          <t>zone_77</t>
        </is>
      </c>
      <c r="B73" t="inlineStr">
        <is>
          <t>บางปะอิน - แขวงรามอินทรา</t>
        </is>
      </c>
      <c r="C73" t="inlineStr">
        <is>
          <t>ปทุมธานี</t>
        </is>
      </c>
      <c r="D73" t="n">
        <v>9</v>
      </c>
      <c r="E73" t="inlineStr">
        <is>
          <t>0401</t>
        </is>
      </c>
      <c r="F73" t="inlineStr">
        <is>
          <t>25–25.7</t>
        </is>
      </c>
      <c r="G73" t="n">
        <v>13.981843</v>
      </c>
      <c r="H73" t="n">
        <v>100.713345</v>
      </c>
      <c r="I73" t="inlineStr">
        <is>
          <t>hods_aadt_pnt_2568.fid-6461857d_1a0f2643074_4a01</t>
        </is>
      </c>
      <c r="J73" t="inlineStr">
        <is>
          <t>บางปะอิน - แขวงรามอินทรา</t>
        </is>
      </c>
      <c r="K73" t="inlineStr">
        <is>
          <t>1+500</t>
        </is>
      </c>
      <c r="L73" t="inlineStr">
        <is>
          <t>สถานีย่อย (C)</t>
        </is>
      </c>
      <c r="M73" t="n">
        <v>2</v>
      </c>
      <c r="N73" t="n">
        <v>14.182401</v>
      </c>
      <c r="O73" t="n">
        <v>100.640628</v>
      </c>
      <c r="P73" t="n">
        <v>23.64</v>
      </c>
      <c r="Q73" t="n">
        <v>17</v>
      </c>
      <c r="R73" t="n">
        <v>3</v>
      </c>
      <c r="S73" s="3" t="n">
        <v>160792</v>
      </c>
      <c r="T73" t="n">
        <v>1</v>
      </c>
      <c r="U73" t="n">
        <v>0</v>
      </c>
      <c r="V73" t="n">
        <v>7</v>
      </c>
      <c r="W73" t="n">
        <v>0.4118</v>
      </c>
      <c r="X73" t="inlineStr">
        <is>
          <t>low</t>
        </is>
      </c>
      <c r="Y73" s="3">
        <f>Q73*1000000</f>
        <v/>
      </c>
      <c r="Z73" s="3">
        <f>365*R73*S73*T73</f>
        <v/>
      </c>
      <c r="AA73" s="4">
        <f>Y73/Z73</f>
        <v/>
      </c>
      <c r="AB73" s="4">
        <f>Q73*1000000/(365*R73*S73)</f>
        <v/>
      </c>
      <c r="AC73">
        <f>RANK(AA73,$AA$2:$AA$395,0)</f>
        <v/>
      </c>
    </row>
    <row r="74">
      <c r="A74" t="inlineStr">
        <is>
          <t>zone_78</t>
        </is>
      </c>
      <c r="B74" t="inlineStr">
        <is>
          <t>บางปะอิน - แขวงรามอินทรา</t>
        </is>
      </c>
      <c r="C74" t="inlineStr">
        <is>
          <t>ปทุมธานี</t>
        </is>
      </c>
      <c r="D74" t="n">
        <v>9</v>
      </c>
      <c r="E74" t="inlineStr">
        <is>
          <t>0401</t>
        </is>
      </c>
      <c r="F74" t="inlineStr">
        <is>
          <t>28.7–29</t>
        </is>
      </c>
      <c r="G74" t="n">
        <v>13.951435</v>
      </c>
      <c r="H74" t="n">
        <v>100.712795</v>
      </c>
      <c r="I74" t="inlineStr">
        <is>
          <t>hods_aadt_pnt_2568.fid-6461857d_1a0f2643074_4a01</t>
        </is>
      </c>
      <c r="J74" t="inlineStr">
        <is>
          <t>บางปะอิน - แขวงรามอินทรา</t>
        </is>
      </c>
      <c r="K74" t="inlineStr">
        <is>
          <t>1+500</t>
        </is>
      </c>
      <c r="L74" t="inlineStr">
        <is>
          <t>สถานีย่อย (C)</t>
        </is>
      </c>
      <c r="M74" t="n">
        <v>2</v>
      </c>
      <c r="N74" t="n">
        <v>14.182401</v>
      </c>
      <c r="O74" t="n">
        <v>100.640628</v>
      </c>
      <c r="P74" t="n">
        <v>26.84</v>
      </c>
      <c r="Q74" t="n">
        <v>4</v>
      </c>
      <c r="R74" t="n">
        <v>3</v>
      </c>
      <c r="S74" s="3" t="n">
        <v>160792</v>
      </c>
      <c r="T74" t="n">
        <v>1</v>
      </c>
      <c r="U74" t="n">
        <v>0</v>
      </c>
      <c r="V74" t="n">
        <v>3</v>
      </c>
      <c r="W74" t="n">
        <v>0.75</v>
      </c>
      <c r="X74" t="inlineStr">
        <is>
          <t>low</t>
        </is>
      </c>
      <c r="Y74" s="3">
        <f>Q74*1000000</f>
        <v/>
      </c>
      <c r="Z74" s="3">
        <f>365*R74*S74*T74</f>
        <v/>
      </c>
      <c r="AA74" s="4">
        <f>Y74/Z74</f>
        <v/>
      </c>
      <c r="AB74" s="4">
        <f>Q74*1000000/(365*R74*S74)</f>
        <v/>
      </c>
      <c r="AC74">
        <f>RANK(AA74,$AA$2:$AA$395,0)</f>
        <v/>
      </c>
    </row>
    <row r="75">
      <c r="A75" t="inlineStr">
        <is>
          <t>zone_81</t>
        </is>
      </c>
      <c r="B75" t="inlineStr">
        <is>
          <t>แขวงคลองสองต้นนุ่น - พิมพา</t>
        </is>
      </c>
      <c r="C75" t="inlineStr">
        <is>
          <t>กรุงเทพมหานคร</t>
        </is>
      </c>
      <c r="D75" t="n">
        <v>7</v>
      </c>
      <c r="E75" t="inlineStr">
        <is>
          <t>0103</t>
        </is>
      </c>
      <c r="F75" t="inlineStr">
        <is>
          <t>8–18.7</t>
        </is>
      </c>
      <c r="G75" t="n">
        <v>13.729588</v>
      </c>
      <c r="H75" t="n">
        <v>100.745398</v>
      </c>
      <c r="I75" t="inlineStr">
        <is>
          <t>hods_aadt_pnt_2568.fid-6461857d_1a0f2643074_49ef</t>
        </is>
      </c>
      <c r="J75" t="inlineStr">
        <is>
          <t>แขวงคลองสองต้นนุ่น - พิมพา</t>
        </is>
      </c>
      <c r="K75" t="inlineStr">
        <is>
          <t>17+000</t>
        </is>
      </c>
      <c r="L75" t="inlineStr">
        <is>
          <t>สถานีย่อย (C)</t>
        </is>
      </c>
      <c r="M75" t="n">
        <v>2</v>
      </c>
      <c r="N75" t="n">
        <v>13.7334</v>
      </c>
      <c r="O75" t="n">
        <v>100.795133</v>
      </c>
      <c r="P75" t="n">
        <v>5.39</v>
      </c>
      <c r="Q75" t="n">
        <v>606</v>
      </c>
      <c r="R75" t="n">
        <v>3</v>
      </c>
      <c r="S75" s="3" t="n">
        <v>262343</v>
      </c>
      <c r="T75" t="n">
        <v>1</v>
      </c>
      <c r="U75" t="n">
        <v>1</v>
      </c>
      <c r="V75" t="n">
        <v>204</v>
      </c>
      <c r="W75" t="n">
        <v>0.3383</v>
      </c>
      <c r="X75" t="inlineStr">
        <is>
          <t>low</t>
        </is>
      </c>
      <c r="Y75" s="3">
        <f>Q75*1000000</f>
        <v/>
      </c>
      <c r="Z75" s="3">
        <f>365*R75*S75*T75</f>
        <v/>
      </c>
      <c r="AA75" s="4">
        <f>Y75/Z75</f>
        <v/>
      </c>
      <c r="AB75" s="4">
        <f>Q75*1000000/(365*R75*S75)</f>
        <v/>
      </c>
      <c r="AC75">
        <f>RANK(AA75,$AA$2:$AA$395,0)</f>
        <v/>
      </c>
    </row>
    <row r="76">
      <c r="A76" t="inlineStr">
        <is>
          <t>zone_82</t>
        </is>
      </c>
      <c r="B76" t="inlineStr">
        <is>
          <t>แขวงรามอินทรา - บางพลี</t>
        </is>
      </c>
      <c r="C76" t="inlineStr">
        <is>
          <t>กรุงเทพมหานคร</t>
        </is>
      </c>
      <c r="D76" t="n">
        <v>9</v>
      </c>
      <c r="E76" t="inlineStr">
        <is>
          <t>0402</t>
        </is>
      </c>
      <c r="F76" t="inlineStr">
        <is>
          <t>44.3–49.3</t>
        </is>
      </c>
      <c r="G76" t="n">
        <v>13.795898</v>
      </c>
      <c r="H76" t="n">
        <v>100.68229</v>
      </c>
      <c r="I76" t="inlineStr">
        <is>
          <t>hods_aadt_pnt_2568.fid-6461857d_1a0f2643074_4a03</t>
        </is>
      </c>
      <c r="J76" t="inlineStr">
        <is>
          <t>แขวงรามอินทรา - บางพลี</t>
        </is>
      </c>
      <c r="K76" t="inlineStr">
        <is>
          <t>59+500</t>
        </is>
      </c>
      <c r="L76" t="inlineStr">
        <is>
          <t>สถานีย่อย (C)</t>
        </is>
      </c>
      <c r="M76" t="n">
        <v>1</v>
      </c>
      <c r="N76" t="n">
        <v>13.685477</v>
      </c>
      <c r="O76" t="n">
        <v>100.69945</v>
      </c>
      <c r="P76" t="n">
        <v>12.42</v>
      </c>
      <c r="Q76" t="n">
        <v>191</v>
      </c>
      <c r="R76" t="n">
        <v>3</v>
      </c>
      <c r="S76" s="3" t="n">
        <v>117813</v>
      </c>
      <c r="T76" t="n">
        <v>1</v>
      </c>
      <c r="U76" t="n">
        <v>1</v>
      </c>
      <c r="V76" t="n">
        <v>145</v>
      </c>
      <c r="W76" t="n">
        <v>0.7644</v>
      </c>
      <c r="X76" t="inlineStr">
        <is>
          <t>low</t>
        </is>
      </c>
      <c r="Y76" s="3">
        <f>Q76*1000000</f>
        <v/>
      </c>
      <c r="Z76" s="3">
        <f>365*R76*S76*T76</f>
        <v/>
      </c>
      <c r="AA76" s="4">
        <f>Y76/Z76</f>
        <v/>
      </c>
      <c r="AB76" s="4">
        <f>Q76*1000000/(365*R76*S76)</f>
        <v/>
      </c>
      <c r="AC76">
        <f>RANK(AA76,$AA$2:$AA$395,0)</f>
        <v/>
      </c>
    </row>
    <row r="77">
      <c r="A77" t="inlineStr">
        <is>
          <t>zone_83</t>
        </is>
      </c>
      <c r="B77" t="inlineStr">
        <is>
          <t>แขวงรามอินทรา - บางพลี</t>
        </is>
      </c>
      <c r="C77" t="inlineStr">
        <is>
          <t>กรุงเทพมหานคร</t>
        </is>
      </c>
      <c r="D77" t="n">
        <v>9</v>
      </c>
      <c r="E77" t="inlineStr">
        <is>
          <t>0402</t>
        </is>
      </c>
      <c r="F77" t="inlineStr">
        <is>
          <t>52.8–56.6</t>
        </is>
      </c>
      <c r="G77" t="n">
        <v>13.730486</v>
      </c>
      <c r="H77" t="n">
        <v>100.702222</v>
      </c>
      <c r="I77" t="inlineStr">
        <is>
          <t>hods_aadt_pnt_2568.fid-6461857d_1a0f2643074_4a03</t>
        </is>
      </c>
      <c r="J77" t="inlineStr">
        <is>
          <t>แขวงรามอินทรา - บางพลี</t>
        </is>
      </c>
      <c r="K77" t="inlineStr">
        <is>
          <t>59+500</t>
        </is>
      </c>
      <c r="L77" t="inlineStr">
        <is>
          <t>สถานีย่อย (C)</t>
        </is>
      </c>
      <c r="M77" t="n">
        <v>1</v>
      </c>
      <c r="N77" t="n">
        <v>13.685477</v>
      </c>
      <c r="O77" t="n">
        <v>100.69945</v>
      </c>
      <c r="P77" t="n">
        <v>5.01</v>
      </c>
      <c r="Q77" t="n">
        <v>154</v>
      </c>
      <c r="R77" t="n">
        <v>3</v>
      </c>
      <c r="S77" s="3" t="n">
        <v>117813</v>
      </c>
      <c r="T77" t="n">
        <v>1</v>
      </c>
      <c r="U77" t="n">
        <v>2</v>
      </c>
      <c r="V77" t="n">
        <v>81</v>
      </c>
      <c r="W77" t="n">
        <v>0.539</v>
      </c>
      <c r="X77" t="inlineStr">
        <is>
          <t>low</t>
        </is>
      </c>
      <c r="Y77" s="3">
        <f>Q77*1000000</f>
        <v/>
      </c>
      <c r="Z77" s="3">
        <f>365*R77*S77*T77</f>
        <v/>
      </c>
      <c r="AA77" s="4">
        <f>Y77/Z77</f>
        <v/>
      </c>
      <c r="AB77" s="4">
        <f>Q77*1000000/(365*R77*S77)</f>
        <v/>
      </c>
      <c r="AC77">
        <f>RANK(AA77,$AA$2:$AA$395,0)</f>
        <v/>
      </c>
    </row>
    <row r="78">
      <c r="A78" t="inlineStr">
        <is>
          <t>zone_84</t>
        </is>
      </c>
      <c r="B78" t="inlineStr">
        <is>
          <t>แขวงรามอินทรา - บางพลี</t>
        </is>
      </c>
      <c r="C78" t="inlineStr">
        <is>
          <t>กรุงเทพมหานคร</t>
        </is>
      </c>
      <c r="D78" t="n">
        <v>9</v>
      </c>
      <c r="E78" t="inlineStr">
        <is>
          <t>0402</t>
        </is>
      </c>
      <c r="F78" t="inlineStr">
        <is>
          <t>49.5–51</t>
        </is>
      </c>
      <c r="G78" t="n">
        <v>13.766798</v>
      </c>
      <c r="H78" t="n">
        <v>100.693322</v>
      </c>
      <c r="I78" t="inlineStr">
        <is>
          <t>hods_aadt_pnt_2568.fid-6461857d_1a0f2643074_4a03</t>
        </is>
      </c>
      <c r="J78" t="inlineStr">
        <is>
          <t>แขวงรามอินทรา - บางพลี</t>
        </is>
      </c>
      <c r="K78" t="inlineStr">
        <is>
          <t>59+500</t>
        </is>
      </c>
      <c r="L78" t="inlineStr">
        <is>
          <t>สถานีย่อย (C)</t>
        </is>
      </c>
      <c r="M78" t="n">
        <v>1</v>
      </c>
      <c r="N78" t="n">
        <v>13.685477</v>
      </c>
      <c r="O78" t="n">
        <v>100.69945</v>
      </c>
      <c r="P78" t="n">
        <v>9.07</v>
      </c>
      <c r="Q78" t="n">
        <v>71</v>
      </c>
      <c r="R78" t="n">
        <v>3</v>
      </c>
      <c r="S78" s="3" t="n">
        <v>117813</v>
      </c>
      <c r="T78" t="n">
        <v>1</v>
      </c>
      <c r="U78" t="n">
        <v>0</v>
      </c>
      <c r="V78" t="n">
        <v>48</v>
      </c>
      <c r="W78" t="n">
        <v>0.6761</v>
      </c>
      <c r="X78" t="inlineStr">
        <is>
          <t>low</t>
        </is>
      </c>
      <c r="Y78" s="3">
        <f>Q78*1000000</f>
        <v/>
      </c>
      <c r="Z78" s="3">
        <f>365*R78*S78*T78</f>
        <v/>
      </c>
      <c r="AA78" s="4">
        <f>Y78/Z78</f>
        <v/>
      </c>
      <c r="AB78" s="4">
        <f>Q78*1000000/(365*R78*S78)</f>
        <v/>
      </c>
      <c r="AC78">
        <f>RANK(AA78,$AA$2:$AA$395,0)</f>
        <v/>
      </c>
    </row>
    <row r="79">
      <c r="A79" t="inlineStr">
        <is>
          <t>zone_85</t>
        </is>
      </c>
      <c r="B79" t="inlineStr">
        <is>
          <t>แขวงรามอินทรา - บางพลี</t>
        </is>
      </c>
      <c r="C79" t="inlineStr">
        <is>
          <t>กรุงเทพมหานคร</t>
        </is>
      </c>
      <c r="D79" t="n">
        <v>9</v>
      </c>
      <c r="E79" t="inlineStr">
        <is>
          <t>0402</t>
        </is>
      </c>
      <c r="F79" t="inlineStr">
        <is>
          <t>51.1–52.6</t>
        </is>
      </c>
      <c r="G79" t="n">
        <v>13.754207</v>
      </c>
      <c r="H79" t="n">
        <v>100.699822</v>
      </c>
      <c r="I79" t="inlineStr">
        <is>
          <t>hods_aadt_pnt_2568.fid-6461857d_1a0f2643074_4a03</t>
        </is>
      </c>
      <c r="J79" t="inlineStr">
        <is>
          <t>แขวงรามอินทรา - บางพลี</t>
        </is>
      </c>
      <c r="K79" t="inlineStr">
        <is>
          <t>59+500</t>
        </is>
      </c>
      <c r="L79" t="inlineStr">
        <is>
          <t>สถานีย่อย (C)</t>
        </is>
      </c>
      <c r="M79" t="n">
        <v>1</v>
      </c>
      <c r="N79" t="n">
        <v>13.685477</v>
      </c>
      <c r="O79" t="n">
        <v>100.69945</v>
      </c>
      <c r="P79" t="n">
        <v>7.64</v>
      </c>
      <c r="Q79" t="n">
        <v>46</v>
      </c>
      <c r="R79" t="n">
        <v>3</v>
      </c>
      <c r="S79" s="3" t="n">
        <v>117813</v>
      </c>
      <c r="T79" t="n">
        <v>1</v>
      </c>
      <c r="U79" t="n">
        <v>0</v>
      </c>
      <c r="V79" t="n">
        <v>37</v>
      </c>
      <c r="W79" t="n">
        <v>0.8043</v>
      </c>
      <c r="X79" t="inlineStr">
        <is>
          <t>low</t>
        </is>
      </c>
      <c r="Y79" s="3">
        <f>Q79*1000000</f>
        <v/>
      </c>
      <c r="Z79" s="3">
        <f>365*R79*S79*T79</f>
        <v/>
      </c>
      <c r="AA79" s="4">
        <f>Y79/Z79</f>
        <v/>
      </c>
      <c r="AB79" s="4">
        <f>Q79*1000000/(365*R79*S79)</f>
        <v/>
      </c>
      <c r="AC79">
        <f>RANK(AA79,$AA$2:$AA$395,0)</f>
        <v/>
      </c>
    </row>
    <row r="80">
      <c r="A80" t="inlineStr">
        <is>
          <t>zone_86</t>
        </is>
      </c>
      <c r="B80" t="inlineStr">
        <is>
          <t>แขวงรามอินทรา - บางพลี</t>
        </is>
      </c>
      <c r="C80" t="inlineStr">
        <is>
          <t>กรุงเทพมหานคร</t>
        </is>
      </c>
      <c r="D80" t="n">
        <v>9</v>
      </c>
      <c r="E80" t="inlineStr">
        <is>
          <t>0401</t>
        </is>
      </c>
      <c r="F80" t="inlineStr">
        <is>
          <t>12.25–45.5</t>
        </is>
      </c>
      <c r="G80" t="n">
        <v>13.817574</v>
      </c>
      <c r="H80" t="n">
        <v>100.67636</v>
      </c>
      <c r="I80" t="inlineStr">
        <is>
          <t>hods_aadt_pnt_2568.fid-6461857d_1a0f2643074_4a01</t>
        </is>
      </c>
      <c r="J80" t="inlineStr">
        <is>
          <t>บางปะอิน - แขวงรามอินทรา</t>
        </is>
      </c>
      <c r="K80" t="inlineStr">
        <is>
          <t>1+500</t>
        </is>
      </c>
      <c r="L80" t="inlineStr">
        <is>
          <t>สถานีย่อย (C)</t>
        </is>
      </c>
      <c r="M80" t="n">
        <v>2</v>
      </c>
      <c r="N80" t="n">
        <v>14.182401</v>
      </c>
      <c r="O80" t="n">
        <v>100.640628</v>
      </c>
      <c r="P80" t="n">
        <v>40.75</v>
      </c>
      <c r="Q80" t="n">
        <v>54</v>
      </c>
      <c r="R80" t="n">
        <v>3</v>
      </c>
      <c r="S80" s="3" t="n">
        <v>160792</v>
      </c>
      <c r="T80" t="n">
        <v>1</v>
      </c>
      <c r="U80" t="n">
        <v>1</v>
      </c>
      <c r="V80" t="n">
        <v>40</v>
      </c>
      <c r="W80" t="n">
        <v>0.7593</v>
      </c>
      <c r="X80" t="inlineStr">
        <is>
          <t>low</t>
        </is>
      </c>
      <c r="Y80" s="3">
        <f>Q80*1000000</f>
        <v/>
      </c>
      <c r="Z80" s="3">
        <f>365*R80*S80*T80</f>
        <v/>
      </c>
      <c r="AA80" s="4">
        <f>Y80/Z80</f>
        <v/>
      </c>
      <c r="AB80" s="4">
        <f>Q80*1000000/(365*R80*S80)</f>
        <v/>
      </c>
      <c r="AC80">
        <f>RANK(AA80,$AA$2:$AA$395,0)</f>
        <v/>
      </c>
    </row>
    <row r="81">
      <c r="A81" t="inlineStr">
        <is>
          <t>zone_88</t>
        </is>
      </c>
      <c r="B81" t="inlineStr">
        <is>
          <t>แขวงคลองสองต้นนุ่น - พิมพา</t>
        </is>
      </c>
      <c r="C81" t="inlineStr">
        <is>
          <t>กรุงเทพมหานคร</t>
        </is>
      </c>
      <c r="D81" t="n">
        <v>7</v>
      </c>
      <c r="E81" t="inlineStr">
        <is>
          <t>0103</t>
        </is>
      </c>
      <c r="F81" t="inlineStr">
        <is>
          <t>15.1–16.7</t>
        </is>
      </c>
      <c r="G81" t="n">
        <v>13.732513</v>
      </c>
      <c r="H81" t="n">
        <v>100.786073</v>
      </c>
      <c r="I81" t="inlineStr">
        <is>
          <t>hods_aadt_pnt_2568.fid-6461857d_1a0f2643074_49ef</t>
        </is>
      </c>
      <c r="J81" t="inlineStr">
        <is>
          <t>แขวงคลองสองต้นนุ่น - พิมพา</t>
        </is>
      </c>
      <c r="K81" t="inlineStr">
        <is>
          <t>17+000</t>
        </is>
      </c>
      <c r="L81" t="inlineStr">
        <is>
          <t>สถานีย่อย (C)</t>
        </is>
      </c>
      <c r="M81" t="n">
        <v>2</v>
      </c>
      <c r="N81" t="n">
        <v>13.7334</v>
      </c>
      <c r="O81" t="n">
        <v>100.795133</v>
      </c>
      <c r="P81" t="n">
        <v>0.98</v>
      </c>
      <c r="Q81" t="n">
        <v>36</v>
      </c>
      <c r="R81" t="n">
        <v>3</v>
      </c>
      <c r="S81" s="3" t="n">
        <v>262343</v>
      </c>
      <c r="T81" t="n">
        <v>1</v>
      </c>
      <c r="U81" t="n">
        <v>0</v>
      </c>
      <c r="V81" t="n">
        <v>13</v>
      </c>
      <c r="W81" t="n">
        <v>0.3611</v>
      </c>
      <c r="X81" t="inlineStr">
        <is>
          <t>low</t>
        </is>
      </c>
      <c r="Y81" s="3">
        <f>Q81*1000000</f>
        <v/>
      </c>
      <c r="Z81" s="3">
        <f>365*R81*S81*T81</f>
        <v/>
      </c>
      <c r="AA81" s="4">
        <f>Y81/Z81</f>
        <v/>
      </c>
      <c r="AB81" s="4">
        <f>Q81*1000000/(365*R81*S81)</f>
        <v/>
      </c>
      <c r="AC81">
        <f>RANK(AA81,$AA$2:$AA$395,0)</f>
        <v/>
      </c>
    </row>
    <row r="82">
      <c r="A82" t="inlineStr">
        <is>
          <t>zone_89</t>
        </is>
      </c>
      <c r="B82" t="inlineStr">
        <is>
          <t>แขวงคลองสองต้นนุ่น - พิมพา</t>
        </is>
      </c>
      <c r="C82" t="inlineStr">
        <is>
          <t>กรุงเทพมหานคร</t>
        </is>
      </c>
      <c r="D82" t="n">
        <v>7</v>
      </c>
      <c r="E82" t="inlineStr">
        <is>
          <t>0103</t>
        </is>
      </c>
      <c r="F82" t="inlineStr">
        <is>
          <t>6.7–54.3</t>
        </is>
      </c>
      <c r="G82" t="n">
        <v>13.729727</v>
      </c>
      <c r="H82" t="n">
        <v>100.729955</v>
      </c>
      <c r="I82" t="inlineStr">
        <is>
          <t>hods_aadt_pnt_2568.fid-6461857d_1a0f2643074_49ef</t>
        </is>
      </c>
      <c r="J82" t="inlineStr">
        <is>
          <t>แขวงคลองสองต้นนุ่น - พิมพา</t>
        </is>
      </c>
      <c r="K82" t="inlineStr">
        <is>
          <t>17+000</t>
        </is>
      </c>
      <c r="L82" t="inlineStr">
        <is>
          <t>สถานีย่อย (C)</t>
        </is>
      </c>
      <c r="M82" t="n">
        <v>2</v>
      </c>
      <c r="N82" t="n">
        <v>13.7334</v>
      </c>
      <c r="O82" t="n">
        <v>100.795133</v>
      </c>
      <c r="P82" t="n">
        <v>7.05</v>
      </c>
      <c r="Q82" t="n">
        <v>360</v>
      </c>
      <c r="R82" t="n">
        <v>3</v>
      </c>
      <c r="S82" s="3" t="n">
        <v>262343</v>
      </c>
      <c r="T82" t="n">
        <v>1</v>
      </c>
      <c r="U82" t="n">
        <v>1</v>
      </c>
      <c r="V82" t="n">
        <v>115</v>
      </c>
      <c r="W82" t="n">
        <v>0.3222</v>
      </c>
      <c r="X82" t="inlineStr">
        <is>
          <t>low</t>
        </is>
      </c>
      <c r="Y82" s="3">
        <f>Q82*1000000</f>
        <v/>
      </c>
      <c r="Z82" s="3">
        <f>365*R82*S82*T82</f>
        <v/>
      </c>
      <c r="AA82" s="4">
        <f>Y82/Z82</f>
        <v/>
      </c>
      <c r="AB82" s="4">
        <f>Q82*1000000/(365*R82*S82)</f>
        <v/>
      </c>
      <c r="AC82">
        <f>RANK(AA82,$AA$2:$AA$395,0)</f>
        <v/>
      </c>
    </row>
    <row r="83">
      <c r="A83" t="inlineStr">
        <is>
          <t>zone_90</t>
        </is>
      </c>
      <c r="B83" t="inlineStr">
        <is>
          <t>แขวงรามอินทรา - บางพลี</t>
        </is>
      </c>
      <c r="C83" t="inlineStr">
        <is>
          <t>กรุงเทพมหานคร</t>
        </is>
      </c>
      <c r="D83" t="n">
        <v>9</v>
      </c>
      <c r="E83" t="inlineStr">
        <is>
          <t>0402</t>
        </is>
      </c>
      <c r="F83" t="inlineStr">
        <is>
          <t>48.3–51.6</t>
        </is>
      </c>
      <c r="G83" t="n">
        <v>13.767617</v>
      </c>
      <c r="H83" t="n">
        <v>100.692638</v>
      </c>
      <c r="I83" t="inlineStr">
        <is>
          <t>hods_aadt_pnt_2568.fid-6461857d_1a0f2643074_4a03</t>
        </is>
      </c>
      <c r="J83" t="inlineStr">
        <is>
          <t>แขวงรามอินทรา - บางพลี</t>
        </is>
      </c>
      <c r="K83" t="inlineStr">
        <is>
          <t>59+500</t>
        </is>
      </c>
      <c r="L83" t="inlineStr">
        <is>
          <t>สถานีย่อย (C)</t>
        </is>
      </c>
      <c r="M83" t="n">
        <v>1</v>
      </c>
      <c r="N83" t="n">
        <v>13.685477</v>
      </c>
      <c r="O83" t="n">
        <v>100.69945</v>
      </c>
      <c r="P83" t="n">
        <v>9.16</v>
      </c>
      <c r="Q83" t="n">
        <v>67</v>
      </c>
      <c r="R83" t="n">
        <v>3</v>
      </c>
      <c r="S83" s="3" t="n">
        <v>117813</v>
      </c>
      <c r="T83" t="n">
        <v>1</v>
      </c>
      <c r="U83" t="n">
        <v>1</v>
      </c>
      <c r="V83" t="n">
        <v>45</v>
      </c>
      <c r="W83" t="n">
        <v>0.6866</v>
      </c>
      <c r="X83" t="inlineStr">
        <is>
          <t>low</t>
        </is>
      </c>
      <c r="Y83" s="3">
        <f>Q83*1000000</f>
        <v/>
      </c>
      <c r="Z83" s="3">
        <f>365*R83*S83*T83</f>
        <v/>
      </c>
      <c r="AA83" s="4">
        <f>Y83/Z83</f>
        <v/>
      </c>
      <c r="AB83" s="4">
        <f>Q83*1000000/(365*R83*S83)</f>
        <v/>
      </c>
      <c r="AC83">
        <f>RANK(AA83,$AA$2:$AA$395,0)</f>
        <v/>
      </c>
    </row>
    <row r="84">
      <c r="A84" t="inlineStr">
        <is>
          <t>zone_91</t>
        </is>
      </c>
      <c r="B84" t="inlineStr">
        <is>
          <t>บางปะอิน - แขวงรามอินทรา</t>
        </is>
      </c>
      <c r="C84" t="inlineStr">
        <is>
          <t>กรุงเทพมหานคร</t>
        </is>
      </c>
      <c r="D84" t="n">
        <v>9</v>
      </c>
      <c r="E84" t="inlineStr">
        <is>
          <t>0401</t>
        </is>
      </c>
      <c r="F84" t="inlineStr">
        <is>
          <t>41.1–43.7</t>
        </is>
      </c>
      <c r="G84" t="n">
        <v>13.834616</v>
      </c>
      <c r="H84" t="n">
        <v>100.673792</v>
      </c>
      <c r="I84" t="inlineStr">
        <is>
          <t>hods_aadt_pnt_2568.fid-6461857d_1a0f2643074_4a01</t>
        </is>
      </c>
      <c r="J84" t="inlineStr">
        <is>
          <t>บางปะอิน - แขวงรามอินทรา</t>
        </is>
      </c>
      <c r="K84" t="inlineStr">
        <is>
          <t>1+500</t>
        </is>
      </c>
      <c r="L84" t="inlineStr">
        <is>
          <t>สถานีย่อย (C)</t>
        </is>
      </c>
      <c r="M84" t="n">
        <v>2</v>
      </c>
      <c r="N84" t="n">
        <v>14.182401</v>
      </c>
      <c r="O84" t="n">
        <v>100.640628</v>
      </c>
      <c r="P84" t="n">
        <v>38.84</v>
      </c>
      <c r="Q84" t="n">
        <v>59</v>
      </c>
      <c r="R84" t="n">
        <v>3</v>
      </c>
      <c r="S84" s="3" t="n">
        <v>160792</v>
      </c>
      <c r="T84" t="n">
        <v>1</v>
      </c>
      <c r="U84" t="n">
        <v>0</v>
      </c>
      <c r="V84" t="n">
        <v>56</v>
      </c>
      <c r="W84" t="n">
        <v>0.9492</v>
      </c>
      <c r="X84" t="inlineStr">
        <is>
          <t>low</t>
        </is>
      </c>
      <c r="Y84" s="3">
        <f>Q84*1000000</f>
        <v/>
      </c>
      <c r="Z84" s="3">
        <f>365*R84*S84*T84</f>
        <v/>
      </c>
      <c r="AA84" s="4">
        <f>Y84/Z84</f>
        <v/>
      </c>
      <c r="AB84" s="4">
        <f>Q84*1000000/(365*R84*S84)</f>
        <v/>
      </c>
      <c r="AC84">
        <f>RANK(AA84,$AA$2:$AA$395,0)</f>
        <v/>
      </c>
    </row>
    <row r="85">
      <c r="A85" t="inlineStr">
        <is>
          <t>zone_92</t>
        </is>
      </c>
      <c r="B85" t="inlineStr">
        <is>
          <t>แขวงรามอินทรา - บางพลี</t>
        </is>
      </c>
      <c r="C85" t="inlineStr">
        <is>
          <t>กรุงเทพมหานคร</t>
        </is>
      </c>
      <c r="D85" t="n">
        <v>9</v>
      </c>
      <c r="E85" t="inlineStr">
        <is>
          <t>0402</t>
        </is>
      </c>
      <c r="F85" t="inlineStr">
        <is>
          <t>56.6–57.3</t>
        </is>
      </c>
      <c r="G85" t="n">
        <v>13.709444</v>
      </c>
      <c r="H85" t="n">
        <v>100.699952</v>
      </c>
      <c r="I85" t="inlineStr">
        <is>
          <t>hods_aadt_pnt_2568.fid-6461857d_1a0f2643074_4a03</t>
        </is>
      </c>
      <c r="J85" t="inlineStr">
        <is>
          <t>แขวงรามอินทรา - บางพลี</t>
        </is>
      </c>
      <c r="K85" t="inlineStr">
        <is>
          <t>59+500</t>
        </is>
      </c>
      <c r="L85" t="inlineStr">
        <is>
          <t>สถานีย่อย (C)</t>
        </is>
      </c>
      <c r="M85" t="n">
        <v>1</v>
      </c>
      <c r="N85" t="n">
        <v>13.685477</v>
      </c>
      <c r="O85" t="n">
        <v>100.69945</v>
      </c>
      <c r="P85" t="n">
        <v>2.67</v>
      </c>
      <c r="Q85" t="n">
        <v>6</v>
      </c>
      <c r="R85" t="n">
        <v>3</v>
      </c>
      <c r="S85" s="3" t="n">
        <v>117813</v>
      </c>
      <c r="T85" t="n">
        <v>1</v>
      </c>
      <c r="U85" t="n">
        <v>0</v>
      </c>
      <c r="V85" t="n">
        <v>4</v>
      </c>
      <c r="W85" t="n">
        <v>0.6667</v>
      </c>
      <c r="X85" t="inlineStr">
        <is>
          <t>low</t>
        </is>
      </c>
      <c r="Y85" s="3">
        <f>Q85*1000000</f>
        <v/>
      </c>
      <c r="Z85" s="3">
        <f>365*R85*S85*T85</f>
        <v/>
      </c>
      <c r="AA85" s="4">
        <f>Y85/Z85</f>
        <v/>
      </c>
      <c r="AB85" s="4">
        <f>Q85*1000000/(365*R85*S85)</f>
        <v/>
      </c>
      <c r="AC85">
        <f>RANK(AA85,$AA$2:$AA$395,0)</f>
        <v/>
      </c>
    </row>
    <row r="86">
      <c r="A86" t="inlineStr">
        <is>
          <t>zone_93</t>
        </is>
      </c>
      <c r="B86" t="inlineStr">
        <is>
          <t>แขวงรามอินทรา - บางพลี</t>
        </is>
      </c>
      <c r="C86" t="inlineStr">
        <is>
          <t>กรุงเทพมหานคร</t>
        </is>
      </c>
      <c r="D86" t="n">
        <v>9</v>
      </c>
      <c r="E86" t="inlineStr">
        <is>
          <t>0402</t>
        </is>
      </c>
      <c r="F86" t="inlineStr">
        <is>
          <t>54–55.8</t>
        </is>
      </c>
      <c r="G86" t="n">
        <v>13.725767</v>
      </c>
      <c r="H86" t="n">
        <v>100.701196</v>
      </c>
      <c r="I86" t="inlineStr">
        <is>
          <t>hods_aadt_pnt_2568.fid-6461857d_1a0f2643074_4a03</t>
        </is>
      </c>
      <c r="J86" t="inlineStr">
        <is>
          <t>แขวงรามอินทรา - บางพลี</t>
        </is>
      </c>
      <c r="K86" t="inlineStr">
        <is>
          <t>59+500</t>
        </is>
      </c>
      <c r="L86" t="inlineStr">
        <is>
          <t>สถานีย่อย (C)</t>
        </is>
      </c>
      <c r="M86" t="n">
        <v>1</v>
      </c>
      <c r="N86" t="n">
        <v>13.685477</v>
      </c>
      <c r="O86" t="n">
        <v>100.69945</v>
      </c>
      <c r="P86" t="n">
        <v>4.48</v>
      </c>
      <c r="Q86" t="n">
        <v>17</v>
      </c>
      <c r="R86" t="n">
        <v>3</v>
      </c>
      <c r="S86" s="3" t="n">
        <v>117813</v>
      </c>
      <c r="T86" t="n">
        <v>1</v>
      </c>
      <c r="U86" t="n">
        <v>0</v>
      </c>
      <c r="V86" t="n">
        <v>6</v>
      </c>
      <c r="W86" t="n">
        <v>0.3529</v>
      </c>
      <c r="X86" t="inlineStr">
        <is>
          <t>low</t>
        </is>
      </c>
      <c r="Y86" s="3">
        <f>Q86*1000000</f>
        <v/>
      </c>
      <c r="Z86" s="3">
        <f>365*R86*S86*T86</f>
        <v/>
      </c>
      <c r="AA86" s="4">
        <f>Y86/Z86</f>
        <v/>
      </c>
      <c r="AB86" s="4">
        <f>Q86*1000000/(365*R86*S86)</f>
        <v/>
      </c>
      <c r="AC86">
        <f>RANK(AA86,$AA$2:$AA$395,0)</f>
        <v/>
      </c>
    </row>
    <row r="87">
      <c r="A87" t="inlineStr">
        <is>
          <t>zone_94</t>
        </is>
      </c>
      <c r="B87" t="inlineStr">
        <is>
          <t>แขวงรามอินทรา - บางพลี</t>
        </is>
      </c>
      <c r="C87" t="inlineStr">
        <is>
          <t>กรุงเทพมหานคร</t>
        </is>
      </c>
      <c r="D87" t="n">
        <v>9</v>
      </c>
      <c r="E87" t="inlineStr">
        <is>
          <t>0402</t>
        </is>
      </c>
      <c r="F87" t="inlineStr">
        <is>
          <t>46.8–48.1</t>
        </is>
      </c>
      <c r="G87" t="n">
        <v>13.789633</v>
      </c>
      <c r="H87" t="n">
        <v>100.683446</v>
      </c>
      <c r="I87" t="inlineStr">
        <is>
          <t>hods_aadt_pnt_2568.fid-6461857d_1a0f2643074_4a03</t>
        </is>
      </c>
      <c r="J87" t="inlineStr">
        <is>
          <t>แขวงรามอินทรา - บางพลี</t>
        </is>
      </c>
      <c r="K87" t="inlineStr">
        <is>
          <t>59+500</t>
        </is>
      </c>
      <c r="L87" t="inlineStr">
        <is>
          <t>สถานีย่อย (C)</t>
        </is>
      </c>
      <c r="M87" t="n">
        <v>1</v>
      </c>
      <c r="N87" t="n">
        <v>13.685477</v>
      </c>
      <c r="O87" t="n">
        <v>100.69945</v>
      </c>
      <c r="P87" t="n">
        <v>11.71</v>
      </c>
      <c r="Q87" t="n">
        <v>30</v>
      </c>
      <c r="R87" t="n">
        <v>3</v>
      </c>
      <c r="S87" s="3" t="n">
        <v>117813</v>
      </c>
      <c r="T87" t="n">
        <v>1</v>
      </c>
      <c r="U87" t="n">
        <v>0</v>
      </c>
      <c r="V87" t="n">
        <v>38</v>
      </c>
      <c r="W87" t="n">
        <v>1.2667</v>
      </c>
      <c r="X87" t="inlineStr">
        <is>
          <t>medium</t>
        </is>
      </c>
      <c r="Y87" s="3">
        <f>Q87*1000000</f>
        <v/>
      </c>
      <c r="Z87" s="3">
        <f>365*R87*S87*T87</f>
        <v/>
      </c>
      <c r="AA87" s="4">
        <f>Y87/Z87</f>
        <v/>
      </c>
      <c r="AB87" s="4">
        <f>Q87*1000000/(365*R87*S87)</f>
        <v/>
      </c>
      <c r="AC87">
        <f>RANK(AA87,$AA$2:$AA$395,0)</f>
        <v/>
      </c>
    </row>
    <row r="88">
      <c r="A88" t="inlineStr">
        <is>
          <t>zone_95</t>
        </is>
      </c>
      <c r="B88" t="inlineStr">
        <is>
          <t>แขวงคลองสองต้นนุ่น - พิมพา</t>
        </is>
      </c>
      <c r="C88" t="inlineStr">
        <is>
          <t>กรุงเทพมหานคร</t>
        </is>
      </c>
      <c r="D88" t="n">
        <v>7</v>
      </c>
      <c r="E88" t="inlineStr">
        <is>
          <t>0103</t>
        </is>
      </c>
      <c r="F88" t="inlineStr">
        <is>
          <t>17–17.7</t>
        </is>
      </c>
      <c r="G88" t="n">
        <v>13.733906</v>
      </c>
      <c r="H88" t="n">
        <v>100.798739</v>
      </c>
      <c r="I88" t="inlineStr">
        <is>
          <t>hods_aadt_pnt_2568.fid-6461857d_1a0f2643074_49ef</t>
        </is>
      </c>
      <c r="J88" t="inlineStr">
        <is>
          <t>แขวงคลองสองต้นนุ่น - พิมพา</t>
        </is>
      </c>
      <c r="K88" t="inlineStr">
        <is>
          <t>17+000</t>
        </is>
      </c>
      <c r="L88" t="inlineStr">
        <is>
          <t>สถานีย่อย (C)</t>
        </is>
      </c>
      <c r="M88" t="n">
        <v>2</v>
      </c>
      <c r="N88" t="n">
        <v>13.7334</v>
      </c>
      <c r="O88" t="n">
        <v>100.795133</v>
      </c>
      <c r="P88" t="n">
        <v>0.39</v>
      </c>
      <c r="Q88" t="n">
        <v>10</v>
      </c>
      <c r="R88" t="n">
        <v>3</v>
      </c>
      <c r="S88" s="3" t="n">
        <v>262343</v>
      </c>
      <c r="T88" t="n">
        <v>1</v>
      </c>
      <c r="U88" t="n">
        <v>0</v>
      </c>
      <c r="V88" t="n">
        <v>2</v>
      </c>
      <c r="W88" t="n">
        <v>0.2</v>
      </c>
      <c r="X88" t="inlineStr">
        <is>
          <t>low</t>
        </is>
      </c>
      <c r="Y88" s="3">
        <f>Q88*1000000</f>
        <v/>
      </c>
      <c r="Z88" s="3">
        <f>365*R88*S88*T88</f>
        <v/>
      </c>
      <c r="AA88" s="4">
        <f>Y88/Z88</f>
        <v/>
      </c>
      <c r="AB88" s="4">
        <f>Q88*1000000/(365*R88*S88)</f>
        <v/>
      </c>
      <c r="AC88">
        <f>RANK(AA88,$AA$2:$AA$395,0)</f>
        <v/>
      </c>
    </row>
    <row r="89">
      <c r="A89" t="inlineStr">
        <is>
          <t>zone_96</t>
        </is>
      </c>
      <c r="B89" t="inlineStr">
        <is>
          <t>บางปะอิน - แขวงรามอินทรา</t>
        </is>
      </c>
      <c r="C89" t="inlineStr">
        <is>
          <t>กรุงเทพมหานคร</t>
        </is>
      </c>
      <c r="D89" t="n">
        <v>9</v>
      </c>
      <c r="E89" t="inlineStr">
        <is>
          <t>0401</t>
        </is>
      </c>
      <c r="F89" t="inlineStr">
        <is>
          <t>34–35.2</t>
        </is>
      </c>
      <c r="G89" t="n">
        <v>13.900612</v>
      </c>
      <c r="H89" t="n">
        <v>100.695063</v>
      </c>
      <c r="I89" t="inlineStr">
        <is>
          <t>hods_aadt_pnt_2568.fid-6461857d_1a0f2643074_4a01</t>
        </is>
      </c>
      <c r="J89" t="inlineStr">
        <is>
          <t>บางปะอิน - แขวงรามอินทรา</t>
        </is>
      </c>
      <c r="K89" t="inlineStr">
        <is>
          <t>1+500</t>
        </is>
      </c>
      <c r="L89" t="inlineStr">
        <is>
          <t>สถานีย่อย (C)</t>
        </is>
      </c>
      <c r="M89" t="n">
        <v>2</v>
      </c>
      <c r="N89" t="n">
        <v>14.182401</v>
      </c>
      <c r="O89" t="n">
        <v>100.640628</v>
      </c>
      <c r="P89" t="n">
        <v>31.88</v>
      </c>
      <c r="Q89" t="n">
        <v>28</v>
      </c>
      <c r="R89" t="n">
        <v>3</v>
      </c>
      <c r="S89" s="3" t="n">
        <v>160792</v>
      </c>
      <c r="T89" t="n">
        <v>1</v>
      </c>
      <c r="U89" t="n">
        <v>1</v>
      </c>
      <c r="V89" t="n">
        <v>21</v>
      </c>
      <c r="W89" t="n">
        <v>0.7857</v>
      </c>
      <c r="X89" t="inlineStr">
        <is>
          <t>low</t>
        </is>
      </c>
      <c r="Y89" s="3">
        <f>Q89*1000000</f>
        <v/>
      </c>
      <c r="Z89" s="3">
        <f>365*R89*S89*T89</f>
        <v/>
      </c>
      <c r="AA89" s="4">
        <f>Y89/Z89</f>
        <v/>
      </c>
      <c r="AB89" s="4">
        <f>Q89*1000000/(365*R89*S89)</f>
        <v/>
      </c>
      <c r="AC89">
        <f>RANK(AA89,$AA$2:$AA$395,0)</f>
        <v/>
      </c>
    </row>
    <row r="90">
      <c r="A90" t="inlineStr">
        <is>
          <t>zone_97</t>
        </is>
      </c>
      <c r="B90" t="inlineStr">
        <is>
          <t>บางปะอิน - แขวงรามอินทรา</t>
        </is>
      </c>
      <c r="C90" t="inlineStr">
        <is>
          <t>กรุงเทพมหานคร</t>
        </is>
      </c>
      <c r="D90" t="n">
        <v>9</v>
      </c>
      <c r="E90" t="inlineStr">
        <is>
          <t>0401</t>
        </is>
      </c>
      <c r="F90" t="inlineStr">
        <is>
          <t>37.8–38.1</t>
        </is>
      </c>
      <c r="G90" t="n">
        <v>13.874651</v>
      </c>
      <c r="H90" t="n">
        <v>100.681579</v>
      </c>
      <c r="I90" t="inlineStr">
        <is>
          <t>hods_aadt_pnt_2568.fid-6461857d_1a0f2643074_4a01</t>
        </is>
      </c>
      <c r="J90" t="inlineStr">
        <is>
          <t>บางปะอิน - แขวงรามอินทรา</t>
        </is>
      </c>
      <c r="K90" t="inlineStr">
        <is>
          <t>1+500</t>
        </is>
      </c>
      <c r="L90" t="inlineStr">
        <is>
          <t>สถานีย่อย (C)</t>
        </is>
      </c>
      <c r="M90" t="n">
        <v>2</v>
      </c>
      <c r="N90" t="n">
        <v>14.182401</v>
      </c>
      <c r="O90" t="n">
        <v>100.640628</v>
      </c>
      <c r="P90" t="n">
        <v>34.5</v>
      </c>
      <c r="Q90" t="n">
        <v>5</v>
      </c>
      <c r="R90" t="n">
        <v>3</v>
      </c>
      <c r="S90" s="3" t="n">
        <v>160792</v>
      </c>
      <c r="T90" t="n">
        <v>1</v>
      </c>
      <c r="U90" t="n">
        <v>0</v>
      </c>
      <c r="V90" t="n">
        <v>5</v>
      </c>
      <c r="W90" t="n">
        <v>1</v>
      </c>
      <c r="X90" t="inlineStr">
        <is>
          <t>medium</t>
        </is>
      </c>
      <c r="Y90" s="3">
        <f>Q90*1000000</f>
        <v/>
      </c>
      <c r="Z90" s="3">
        <f>365*R90*S90*T90</f>
        <v/>
      </c>
      <c r="AA90" s="4">
        <f>Y90/Z90</f>
        <v/>
      </c>
      <c r="AB90" s="4">
        <f>Q90*1000000/(365*R90*S90)</f>
        <v/>
      </c>
      <c r="AC90">
        <f>RANK(AA90,$AA$2:$AA$395,0)</f>
        <v/>
      </c>
    </row>
    <row r="91">
      <c r="A91" t="inlineStr">
        <is>
          <t>zone_98</t>
        </is>
      </c>
      <c r="B91" t="inlineStr">
        <is>
          <t>บางปะอิน - แขวงรามอินทรา</t>
        </is>
      </c>
      <c r="C91" t="inlineStr">
        <is>
          <t>กรุงเทพมหานคร</t>
        </is>
      </c>
      <c r="D91" t="n">
        <v>9</v>
      </c>
      <c r="E91" t="inlineStr">
        <is>
          <t>0401</t>
        </is>
      </c>
      <c r="F91" t="inlineStr">
        <is>
          <t>32.9–33.8</t>
        </is>
      </c>
      <c r="G91" t="n">
        <v>13.911826</v>
      </c>
      <c r="H91" t="n">
        <v>100.700526</v>
      </c>
      <c r="I91" t="inlineStr">
        <is>
          <t>hods_aadt_pnt_2568.fid-6461857d_1a0f2643074_4a01</t>
        </is>
      </c>
      <c r="J91" t="inlineStr">
        <is>
          <t>บางปะอิน - แขวงรามอินทรา</t>
        </is>
      </c>
      <c r="K91" t="inlineStr">
        <is>
          <t>1+500</t>
        </is>
      </c>
      <c r="L91" t="inlineStr">
        <is>
          <t>สถานีย่อย (C)</t>
        </is>
      </c>
      <c r="M91" t="n">
        <v>2</v>
      </c>
      <c r="N91" t="n">
        <v>14.182401</v>
      </c>
      <c r="O91" t="n">
        <v>100.640628</v>
      </c>
      <c r="P91" t="n">
        <v>30.77</v>
      </c>
      <c r="Q91" t="n">
        <v>17</v>
      </c>
      <c r="R91" t="n">
        <v>3</v>
      </c>
      <c r="S91" s="3" t="n">
        <v>160792</v>
      </c>
      <c r="T91" t="n">
        <v>1</v>
      </c>
      <c r="U91" t="n">
        <v>0</v>
      </c>
      <c r="V91" t="n">
        <v>7</v>
      </c>
      <c r="W91" t="n">
        <v>0.4118</v>
      </c>
      <c r="X91" t="inlineStr">
        <is>
          <t>low</t>
        </is>
      </c>
      <c r="Y91" s="3">
        <f>Q91*1000000</f>
        <v/>
      </c>
      <c r="Z91" s="3">
        <f>365*R91*S91*T91</f>
        <v/>
      </c>
      <c r="AA91" s="4">
        <f>Y91/Z91</f>
        <v/>
      </c>
      <c r="AB91" s="4">
        <f>Q91*1000000/(365*R91*S91)</f>
        <v/>
      </c>
      <c r="AC91">
        <f>RANK(AA91,$AA$2:$AA$395,0)</f>
        <v/>
      </c>
    </row>
    <row r="92">
      <c r="A92" t="inlineStr">
        <is>
          <t>zone_100</t>
        </is>
      </c>
      <c r="B92" t="inlineStr">
        <is>
          <t>บางปะอิน - แขวงรามอินทรา</t>
        </is>
      </c>
      <c r="C92" t="inlineStr">
        <is>
          <t>กรุงเทพมหานคร</t>
        </is>
      </c>
      <c r="D92" t="n">
        <v>9</v>
      </c>
      <c r="E92" t="inlineStr">
        <is>
          <t>0401</t>
        </is>
      </c>
      <c r="F92" t="inlineStr">
        <is>
          <t>38.7–39.1</t>
        </is>
      </c>
      <c r="G92" t="n">
        <v>13.867319</v>
      </c>
      <c r="H92" t="n">
        <v>100.677818</v>
      </c>
      <c r="I92" t="inlineStr">
        <is>
          <t>hods_aadt_pnt_2568.fid-6461857d_1a0f2643074_4a01</t>
        </is>
      </c>
      <c r="J92" t="inlineStr">
        <is>
          <t>บางปะอิน - แขวงรามอินทรา</t>
        </is>
      </c>
      <c r="K92" t="inlineStr">
        <is>
          <t>1+500</t>
        </is>
      </c>
      <c r="L92" t="inlineStr">
        <is>
          <t>สถานีย่อย (C)</t>
        </is>
      </c>
      <c r="M92" t="n">
        <v>2</v>
      </c>
      <c r="N92" t="n">
        <v>14.182401</v>
      </c>
      <c r="O92" t="n">
        <v>100.640628</v>
      </c>
      <c r="P92" t="n">
        <v>35.26</v>
      </c>
      <c r="Q92" t="n">
        <v>3</v>
      </c>
      <c r="R92" t="n">
        <v>3</v>
      </c>
      <c r="S92" s="3" t="n">
        <v>160792</v>
      </c>
      <c r="T92" t="n">
        <v>1</v>
      </c>
      <c r="U92" t="n">
        <v>0</v>
      </c>
      <c r="V92" t="n">
        <v>3</v>
      </c>
      <c r="W92" t="n">
        <v>1</v>
      </c>
      <c r="X92" t="inlineStr">
        <is>
          <t>medium</t>
        </is>
      </c>
      <c r="Y92" s="3">
        <f>Q92*1000000</f>
        <v/>
      </c>
      <c r="Z92" s="3">
        <f>365*R92*S92*T92</f>
        <v/>
      </c>
      <c r="AA92" s="4">
        <f>Y92/Z92</f>
        <v/>
      </c>
      <c r="AB92" s="4">
        <f>Q92*1000000/(365*R92*S92)</f>
        <v/>
      </c>
      <c r="AC92">
        <f>RANK(AA92,$AA$2:$AA$395,0)</f>
        <v/>
      </c>
    </row>
    <row r="93">
      <c r="A93" t="inlineStr">
        <is>
          <t>zone_101</t>
        </is>
      </c>
      <c r="B93" t="inlineStr">
        <is>
          <t>บางปะอิน - แขวงรามอินทรา</t>
        </is>
      </c>
      <c r="C93" t="inlineStr">
        <is>
          <t>กรุงเทพมหานคร</t>
        </is>
      </c>
      <c r="D93" t="n">
        <v>9</v>
      </c>
      <c r="E93" t="inlineStr">
        <is>
          <t>0401</t>
        </is>
      </c>
      <c r="F93" t="inlineStr">
        <is>
          <t>36.7–37</t>
        </is>
      </c>
      <c r="G93" t="n">
        <v>13.883371</v>
      </c>
      <c r="H93" t="n">
        <v>100.686107</v>
      </c>
      <c r="I93" t="inlineStr">
        <is>
          <t>hods_aadt_pnt_2568.fid-6461857d_1a0f2643074_4a01</t>
        </is>
      </c>
      <c r="J93" t="inlineStr">
        <is>
          <t>บางปะอิน - แขวงรามอินทรา</t>
        </is>
      </c>
      <c r="K93" t="inlineStr">
        <is>
          <t>1+500</t>
        </is>
      </c>
      <c r="L93" t="inlineStr">
        <is>
          <t>สถานีย่อย (C)</t>
        </is>
      </c>
      <c r="M93" t="n">
        <v>2</v>
      </c>
      <c r="N93" t="n">
        <v>14.182401</v>
      </c>
      <c r="O93" t="n">
        <v>100.640628</v>
      </c>
      <c r="P93" t="n">
        <v>33.61</v>
      </c>
      <c r="Q93" t="n">
        <v>5</v>
      </c>
      <c r="R93" t="n">
        <v>3</v>
      </c>
      <c r="S93" s="3" t="n">
        <v>160792</v>
      </c>
      <c r="T93" t="n">
        <v>1</v>
      </c>
      <c r="U93" t="n">
        <v>0</v>
      </c>
      <c r="V93" t="n">
        <v>5</v>
      </c>
      <c r="W93" t="n">
        <v>1</v>
      </c>
      <c r="X93" t="inlineStr">
        <is>
          <t>medium</t>
        </is>
      </c>
      <c r="Y93" s="3">
        <f>Q93*1000000</f>
        <v/>
      </c>
      <c r="Z93" s="3">
        <f>365*R93*S93*T93</f>
        <v/>
      </c>
      <c r="AA93" s="4">
        <f>Y93/Z93</f>
        <v/>
      </c>
      <c r="AB93" s="4">
        <f>Q93*1000000/(365*R93*S93)</f>
        <v/>
      </c>
      <c r="AC93">
        <f>RANK(AA93,$AA$2:$AA$395,0)</f>
        <v/>
      </c>
    </row>
    <row r="94">
      <c r="A94" t="inlineStr">
        <is>
          <t>zone_104</t>
        </is>
      </c>
      <c r="B94" t="inlineStr">
        <is>
          <t>บางปะอิน - แขวงรามอินทรา</t>
        </is>
      </c>
      <c r="C94" t="inlineStr">
        <is>
          <t>กรุงเทพมหานคร</t>
        </is>
      </c>
      <c r="D94" t="n">
        <v>9</v>
      </c>
      <c r="E94" t="inlineStr">
        <is>
          <t>0401</t>
        </is>
      </c>
      <c r="F94" t="inlineStr">
        <is>
          <t>39.2–40.77</t>
        </is>
      </c>
      <c r="G94" t="n">
        <v>13.861109</v>
      </c>
      <c r="H94" t="n">
        <v>100.676354</v>
      </c>
      <c r="I94" t="inlineStr">
        <is>
          <t>hods_aadt_pnt_2568.fid-6461857d_1a0f2643074_4a01</t>
        </is>
      </c>
      <c r="J94" t="inlineStr">
        <is>
          <t>บางปะอิน - แขวงรามอินทรา</t>
        </is>
      </c>
      <c r="K94" t="inlineStr">
        <is>
          <t>1+500</t>
        </is>
      </c>
      <c r="L94" t="inlineStr">
        <is>
          <t>สถานีย่อย (C)</t>
        </is>
      </c>
      <c r="M94" t="n">
        <v>2</v>
      </c>
      <c r="N94" t="n">
        <v>14.182401</v>
      </c>
      <c r="O94" t="n">
        <v>100.640628</v>
      </c>
      <c r="P94" t="n">
        <v>35.93</v>
      </c>
      <c r="Q94" t="n">
        <v>10</v>
      </c>
      <c r="R94" t="n">
        <v>3</v>
      </c>
      <c r="S94" s="3" t="n">
        <v>160792</v>
      </c>
      <c r="T94" t="n">
        <v>1</v>
      </c>
      <c r="U94" t="n">
        <v>0</v>
      </c>
      <c r="V94" t="n">
        <v>10</v>
      </c>
      <c r="W94" t="n">
        <v>1</v>
      </c>
      <c r="X94" t="inlineStr">
        <is>
          <t>medium</t>
        </is>
      </c>
      <c r="Y94" s="3">
        <f>Q94*1000000</f>
        <v/>
      </c>
      <c r="Z94" s="3">
        <f>365*R94*S94*T94</f>
        <v/>
      </c>
      <c r="AA94" s="4">
        <f>Y94/Z94</f>
        <v/>
      </c>
      <c r="AB94" s="4">
        <f>Q94*1000000/(365*R94*S94)</f>
        <v/>
      </c>
      <c r="AC94">
        <f>RANK(AA94,$AA$2:$AA$395,0)</f>
        <v/>
      </c>
    </row>
    <row r="95">
      <c r="A95" t="inlineStr">
        <is>
          <t>zone_105</t>
        </is>
      </c>
      <c r="B95" t="inlineStr">
        <is>
          <t>แขวงรามอินทรา - บางพลี</t>
        </is>
      </c>
      <c r="C95" t="inlineStr">
        <is>
          <t>กรุงเทพมหานคร</t>
        </is>
      </c>
      <c r="D95" t="n">
        <v>9</v>
      </c>
      <c r="E95" t="inlineStr">
        <is>
          <t>0402</t>
        </is>
      </c>
      <c r="F95" t="inlineStr">
        <is>
          <t>45.7–46.4</t>
        </is>
      </c>
      <c r="G95" t="n">
        <v>13.802379</v>
      </c>
      <c r="H95" t="n">
        <v>100.680341</v>
      </c>
      <c r="I95" t="inlineStr">
        <is>
          <t>hods_aadt_pnt_2568.fid-6461857d_1a0f2643074_4a03</t>
        </is>
      </c>
      <c r="J95" t="inlineStr">
        <is>
          <t>แขวงรามอินทรา - บางพลี</t>
        </is>
      </c>
      <c r="K95" t="inlineStr">
        <is>
          <t>59+500</t>
        </is>
      </c>
      <c r="L95" t="inlineStr">
        <is>
          <t>สถานีย่อย (C)</t>
        </is>
      </c>
      <c r="M95" t="n">
        <v>1</v>
      </c>
      <c r="N95" t="n">
        <v>13.685477</v>
      </c>
      <c r="O95" t="n">
        <v>100.69945</v>
      </c>
      <c r="P95" t="n">
        <v>13.16</v>
      </c>
      <c r="Q95" t="n">
        <v>15</v>
      </c>
      <c r="R95" t="n">
        <v>3</v>
      </c>
      <c r="S95" s="3" t="n">
        <v>117813</v>
      </c>
      <c r="T95" t="n">
        <v>1</v>
      </c>
      <c r="U95" t="n">
        <v>2</v>
      </c>
      <c r="V95" t="n">
        <v>7</v>
      </c>
      <c r="W95" t="n">
        <v>0.5333</v>
      </c>
      <c r="X95" t="inlineStr">
        <is>
          <t>low</t>
        </is>
      </c>
      <c r="Y95" s="3">
        <f>Q95*1000000</f>
        <v/>
      </c>
      <c r="Z95" s="3">
        <f>365*R95*S95*T95</f>
        <v/>
      </c>
      <c r="AA95" s="4">
        <f>Y95/Z95</f>
        <v/>
      </c>
      <c r="AB95" s="4">
        <f>Q95*1000000/(365*R95*S95)</f>
        <v/>
      </c>
      <c r="AC95">
        <f>RANK(AA95,$AA$2:$AA$395,0)</f>
        <v/>
      </c>
    </row>
    <row r="96">
      <c r="A96" t="inlineStr">
        <is>
          <t>zone_106</t>
        </is>
      </c>
      <c r="B96" t="inlineStr">
        <is>
          <t>บางปะอิน - แขวงรามอินทรา</t>
        </is>
      </c>
      <c r="C96" t="inlineStr">
        <is>
          <t>กรุงเทพมหานคร</t>
        </is>
      </c>
      <c r="D96" t="n">
        <v>9</v>
      </c>
      <c r="E96" t="inlineStr">
        <is>
          <t>0401</t>
        </is>
      </c>
      <c r="F96" t="inlineStr">
        <is>
          <t>37.1–37.2</t>
        </is>
      </c>
      <c r="G96" t="n">
        <v>13.881141</v>
      </c>
      <c r="H96" t="n">
        <v>100.684743</v>
      </c>
      <c r="I96" t="inlineStr">
        <is>
          <t>hods_aadt_pnt_2568.fid-6461857d_1a0f2643074_4a01</t>
        </is>
      </c>
      <c r="J96" t="inlineStr">
        <is>
          <t>บางปะอิน - แขวงรามอินทรา</t>
        </is>
      </c>
      <c r="K96" t="inlineStr">
        <is>
          <t>1+500</t>
        </is>
      </c>
      <c r="L96" t="inlineStr">
        <is>
          <t>สถานีย่อย (C)</t>
        </is>
      </c>
      <c r="M96" t="n">
        <v>2</v>
      </c>
      <c r="N96" t="n">
        <v>14.182401</v>
      </c>
      <c r="O96" t="n">
        <v>100.640628</v>
      </c>
      <c r="P96" t="n">
        <v>33.83</v>
      </c>
      <c r="Q96" t="n">
        <v>7</v>
      </c>
      <c r="R96" t="n">
        <v>3</v>
      </c>
      <c r="S96" s="3" t="n">
        <v>160792</v>
      </c>
      <c r="T96" t="n">
        <v>1</v>
      </c>
      <c r="U96" t="n">
        <v>0</v>
      </c>
      <c r="V96" t="n">
        <v>5</v>
      </c>
      <c r="W96" t="n">
        <v>0.7143</v>
      </c>
      <c r="X96" t="inlineStr">
        <is>
          <t>low</t>
        </is>
      </c>
      <c r="Y96" s="3">
        <f>Q96*1000000</f>
        <v/>
      </c>
      <c r="Z96" s="3">
        <f>365*R96*S96*T96</f>
        <v/>
      </c>
      <c r="AA96" s="4">
        <f>Y96/Z96</f>
        <v/>
      </c>
      <c r="AB96" s="4">
        <f>Q96*1000000/(365*R96*S96)</f>
        <v/>
      </c>
      <c r="AC96">
        <f>RANK(AA96,$AA$2:$AA$395,0)</f>
        <v/>
      </c>
    </row>
    <row r="97">
      <c r="A97" t="inlineStr">
        <is>
          <t>zone_108</t>
        </is>
      </c>
      <c r="B97" t="inlineStr">
        <is>
          <t>บางปะอิน - แขวงรามอินทรา</t>
        </is>
      </c>
      <c r="C97" t="inlineStr">
        <is>
          <t>ปทุมธานี</t>
        </is>
      </c>
      <c r="D97" t="n">
        <v>9</v>
      </c>
      <c r="E97" t="inlineStr">
        <is>
          <t>0401</t>
        </is>
      </c>
      <c r="F97" t="inlineStr">
        <is>
          <t>27–32.8</t>
        </is>
      </c>
      <c r="G97" t="n">
        <v>13.943063</v>
      </c>
      <c r="H97" t="n">
        <v>100.710671</v>
      </c>
      <c r="I97" t="inlineStr">
        <is>
          <t>hods_aadt_pnt_2568.fid-6461857d_1a0f2643074_4a01</t>
        </is>
      </c>
      <c r="J97" t="inlineStr">
        <is>
          <t>บางปะอิน - แขวงรามอินทรา</t>
        </is>
      </c>
      <c r="K97" t="inlineStr">
        <is>
          <t>1+500</t>
        </is>
      </c>
      <c r="L97" t="inlineStr">
        <is>
          <t>สถานีย่อย (C)</t>
        </is>
      </c>
      <c r="M97" t="n">
        <v>2</v>
      </c>
      <c r="N97" t="n">
        <v>14.182401</v>
      </c>
      <c r="O97" t="n">
        <v>100.640628</v>
      </c>
      <c r="P97" t="n">
        <v>27.66</v>
      </c>
      <c r="Q97" t="n">
        <v>160</v>
      </c>
      <c r="R97" t="n">
        <v>3</v>
      </c>
      <c r="S97" s="3" t="n">
        <v>160792</v>
      </c>
      <c r="T97" t="n">
        <v>1</v>
      </c>
      <c r="U97" t="n">
        <v>3</v>
      </c>
      <c r="V97" t="n">
        <v>95</v>
      </c>
      <c r="W97" t="n">
        <v>0.6125</v>
      </c>
      <c r="X97" t="inlineStr">
        <is>
          <t>low</t>
        </is>
      </c>
      <c r="Y97" s="3">
        <f>Q97*1000000</f>
        <v/>
      </c>
      <c r="Z97" s="3">
        <f>365*R97*S97*T97</f>
        <v/>
      </c>
      <c r="AA97" s="4">
        <f>Y97/Z97</f>
        <v/>
      </c>
      <c r="AB97" s="4">
        <f>Q97*1000000/(365*R97*S97)</f>
        <v/>
      </c>
      <c r="AC97">
        <f>RANK(AA97,$AA$2:$AA$395,0)</f>
        <v/>
      </c>
    </row>
    <row r="98">
      <c r="A98" t="inlineStr">
        <is>
          <t>zone_109</t>
        </is>
      </c>
      <c r="B98" t="inlineStr">
        <is>
          <t>แขวงรามอินทรา - บางพลี</t>
        </is>
      </c>
      <c r="C98" t="inlineStr">
        <is>
          <t>กรุงเทพมหานคร</t>
        </is>
      </c>
      <c r="D98" t="n">
        <v>9</v>
      </c>
      <c r="E98" t="inlineStr">
        <is>
          <t>0402</t>
        </is>
      </c>
      <c r="F98" t="inlineStr">
        <is>
          <t>55.5–56.2</t>
        </is>
      </c>
      <c r="G98" t="n">
        <v>13.71748</v>
      </c>
      <c r="H98" t="n">
        <v>100.700465</v>
      </c>
      <c r="I98" t="inlineStr">
        <is>
          <t>hods_aadt_pnt_2568.fid-6461857d_1a0f2643074_4a03</t>
        </is>
      </c>
      <c r="J98" t="inlineStr">
        <is>
          <t>แขวงรามอินทรา - บางพลี</t>
        </is>
      </c>
      <c r="K98" t="inlineStr">
        <is>
          <t>59+500</t>
        </is>
      </c>
      <c r="L98" t="inlineStr">
        <is>
          <t>สถานีย่อย (C)</t>
        </is>
      </c>
      <c r="M98" t="n">
        <v>1</v>
      </c>
      <c r="N98" t="n">
        <v>13.685477</v>
      </c>
      <c r="O98" t="n">
        <v>100.69945</v>
      </c>
      <c r="P98" t="n">
        <v>3.56</v>
      </c>
      <c r="Q98" t="n">
        <v>9</v>
      </c>
      <c r="R98" t="n">
        <v>3</v>
      </c>
      <c r="S98" s="3" t="n">
        <v>117813</v>
      </c>
      <c r="T98" t="n">
        <v>1</v>
      </c>
      <c r="U98" t="n">
        <v>0</v>
      </c>
      <c r="V98" t="n">
        <v>3</v>
      </c>
      <c r="W98" t="n">
        <v>0.3333</v>
      </c>
      <c r="X98" t="inlineStr">
        <is>
          <t>low</t>
        </is>
      </c>
      <c r="Y98" s="3">
        <f>Q98*1000000</f>
        <v/>
      </c>
      <c r="Z98" s="3">
        <f>365*R98*S98*T98</f>
        <v/>
      </c>
      <c r="AA98" s="4">
        <f>Y98/Z98</f>
        <v/>
      </c>
      <c r="AB98" s="4">
        <f>Q98*1000000/(365*R98*S98)</f>
        <v/>
      </c>
      <c r="AC98">
        <f>RANK(AA98,$AA$2:$AA$395,0)</f>
        <v/>
      </c>
    </row>
    <row r="99">
      <c r="A99" t="inlineStr">
        <is>
          <t>zone_110</t>
        </is>
      </c>
      <c r="B99" t="inlineStr">
        <is>
          <t>บางปะอิน - แขวงรามอินทรา</t>
        </is>
      </c>
      <c r="C99" t="inlineStr">
        <is>
          <t>กรุงเทพมหานคร</t>
        </is>
      </c>
      <c r="D99" t="n">
        <v>9</v>
      </c>
      <c r="E99" t="inlineStr">
        <is>
          <t>0401</t>
        </is>
      </c>
      <c r="F99" t="inlineStr">
        <is>
          <t>35.7–36.2</t>
        </is>
      </c>
      <c r="G99" t="n">
        <v>13.891519</v>
      </c>
      <c r="H99" t="n">
        <v>100.690346</v>
      </c>
      <c r="I99" t="inlineStr">
        <is>
          <t>hods_aadt_pnt_2568.fid-6461857d_1a0f2643074_4a01</t>
        </is>
      </c>
      <c r="J99" t="inlineStr">
        <is>
          <t>บางปะอิน - แขวงรามอินทรา</t>
        </is>
      </c>
      <c r="K99" t="inlineStr">
        <is>
          <t>1+500</t>
        </is>
      </c>
      <c r="L99" t="inlineStr">
        <is>
          <t>สถานีย่อย (C)</t>
        </is>
      </c>
      <c r="M99" t="n">
        <v>2</v>
      </c>
      <c r="N99" t="n">
        <v>14.182401</v>
      </c>
      <c r="O99" t="n">
        <v>100.640628</v>
      </c>
      <c r="P99" t="n">
        <v>32.79</v>
      </c>
      <c r="Q99" t="n">
        <v>6</v>
      </c>
      <c r="R99" t="n">
        <v>3</v>
      </c>
      <c r="S99" s="3" t="n">
        <v>160792</v>
      </c>
      <c r="T99" t="n">
        <v>1</v>
      </c>
      <c r="U99" t="n">
        <v>0</v>
      </c>
      <c r="V99" t="n">
        <v>4</v>
      </c>
      <c r="W99" t="n">
        <v>0.6667</v>
      </c>
      <c r="X99" t="inlineStr">
        <is>
          <t>low</t>
        </is>
      </c>
      <c r="Y99" s="3">
        <f>Q99*1000000</f>
        <v/>
      </c>
      <c r="Z99" s="3">
        <f>365*R99*S99*T99</f>
        <v/>
      </c>
      <c r="AA99" s="4">
        <f>Y99/Z99</f>
        <v/>
      </c>
      <c r="AB99" s="4">
        <f>Q99*1000000/(365*R99*S99)</f>
        <v/>
      </c>
      <c r="AC99">
        <f>RANK(AA99,$AA$2:$AA$395,0)</f>
        <v/>
      </c>
    </row>
    <row r="100">
      <c r="A100" t="inlineStr">
        <is>
          <t>zone_111</t>
        </is>
      </c>
      <c r="B100" t="inlineStr">
        <is>
          <t>แขวงรามอินทรา - บางพลี</t>
        </is>
      </c>
      <c r="C100" t="inlineStr">
        <is>
          <t>กรุงเทพมหานคร</t>
        </is>
      </c>
      <c r="D100" t="n">
        <v>9</v>
      </c>
      <c r="E100" t="inlineStr">
        <is>
          <t>0402</t>
        </is>
      </c>
      <c r="F100" t="inlineStr">
        <is>
          <t>51.9–52.2</t>
        </is>
      </c>
      <c r="G100" t="n">
        <v>13.752955</v>
      </c>
      <c r="H100" t="n">
        <v>100.700786</v>
      </c>
      <c r="I100" t="inlineStr">
        <is>
          <t>hods_aadt_pnt_2568.fid-6461857d_1a0f2643074_4a03</t>
        </is>
      </c>
      <c r="J100" t="inlineStr">
        <is>
          <t>แขวงรามอินทรา - บางพลี</t>
        </is>
      </c>
      <c r="K100" t="inlineStr">
        <is>
          <t>59+500</t>
        </is>
      </c>
      <c r="L100" t="inlineStr">
        <is>
          <t>สถานีย่อย (C)</t>
        </is>
      </c>
      <c r="M100" t="n">
        <v>1</v>
      </c>
      <c r="N100" t="n">
        <v>13.685477</v>
      </c>
      <c r="O100" t="n">
        <v>100.69945</v>
      </c>
      <c r="P100" t="n">
        <v>7.5</v>
      </c>
      <c r="Q100" t="n">
        <v>7</v>
      </c>
      <c r="R100" t="n">
        <v>3</v>
      </c>
      <c r="S100" s="3" t="n">
        <v>117813</v>
      </c>
      <c r="T100" t="n">
        <v>1</v>
      </c>
      <c r="U100" t="n">
        <v>0</v>
      </c>
      <c r="V100" t="n">
        <v>1</v>
      </c>
      <c r="W100" t="n">
        <v>0.1429</v>
      </c>
      <c r="X100" t="inlineStr">
        <is>
          <t>low</t>
        </is>
      </c>
      <c r="Y100" s="3">
        <f>Q100*1000000</f>
        <v/>
      </c>
      <c r="Z100" s="3">
        <f>365*R100*S100*T100</f>
        <v/>
      </c>
      <c r="AA100" s="4">
        <f>Y100/Z100</f>
        <v/>
      </c>
      <c r="AB100" s="4">
        <f>Q100*1000000/(365*R100*S100)</f>
        <v/>
      </c>
      <c r="AC100">
        <f>RANK(AA100,$AA$2:$AA$395,0)</f>
        <v/>
      </c>
    </row>
    <row r="101">
      <c r="A101" t="inlineStr">
        <is>
          <t>zone_112</t>
        </is>
      </c>
      <c r="B101" t="inlineStr">
        <is>
          <t>บางปะอิน - แขวงรามอินทรา</t>
        </is>
      </c>
      <c r="C101" t="inlineStr">
        <is>
          <t>กรุงเทพมหานคร</t>
        </is>
      </c>
      <c r="D101" t="n">
        <v>9</v>
      </c>
      <c r="E101" t="inlineStr">
        <is>
          <t>0401</t>
        </is>
      </c>
      <c r="F101" t="inlineStr">
        <is>
          <t>36.3–36.5</t>
        </is>
      </c>
      <c r="G101" t="n">
        <v>13.886694</v>
      </c>
      <c r="H101" t="n">
        <v>100.687827</v>
      </c>
      <c r="I101" t="inlineStr">
        <is>
          <t>hods_aadt_pnt_2568.fid-6461857d_1a0f2643074_4a01</t>
        </is>
      </c>
      <c r="J101" t="inlineStr">
        <is>
          <t>บางปะอิน - แขวงรามอินทรา</t>
        </is>
      </c>
      <c r="K101" t="inlineStr">
        <is>
          <t>1+500</t>
        </is>
      </c>
      <c r="L101" t="inlineStr">
        <is>
          <t>สถานีย่อย (C)</t>
        </is>
      </c>
      <c r="M101" t="n">
        <v>2</v>
      </c>
      <c r="N101" t="n">
        <v>14.182401</v>
      </c>
      <c r="O101" t="n">
        <v>100.640628</v>
      </c>
      <c r="P101" t="n">
        <v>33.27</v>
      </c>
      <c r="Q101" t="n">
        <v>5</v>
      </c>
      <c r="R101" t="n">
        <v>3</v>
      </c>
      <c r="S101" s="3" t="n">
        <v>160792</v>
      </c>
      <c r="T101" t="n">
        <v>1</v>
      </c>
      <c r="U101" t="n">
        <v>0</v>
      </c>
      <c r="V101" t="n">
        <v>4</v>
      </c>
      <c r="W101" t="n">
        <v>0.8</v>
      </c>
      <c r="X101" t="inlineStr">
        <is>
          <t>low</t>
        </is>
      </c>
      <c r="Y101" s="3">
        <f>Q101*1000000</f>
        <v/>
      </c>
      <c r="Z101" s="3">
        <f>365*R101*S101*T101</f>
        <v/>
      </c>
      <c r="AA101" s="4">
        <f>Y101/Z101</f>
        <v/>
      </c>
      <c r="AB101" s="4">
        <f>Q101*1000000/(365*R101*S101)</f>
        <v/>
      </c>
      <c r="AC101">
        <f>RANK(AA101,$AA$2:$AA$395,0)</f>
        <v/>
      </c>
    </row>
    <row r="102">
      <c r="A102" t="inlineStr">
        <is>
          <t>zone_114</t>
        </is>
      </c>
      <c r="B102" t="inlineStr">
        <is>
          <t>บางปะอิน - แขวงรามอินทรา</t>
        </is>
      </c>
      <c r="C102" t="inlineStr">
        <is>
          <t>กรุงเทพมหานคร</t>
        </is>
      </c>
      <c r="D102" t="n">
        <v>9</v>
      </c>
      <c r="E102" t="inlineStr">
        <is>
          <t>0401</t>
        </is>
      </c>
      <c r="F102" t="inlineStr">
        <is>
          <t>40.5–40.6</t>
        </is>
      </c>
      <c r="G102" t="n">
        <v>13.85244</v>
      </c>
      <c r="H102" t="n">
        <v>100.67356</v>
      </c>
      <c r="I102" t="inlineStr">
        <is>
          <t>hods_aadt_pnt_2568.fid-6461857d_1a0f2643074_4a01</t>
        </is>
      </c>
      <c r="J102" t="inlineStr">
        <is>
          <t>บางปะอิน - แขวงรามอินทรา</t>
        </is>
      </c>
      <c r="K102" t="inlineStr">
        <is>
          <t>1+500</t>
        </is>
      </c>
      <c r="L102" t="inlineStr">
        <is>
          <t>สถานีย่อย (C)</t>
        </is>
      </c>
      <c r="M102" t="n">
        <v>2</v>
      </c>
      <c r="N102" t="n">
        <v>14.182401</v>
      </c>
      <c r="O102" t="n">
        <v>100.640628</v>
      </c>
      <c r="P102" t="n">
        <v>36.86</v>
      </c>
      <c r="Q102" t="n">
        <v>3</v>
      </c>
      <c r="R102" t="n">
        <v>3</v>
      </c>
      <c r="S102" s="3" t="n">
        <v>160792</v>
      </c>
      <c r="T102" t="n">
        <v>1</v>
      </c>
      <c r="U102" t="n">
        <v>0</v>
      </c>
      <c r="V102" t="n">
        <v>2</v>
      </c>
      <c r="W102" t="n">
        <v>0.6667</v>
      </c>
      <c r="X102" t="inlineStr">
        <is>
          <t>low</t>
        </is>
      </c>
      <c r="Y102" s="3">
        <f>Q102*1000000</f>
        <v/>
      </c>
      <c r="Z102" s="3">
        <f>365*R102*S102*T102</f>
        <v/>
      </c>
      <c r="AA102" s="4">
        <f>Y102/Z102</f>
        <v/>
      </c>
      <c r="AB102" s="4">
        <f>Q102*1000000/(365*R102*S102)</f>
        <v/>
      </c>
      <c r="AC102">
        <f>RANK(AA102,$AA$2:$AA$395,0)</f>
        <v/>
      </c>
    </row>
    <row r="103">
      <c r="A103" t="inlineStr">
        <is>
          <t>zone_115</t>
        </is>
      </c>
      <c r="B103" t="inlineStr">
        <is>
          <t>บางปะอิน - แขวงรามอินทรา</t>
        </is>
      </c>
      <c r="C103" t="inlineStr">
        <is>
          <t>ปทุมธานี</t>
        </is>
      </c>
      <c r="D103" t="n">
        <v>9</v>
      </c>
      <c r="E103" t="inlineStr">
        <is>
          <t>0401</t>
        </is>
      </c>
      <c r="F103" t="inlineStr">
        <is>
          <t>25–25.2</t>
        </is>
      </c>
      <c r="G103" t="n">
        <v>13.984649</v>
      </c>
      <c r="H103" t="n">
        <v>100.71317</v>
      </c>
      <c r="I103" t="inlineStr">
        <is>
          <t>hods_aadt_pnt_2568.fid-6461857d_1a0f2643074_4a01</t>
        </is>
      </c>
      <c r="J103" t="inlineStr">
        <is>
          <t>บางปะอิน - แขวงรามอินทรา</t>
        </is>
      </c>
      <c r="K103" t="inlineStr">
        <is>
          <t>1+500</t>
        </is>
      </c>
      <c r="L103" t="inlineStr">
        <is>
          <t>สถานีย่อย (C)</t>
        </is>
      </c>
      <c r="M103" t="n">
        <v>2</v>
      </c>
      <c r="N103" t="n">
        <v>14.182401</v>
      </c>
      <c r="O103" t="n">
        <v>100.640628</v>
      </c>
      <c r="P103" t="n">
        <v>23.34</v>
      </c>
      <c r="Q103" t="n">
        <v>10</v>
      </c>
      <c r="R103" t="n">
        <v>3</v>
      </c>
      <c r="S103" s="3" t="n">
        <v>160792</v>
      </c>
      <c r="T103" t="n">
        <v>1</v>
      </c>
      <c r="U103" t="n">
        <v>0</v>
      </c>
      <c r="V103" t="n">
        <v>1</v>
      </c>
      <c r="W103" t="n">
        <v>0.1</v>
      </c>
      <c r="X103" t="inlineStr">
        <is>
          <t>low</t>
        </is>
      </c>
      <c r="Y103" s="3">
        <f>Q103*1000000</f>
        <v/>
      </c>
      <c r="Z103" s="3">
        <f>365*R103*S103*T103</f>
        <v/>
      </c>
      <c r="AA103" s="4">
        <f>Y103/Z103</f>
        <v/>
      </c>
      <c r="AB103" s="4">
        <f>Q103*1000000/(365*R103*S103)</f>
        <v/>
      </c>
      <c r="AC103">
        <f>RANK(AA103,$AA$2:$AA$395,0)</f>
        <v/>
      </c>
    </row>
    <row r="104">
      <c r="A104" t="inlineStr">
        <is>
          <t>zone_116</t>
        </is>
      </c>
      <c r="B104" t="inlineStr">
        <is>
          <t>บางปะอิน - แขวงรามอินทรา</t>
        </is>
      </c>
      <c r="C104" t="inlineStr">
        <is>
          <t>ปทุมธานี</t>
        </is>
      </c>
      <c r="D104" t="n">
        <v>9</v>
      </c>
      <c r="E104" t="inlineStr">
        <is>
          <t>0401</t>
        </is>
      </c>
      <c r="F104" t="inlineStr">
        <is>
          <t>26–26.8</t>
        </is>
      </c>
      <c r="G104" t="n">
        <v>13.971894</v>
      </c>
      <c r="H104" t="n">
        <v>100.713059</v>
      </c>
      <c r="I104" t="inlineStr">
        <is>
          <t>hods_aadt_pnt_2568.fid-6461857d_1a0f2643074_4a01</t>
        </is>
      </c>
      <c r="J104" t="inlineStr">
        <is>
          <t>บางปะอิน - แขวงรามอินทรา</t>
        </is>
      </c>
      <c r="K104" t="inlineStr">
        <is>
          <t>1+500</t>
        </is>
      </c>
      <c r="L104" t="inlineStr">
        <is>
          <t>สถานีย่อย (C)</t>
        </is>
      </c>
      <c r="M104" t="n">
        <v>2</v>
      </c>
      <c r="N104" t="n">
        <v>14.182401</v>
      </c>
      <c r="O104" t="n">
        <v>100.640628</v>
      </c>
      <c r="P104" t="n">
        <v>24.68</v>
      </c>
      <c r="Q104" t="n">
        <v>19</v>
      </c>
      <c r="R104" t="n">
        <v>3</v>
      </c>
      <c r="S104" s="3" t="n">
        <v>160792</v>
      </c>
      <c r="T104" t="n">
        <v>1</v>
      </c>
      <c r="U104" t="n">
        <v>0</v>
      </c>
      <c r="V104" t="n">
        <v>5</v>
      </c>
      <c r="W104" t="n">
        <v>0.2632</v>
      </c>
      <c r="X104" t="inlineStr">
        <is>
          <t>low</t>
        </is>
      </c>
      <c r="Y104" s="3">
        <f>Q104*1000000</f>
        <v/>
      </c>
      <c r="Z104" s="3">
        <f>365*R104*S104*T104</f>
        <v/>
      </c>
      <c r="AA104" s="4">
        <f>Y104/Z104</f>
        <v/>
      </c>
      <c r="AB104" s="4">
        <f>Q104*1000000/(365*R104*S104)</f>
        <v/>
      </c>
      <c r="AC104">
        <f>RANK(AA104,$AA$2:$AA$395,0)</f>
        <v/>
      </c>
    </row>
    <row r="105">
      <c r="A105" t="inlineStr">
        <is>
          <t>zone_117</t>
        </is>
      </c>
      <c r="B105" t="inlineStr">
        <is>
          <t>บางปะอิน - แขวงรามอินทรา</t>
        </is>
      </c>
      <c r="C105" t="inlineStr">
        <is>
          <t>ปทุมธานี</t>
        </is>
      </c>
      <c r="D105" t="n">
        <v>9</v>
      </c>
      <c r="E105" t="inlineStr">
        <is>
          <t>0401</t>
        </is>
      </c>
      <c r="F105" t="inlineStr">
        <is>
          <t>25.4–25.8</t>
        </is>
      </c>
      <c r="G105" t="n">
        <v>13.980125</v>
      </c>
      <c r="H105" t="n">
        <v>100.71332</v>
      </c>
      <c r="I105" t="inlineStr">
        <is>
          <t>hods_aadt_pnt_2568.fid-6461857d_1a0f2643074_4a01</t>
        </is>
      </c>
      <c r="J105" t="inlineStr">
        <is>
          <t>บางปะอิน - แขวงรามอินทรา</t>
        </is>
      </c>
      <c r="K105" t="inlineStr">
        <is>
          <t>1+500</t>
        </is>
      </c>
      <c r="L105" t="inlineStr">
        <is>
          <t>สถานีย่อย (C)</t>
        </is>
      </c>
      <c r="M105" t="n">
        <v>2</v>
      </c>
      <c r="N105" t="n">
        <v>14.182401</v>
      </c>
      <c r="O105" t="n">
        <v>100.640628</v>
      </c>
      <c r="P105" t="n">
        <v>23.82</v>
      </c>
      <c r="Q105" t="n">
        <v>17</v>
      </c>
      <c r="R105" t="n">
        <v>3</v>
      </c>
      <c r="S105" s="3" t="n">
        <v>160792</v>
      </c>
      <c r="T105" t="n">
        <v>1</v>
      </c>
      <c r="U105" t="n">
        <v>0</v>
      </c>
      <c r="V105" t="n">
        <v>4</v>
      </c>
      <c r="W105" t="n">
        <v>0.2353</v>
      </c>
      <c r="X105" t="inlineStr">
        <is>
          <t>low</t>
        </is>
      </c>
      <c r="Y105" s="3">
        <f>Q105*1000000</f>
        <v/>
      </c>
      <c r="Z105" s="3">
        <f>365*R105*S105*T105</f>
        <v/>
      </c>
      <c r="AA105" s="4">
        <f>Y105/Z105</f>
        <v/>
      </c>
      <c r="AB105" s="4">
        <f>Q105*1000000/(365*R105*S105)</f>
        <v/>
      </c>
      <c r="AC105">
        <f>RANK(AA105,$AA$2:$AA$395,0)</f>
        <v/>
      </c>
    </row>
    <row r="106">
      <c r="A106" t="inlineStr">
        <is>
          <t>zone_119</t>
        </is>
      </c>
      <c r="B106" t="inlineStr">
        <is>
          <t>แยกเข้ามีนบุรี - คลองหลวงแพ่ง</t>
        </is>
      </c>
      <c r="C106" t="inlineStr">
        <is>
          <t>กรุงเทพมหานคร</t>
        </is>
      </c>
      <c r="D106" t="n">
        <v>304</v>
      </c>
      <c r="E106" t="inlineStr">
        <is>
          <t>0203</t>
        </is>
      </c>
      <c r="F106" t="inlineStr">
        <is>
          <t>45.3–45.56</t>
        </is>
      </c>
      <c r="G106" t="n">
        <v>13.806881</v>
      </c>
      <c r="H106" t="n">
        <v>100.890996</v>
      </c>
      <c r="I106" t="inlineStr">
        <is>
          <t>hods_aadt_pnt_2568.fid-6461857d_1a0f2643074_4c28</t>
        </is>
      </c>
      <c r="J106" t="inlineStr">
        <is>
          <t>แยกเข้ามีนบุรี - คลองหลวงแพ่ง</t>
        </is>
      </c>
      <c r="K106" t="inlineStr">
        <is>
          <t>28+250</t>
        </is>
      </c>
      <c r="L106" t="inlineStr">
        <is>
          <t>สถานีย่อย (C)</t>
        </is>
      </c>
      <c r="M106" t="n">
        <v>2</v>
      </c>
      <c r="N106" t="n">
        <v>13.819379</v>
      </c>
      <c r="O106" t="n">
        <v>100.736014</v>
      </c>
      <c r="P106" t="n">
        <v>16.79</v>
      </c>
      <c r="Q106" t="n">
        <v>4</v>
      </c>
      <c r="R106" t="n">
        <v>3</v>
      </c>
      <c r="S106" s="3" t="n">
        <v>78286</v>
      </c>
      <c r="T106" t="n">
        <v>1</v>
      </c>
      <c r="U106" t="n">
        <v>0</v>
      </c>
      <c r="V106" t="n">
        <v>2</v>
      </c>
      <c r="W106" t="n">
        <v>0.5</v>
      </c>
      <c r="X106" t="inlineStr">
        <is>
          <t>low</t>
        </is>
      </c>
      <c r="Y106" s="3">
        <f>Q106*1000000</f>
        <v/>
      </c>
      <c r="Z106" s="3">
        <f>365*R106*S106*T106</f>
        <v/>
      </c>
      <c r="AA106" s="4">
        <f>Y106/Z106</f>
        <v/>
      </c>
      <c r="AB106" s="4">
        <f>Q106*1000000/(365*R106*S106)</f>
        <v/>
      </c>
      <c r="AC106">
        <f>RANK(AA106,$AA$2:$AA$395,0)</f>
        <v/>
      </c>
    </row>
    <row r="107">
      <c r="A107" t="inlineStr">
        <is>
          <t>zone_124</t>
        </is>
      </c>
      <c r="B107" t="inlineStr">
        <is>
          <t>มหาวิทยาลัยเกษตรศาสตร์ - คันนายาว</t>
        </is>
      </c>
      <c r="C107" t="inlineStr">
        <is>
          <t>กรุงเทพมหานคร</t>
        </is>
      </c>
      <c r="D107" t="n">
        <v>351</v>
      </c>
      <c r="E107" t="inlineStr">
        <is>
          <t>0100</t>
        </is>
      </c>
      <c r="F107" t="inlineStr">
        <is>
          <t>0.045–0.15</t>
        </is>
      </c>
      <c r="G107" t="n">
        <v>13.839868</v>
      </c>
      <c r="H107" t="n">
        <v>100.576363</v>
      </c>
      <c r="I107" t="inlineStr">
        <is>
          <t>hods_aadt_pnt_2568.fid-6461857d_1a0f2643074_4cbd</t>
        </is>
      </c>
      <c r="J107" t="inlineStr">
        <is>
          <t>มหาวิทยาลัยเกษตรศาสตร์ - คันนายาว</t>
        </is>
      </c>
      <c r="K107" t="inlineStr">
        <is>
          <t>4+700</t>
        </is>
      </c>
      <c r="L107" t="inlineStr">
        <is>
          <t>สถานีย่อย (C)</t>
        </is>
      </c>
      <c r="M107" t="n">
        <v>1</v>
      </c>
      <c r="N107" t="n">
        <v>13.831074</v>
      </c>
      <c r="O107" t="n">
        <v>100.616033</v>
      </c>
      <c r="P107" t="n">
        <v>4.39</v>
      </c>
      <c r="Q107" t="n">
        <v>15</v>
      </c>
      <c r="R107" t="n">
        <v>3</v>
      </c>
      <c r="S107" s="3" t="n">
        <v>73453</v>
      </c>
      <c r="T107" t="n">
        <v>1</v>
      </c>
      <c r="U107" t="n">
        <v>0</v>
      </c>
      <c r="V107" t="n">
        <v>9</v>
      </c>
      <c r="W107" t="n">
        <v>0.6</v>
      </c>
      <c r="X107" t="inlineStr">
        <is>
          <t>low</t>
        </is>
      </c>
      <c r="Y107" s="3">
        <f>Q107*1000000</f>
        <v/>
      </c>
      <c r="Z107" s="3">
        <f>365*R107*S107*T107</f>
        <v/>
      </c>
      <c r="AA107" s="4">
        <f>Y107/Z107</f>
        <v/>
      </c>
      <c r="AB107" s="4">
        <f>Q107*1000000/(365*R107*S107)</f>
        <v/>
      </c>
      <c r="AC107">
        <f>RANK(AA107,$AA$2:$AA$395,0)</f>
        <v/>
      </c>
    </row>
    <row r="108">
      <c r="A108" t="inlineStr">
        <is>
          <t>zone_134</t>
        </is>
      </c>
      <c r="B108" t="inlineStr">
        <is>
          <t>บางแค - คลองมหาสวัสดิ์</t>
        </is>
      </c>
      <c r="C108" t="inlineStr">
        <is>
          <t>กรุงเทพมหานคร</t>
        </is>
      </c>
      <c r="D108" t="n">
        <v>3902</v>
      </c>
      <c r="E108" t="inlineStr">
        <is>
          <t>0102</t>
        </is>
      </c>
      <c r="F108" t="inlineStr">
        <is>
          <t>19.972–20.7</t>
        </is>
      </c>
      <c r="G108" t="n">
        <v>13.67913</v>
      </c>
      <c r="H108" t="n">
        <v>100.406703</v>
      </c>
      <c r="I108" t="inlineStr">
        <is>
          <t>hods_aadt_pnt_2568.fid-6461857d_1a0f2643074_5323</t>
        </is>
      </c>
      <c r="J108" t="inlineStr">
        <is>
          <t>บางแค - คลองมหาสวัสดิ์</t>
        </is>
      </c>
      <c r="K108" t="inlineStr">
        <is>
          <t>20+430</t>
        </is>
      </c>
      <c r="L108" t="inlineStr">
        <is>
          <t>สถานีย่อย (C)</t>
        </is>
      </c>
      <c r="M108" t="n">
        <v>1</v>
      </c>
      <c r="N108" t="n">
        <v>13.680386</v>
      </c>
      <c r="O108" t="n">
        <v>100.406817</v>
      </c>
      <c r="P108" t="n">
        <v>0.14</v>
      </c>
      <c r="Q108" t="n">
        <v>37</v>
      </c>
      <c r="R108" t="n">
        <v>3</v>
      </c>
      <c r="S108" s="3" t="n">
        <v>38106</v>
      </c>
      <c r="T108" t="n">
        <v>1</v>
      </c>
      <c r="U108" t="n">
        <v>0</v>
      </c>
      <c r="V108" t="n">
        <v>29</v>
      </c>
      <c r="W108" t="n">
        <v>0.7838000000000001</v>
      </c>
      <c r="X108" t="inlineStr">
        <is>
          <t>low</t>
        </is>
      </c>
      <c r="Y108" s="3">
        <f>Q108*1000000</f>
        <v/>
      </c>
      <c r="Z108" s="3">
        <f>365*R108*S108*T108</f>
        <v/>
      </c>
      <c r="AA108" s="4">
        <f>Y108/Z108</f>
        <v/>
      </c>
      <c r="AB108" s="4">
        <f>Q108*1000000/(365*R108*S108)</f>
        <v/>
      </c>
      <c r="AC108">
        <f>RANK(AA108,$AA$2:$AA$395,0)</f>
        <v/>
      </c>
    </row>
    <row r="109">
      <c r="A109" t="inlineStr">
        <is>
          <t>zone_135</t>
        </is>
      </c>
      <c r="B109" t="inlineStr">
        <is>
          <t>บางแค - คลองมหาสวัสดิ์</t>
        </is>
      </c>
      <c r="C109" t="inlineStr">
        <is>
          <t>กรุงเทพมหานคร</t>
        </is>
      </c>
      <c r="D109" t="n">
        <v>9</v>
      </c>
      <c r="E109" t="inlineStr">
        <is>
          <t>0102</t>
        </is>
      </c>
      <c r="F109" t="inlineStr">
        <is>
          <t>20.2–22.028</t>
        </is>
      </c>
      <c r="G109" t="n">
        <v>13.691352</v>
      </c>
      <c r="H109" t="n">
        <v>100.40735</v>
      </c>
      <c r="I109" t="inlineStr">
        <is>
          <t>hods_aadt_pnt_2568.fid-6461857d_1a0f2643074_49fb</t>
        </is>
      </c>
      <c r="J109" t="inlineStr">
        <is>
          <t>บางแค - คลองมหาสวัสดิ์</t>
        </is>
      </c>
      <c r="K109" t="inlineStr">
        <is>
          <t>20+430</t>
        </is>
      </c>
      <c r="L109" t="inlineStr">
        <is>
          <t>สถานีย่อย (C)</t>
        </is>
      </c>
      <c r="M109" t="n">
        <v>1</v>
      </c>
      <c r="N109" t="n">
        <v>13.680379</v>
      </c>
      <c r="O109" t="n">
        <v>100.406708</v>
      </c>
      <c r="P109" t="n">
        <v>1.22</v>
      </c>
      <c r="Q109" t="n">
        <v>58</v>
      </c>
      <c r="R109" t="n">
        <v>3</v>
      </c>
      <c r="S109" s="3" t="n">
        <v>164129</v>
      </c>
      <c r="T109" t="n">
        <v>1</v>
      </c>
      <c r="U109" t="n">
        <v>2</v>
      </c>
      <c r="V109" t="n">
        <v>46</v>
      </c>
      <c r="W109" t="n">
        <v>0.8276</v>
      </c>
      <c r="X109" t="inlineStr">
        <is>
          <t>low</t>
        </is>
      </c>
      <c r="Y109" s="3">
        <f>Q109*1000000</f>
        <v/>
      </c>
      <c r="Z109" s="3">
        <f>365*R109*S109*T109</f>
        <v/>
      </c>
      <c r="AA109" s="4">
        <f>Y109/Z109</f>
        <v/>
      </c>
      <c r="AB109" s="4">
        <f>Q109*1000000/(365*R109*S109)</f>
        <v/>
      </c>
      <c r="AC109">
        <f>RANK(AA109,$AA$2:$AA$395,0)</f>
        <v/>
      </c>
    </row>
    <row r="110">
      <c r="A110" t="inlineStr">
        <is>
          <t>zone_136</t>
        </is>
      </c>
      <c r="B110" t="inlineStr">
        <is>
          <t>บางแค - คลองมหาสวัสดิ์</t>
        </is>
      </c>
      <c r="C110" t="inlineStr">
        <is>
          <t>กรุงเทพมหานคร</t>
        </is>
      </c>
      <c r="D110" t="n">
        <v>3901</v>
      </c>
      <c r="E110" t="inlineStr">
        <is>
          <t>0102</t>
        </is>
      </c>
      <c r="F110" t="inlineStr">
        <is>
          <t>20.2–21.4</t>
        </is>
      </c>
      <c r="G110" t="n">
        <v>13.682642</v>
      </c>
      <c r="H110" t="n">
        <v>100.406765</v>
      </c>
      <c r="I110" t="inlineStr">
        <is>
          <t>hods_aadt_pnt_2568.fid-6461857d_1a0f2643074_5313</t>
        </is>
      </c>
      <c r="J110" t="inlineStr">
        <is>
          <t>บางแค - คลองมหาสวัสดิ์</t>
        </is>
      </c>
      <c r="K110" t="inlineStr">
        <is>
          <t>20+430</t>
        </is>
      </c>
      <c r="L110" t="inlineStr">
        <is>
          <t>สถานีย่อย (C)</t>
        </is>
      </c>
      <c r="M110" t="n">
        <v>1</v>
      </c>
      <c r="N110" t="n">
        <v>13.680396</v>
      </c>
      <c r="O110" t="n">
        <v>100.406611</v>
      </c>
      <c r="P110" t="n">
        <v>0.25</v>
      </c>
      <c r="Q110" t="n">
        <v>31</v>
      </c>
      <c r="R110" t="n">
        <v>3</v>
      </c>
      <c r="S110" s="3" t="n">
        <v>41328</v>
      </c>
      <c r="T110" t="n">
        <v>1</v>
      </c>
      <c r="U110" t="n">
        <v>0</v>
      </c>
      <c r="V110" t="n">
        <v>29</v>
      </c>
      <c r="W110" t="n">
        <v>0.9355</v>
      </c>
      <c r="X110" t="inlineStr">
        <is>
          <t>low</t>
        </is>
      </c>
      <c r="Y110" s="3">
        <f>Q110*1000000</f>
        <v/>
      </c>
      <c r="Z110" s="3">
        <f>365*R110*S110*T110</f>
        <v/>
      </c>
      <c r="AA110" s="4">
        <f>Y110/Z110</f>
        <v/>
      </c>
      <c r="AB110" s="4">
        <f>Q110*1000000/(365*R110*S110)</f>
        <v/>
      </c>
      <c r="AC110">
        <f>RANK(AA110,$AA$2:$AA$395,0)</f>
        <v/>
      </c>
    </row>
    <row r="111">
      <c r="A111" t="inlineStr">
        <is>
          <t>zone_137</t>
        </is>
      </c>
      <c r="B111" t="inlineStr">
        <is>
          <t>บางแค - คลองมหาสวัสดิ์</t>
        </is>
      </c>
      <c r="C111" t="inlineStr">
        <is>
          <t>กรุงเทพมหานคร</t>
        </is>
      </c>
      <c r="D111" t="n">
        <v>9</v>
      </c>
      <c r="E111" t="inlineStr">
        <is>
          <t>0102</t>
        </is>
      </c>
      <c r="F111" t="inlineStr">
        <is>
          <t>20–22.028</t>
        </is>
      </c>
      <c r="G111" t="n">
        <v>13.693608</v>
      </c>
      <c r="H111" t="n">
        <v>100.407488</v>
      </c>
      <c r="I111" t="inlineStr">
        <is>
          <t>hods_aadt_pnt_2568.fid-6461857d_1a0f2643074_49fb</t>
        </is>
      </c>
      <c r="J111" t="inlineStr">
        <is>
          <t>บางแค - คลองมหาสวัสดิ์</t>
        </is>
      </c>
      <c r="K111" t="inlineStr">
        <is>
          <t>20+430</t>
        </is>
      </c>
      <c r="L111" t="inlineStr">
        <is>
          <t>สถานีย่อย (C)</t>
        </is>
      </c>
      <c r="M111" t="n">
        <v>1</v>
      </c>
      <c r="N111" t="n">
        <v>13.680379</v>
      </c>
      <c r="O111" t="n">
        <v>100.406708</v>
      </c>
      <c r="P111" t="n">
        <v>1.47</v>
      </c>
      <c r="Q111" t="n">
        <v>17</v>
      </c>
      <c r="R111" t="n">
        <v>3</v>
      </c>
      <c r="S111" s="3" t="n">
        <v>164129</v>
      </c>
      <c r="T111" t="n">
        <v>1</v>
      </c>
      <c r="U111" t="n">
        <v>0</v>
      </c>
      <c r="V111" t="n">
        <v>6</v>
      </c>
      <c r="W111" t="n">
        <v>0.3529</v>
      </c>
      <c r="X111" t="inlineStr">
        <is>
          <t>low</t>
        </is>
      </c>
      <c r="Y111" s="3">
        <f>Q111*1000000</f>
        <v/>
      </c>
      <c r="Z111" s="3">
        <f>365*R111*S111*T111</f>
        <v/>
      </c>
      <c r="AA111" s="4">
        <f>Y111/Z111</f>
        <v/>
      </c>
      <c r="AB111" s="4">
        <f>Q111*1000000/(365*R111*S111)</f>
        <v/>
      </c>
      <c r="AC111">
        <f>RANK(AA111,$AA$2:$AA$395,0)</f>
        <v/>
      </c>
    </row>
    <row r="112">
      <c r="A112" t="inlineStr">
        <is>
          <t>zone_144</t>
        </is>
      </c>
      <c r="B112" t="inlineStr">
        <is>
          <t>แขวงคลองสองต้นนุ่น - พิมพา</t>
        </is>
      </c>
      <c r="C112" t="inlineStr">
        <is>
          <t>กรุงเทพมหานคร</t>
        </is>
      </c>
      <c r="D112" t="n">
        <v>7</v>
      </c>
      <c r="E112" t="inlineStr">
        <is>
          <t>0103</t>
        </is>
      </c>
      <c r="F112" t="inlineStr">
        <is>
          <t>20–21.8</t>
        </is>
      </c>
      <c r="G112" t="n">
        <v>13.712395</v>
      </c>
      <c r="H112" t="n">
        <v>100.819109</v>
      </c>
      <c r="I112" t="inlineStr">
        <is>
          <t>hods_aadt_pnt_2568.fid-6461857d_1a0f2643074_49ef</t>
        </is>
      </c>
      <c r="J112" t="inlineStr">
        <is>
          <t>แขวงคลองสองต้นนุ่น - พิมพา</t>
        </is>
      </c>
      <c r="K112" t="inlineStr">
        <is>
          <t>17+000</t>
        </is>
      </c>
      <c r="L112" t="inlineStr">
        <is>
          <t>สถานีย่อย (C)</t>
        </is>
      </c>
      <c r="M112" t="n">
        <v>2</v>
      </c>
      <c r="N112" t="n">
        <v>13.7334</v>
      </c>
      <c r="O112" t="n">
        <v>100.795133</v>
      </c>
      <c r="P112" t="n">
        <v>3.49</v>
      </c>
      <c r="Q112" t="n">
        <v>50</v>
      </c>
      <c r="R112" t="n">
        <v>3</v>
      </c>
      <c r="S112" s="3" t="n">
        <v>262343</v>
      </c>
      <c r="T112" t="n">
        <v>1</v>
      </c>
      <c r="U112" t="n">
        <v>1</v>
      </c>
      <c r="V112" t="n">
        <v>26</v>
      </c>
      <c r="W112" t="n">
        <v>0.54</v>
      </c>
      <c r="X112" t="inlineStr">
        <is>
          <t>low</t>
        </is>
      </c>
      <c r="Y112" s="3">
        <f>Q112*1000000</f>
        <v/>
      </c>
      <c r="Z112" s="3">
        <f>365*R112*S112*T112</f>
        <v/>
      </c>
      <c r="AA112" s="4">
        <f>Y112/Z112</f>
        <v/>
      </c>
      <c r="AB112" s="4">
        <f>Q112*1000000/(365*R112*S112)</f>
        <v/>
      </c>
      <c r="AC112">
        <f>RANK(AA112,$AA$2:$AA$395,0)</f>
        <v/>
      </c>
    </row>
    <row r="113">
      <c r="A113" t="inlineStr">
        <is>
          <t>zone_145</t>
        </is>
      </c>
      <c r="B113" t="inlineStr">
        <is>
          <t>แขวงคลองสองต้นนุ่น - พิมพา</t>
        </is>
      </c>
      <c r="C113" t="inlineStr">
        <is>
          <t>สมุทรปราการ</t>
        </is>
      </c>
      <c r="D113" t="n">
        <v>7</v>
      </c>
      <c r="E113" t="inlineStr">
        <is>
          <t>0103</t>
        </is>
      </c>
      <c r="F113" t="inlineStr">
        <is>
          <t>22.6–22.8</t>
        </is>
      </c>
      <c r="G113" t="n">
        <v>13.698112</v>
      </c>
      <c r="H113" t="n">
        <v>100.825902</v>
      </c>
      <c r="I113" t="inlineStr">
        <is>
          <t>hods_aadt_pnt_2568.fid-6461857d_1a0f2643074_49ef</t>
        </is>
      </c>
      <c r="J113" t="inlineStr">
        <is>
          <t>แขวงคลองสองต้นนุ่น - พิมพา</t>
        </is>
      </c>
      <c r="K113" t="inlineStr">
        <is>
          <t>17+000</t>
        </is>
      </c>
      <c r="L113" t="inlineStr">
        <is>
          <t>สถานีย่อย (C)</t>
        </is>
      </c>
      <c r="M113" t="n">
        <v>2</v>
      </c>
      <c r="N113" t="n">
        <v>13.7334</v>
      </c>
      <c r="O113" t="n">
        <v>100.795133</v>
      </c>
      <c r="P113" t="n">
        <v>5.14</v>
      </c>
      <c r="Q113" t="n">
        <v>7</v>
      </c>
      <c r="R113" t="n">
        <v>3</v>
      </c>
      <c r="S113" s="3" t="n">
        <v>262343</v>
      </c>
      <c r="T113" t="n">
        <v>1</v>
      </c>
      <c r="U113" t="n">
        <v>0</v>
      </c>
      <c r="V113" t="n">
        <v>2</v>
      </c>
      <c r="W113" t="n">
        <v>0.2857</v>
      </c>
      <c r="X113" t="inlineStr">
        <is>
          <t>low</t>
        </is>
      </c>
      <c r="Y113" s="3">
        <f>Q113*1000000</f>
        <v/>
      </c>
      <c r="Z113" s="3">
        <f>365*R113*S113*T113</f>
        <v/>
      </c>
      <c r="AA113" s="4">
        <f>Y113/Z113</f>
        <v/>
      </c>
      <c r="AB113" s="4">
        <f>Q113*1000000/(365*R113*S113)</f>
        <v/>
      </c>
      <c r="AC113">
        <f>RANK(AA113,$AA$2:$AA$395,0)</f>
        <v/>
      </c>
    </row>
    <row r="114">
      <c r="A114" t="inlineStr">
        <is>
          <t>zone_146</t>
        </is>
      </c>
      <c r="B114" t="inlineStr">
        <is>
          <t>แขวงคลองสองต้นนุ่น - พิมพา</t>
        </is>
      </c>
      <c r="C114" t="inlineStr">
        <is>
          <t>สมุทรปราการ</t>
        </is>
      </c>
      <c r="D114" t="n">
        <v>7</v>
      </c>
      <c r="E114" t="inlineStr">
        <is>
          <t>0103</t>
        </is>
      </c>
      <c r="F114" t="inlineStr">
        <is>
          <t>22.9–24.2</t>
        </is>
      </c>
      <c r="G114" t="n">
        <v>13.691894</v>
      </c>
      <c r="H114" t="n">
        <v>100.828943</v>
      </c>
      <c r="I114" t="inlineStr">
        <is>
          <t>hods_aadt_pnt_2568.fid-6461857d_1a0f2643074_49ef</t>
        </is>
      </c>
      <c r="J114" t="inlineStr">
        <is>
          <t>แขวงคลองสองต้นนุ่น - พิมพา</t>
        </is>
      </c>
      <c r="K114" t="inlineStr">
        <is>
          <t>17+000</t>
        </is>
      </c>
      <c r="L114" t="inlineStr">
        <is>
          <t>สถานีย่อย (C)</t>
        </is>
      </c>
      <c r="M114" t="n">
        <v>2</v>
      </c>
      <c r="N114" t="n">
        <v>13.7334</v>
      </c>
      <c r="O114" t="n">
        <v>100.795133</v>
      </c>
      <c r="P114" t="n">
        <v>5.89</v>
      </c>
      <c r="Q114" t="n">
        <v>34</v>
      </c>
      <c r="R114" t="n">
        <v>3</v>
      </c>
      <c r="S114" s="3" t="n">
        <v>262343</v>
      </c>
      <c r="T114" t="n">
        <v>1</v>
      </c>
      <c r="U114" t="n">
        <v>1</v>
      </c>
      <c r="V114" t="n">
        <v>11</v>
      </c>
      <c r="W114" t="n">
        <v>0.3529</v>
      </c>
      <c r="X114" t="inlineStr">
        <is>
          <t>low</t>
        </is>
      </c>
      <c r="Y114" s="3">
        <f>Q114*1000000</f>
        <v/>
      </c>
      <c r="Z114" s="3">
        <f>365*R114*S114*T114</f>
        <v/>
      </c>
      <c r="AA114" s="4">
        <f>Y114/Z114</f>
        <v/>
      </c>
      <c r="AB114" s="4">
        <f>Q114*1000000/(365*R114*S114)</f>
        <v/>
      </c>
      <c r="AC114">
        <f>RANK(AA114,$AA$2:$AA$395,0)</f>
        <v/>
      </c>
    </row>
    <row r="115">
      <c r="A115" t="inlineStr">
        <is>
          <t>zone_147</t>
        </is>
      </c>
      <c r="B115" t="inlineStr">
        <is>
          <t>แขวงคลองสองต้นนุ่น - พิมพา</t>
        </is>
      </c>
      <c r="C115" t="inlineStr">
        <is>
          <t>สมุทรปราการ</t>
        </is>
      </c>
      <c r="D115" t="n">
        <v>7</v>
      </c>
      <c r="E115" t="inlineStr">
        <is>
          <t>0103</t>
        </is>
      </c>
      <c r="F115" t="inlineStr">
        <is>
          <t>22.2–22.3</t>
        </is>
      </c>
      <c r="G115" t="n">
        <v>13.702583</v>
      </c>
      <c r="H115" t="n">
        <v>100.823924</v>
      </c>
      <c r="I115" t="inlineStr">
        <is>
          <t>hods_aadt_pnt_2568.fid-6461857d_1a0f2643074_49ef</t>
        </is>
      </c>
      <c r="J115" t="inlineStr">
        <is>
          <t>แขวงคลองสองต้นนุ่น - พิมพา</t>
        </is>
      </c>
      <c r="K115" t="inlineStr">
        <is>
          <t>17+000</t>
        </is>
      </c>
      <c r="L115" t="inlineStr">
        <is>
          <t>สถานีย่อย (C)</t>
        </is>
      </c>
      <c r="M115" t="n">
        <v>2</v>
      </c>
      <c r="N115" t="n">
        <v>13.7334</v>
      </c>
      <c r="O115" t="n">
        <v>100.795133</v>
      </c>
      <c r="P115" t="n">
        <v>4.63</v>
      </c>
      <c r="Q115" t="n">
        <v>8</v>
      </c>
      <c r="R115" t="n">
        <v>3</v>
      </c>
      <c r="S115" s="3" t="n">
        <v>262343</v>
      </c>
      <c r="T115" t="n">
        <v>1</v>
      </c>
      <c r="U115" t="n">
        <v>0</v>
      </c>
      <c r="V115" t="n">
        <v>0</v>
      </c>
      <c r="W115" t="n">
        <v>0</v>
      </c>
      <c r="X115" t="inlineStr">
        <is>
          <t>low</t>
        </is>
      </c>
      <c r="Y115" s="3">
        <f>Q115*1000000</f>
        <v/>
      </c>
      <c r="Z115" s="3">
        <f>365*R115*S115*T115</f>
        <v/>
      </c>
      <c r="AA115" s="4">
        <f>Y115/Z115</f>
        <v/>
      </c>
      <c r="AB115" s="4">
        <f>Q115*1000000/(365*R115*S115)</f>
        <v/>
      </c>
      <c r="AC115">
        <f>RANK(AA115,$AA$2:$AA$395,0)</f>
        <v/>
      </c>
    </row>
    <row r="116">
      <c r="A116" t="inlineStr">
        <is>
          <t>zone_148</t>
        </is>
      </c>
      <c r="B116" t="inlineStr">
        <is>
          <t>แขวงคลองสองต้นนุ่น - พิมพา</t>
        </is>
      </c>
      <c r="C116" t="inlineStr">
        <is>
          <t>กรุงเทพมหานคร</t>
        </is>
      </c>
      <c r="D116" t="n">
        <v>7</v>
      </c>
      <c r="E116" t="inlineStr">
        <is>
          <t>0103</t>
        </is>
      </c>
      <c r="F116" t="inlineStr">
        <is>
          <t>20.6–22.4</t>
        </is>
      </c>
      <c r="G116" t="n">
        <v>13.707489</v>
      </c>
      <c r="H116" t="n">
        <v>100.821528</v>
      </c>
      <c r="I116" t="inlineStr">
        <is>
          <t>hods_aadt_pnt_2568.fid-6461857d_1a0f2643074_49ef</t>
        </is>
      </c>
      <c r="J116" t="inlineStr">
        <is>
          <t>แขวงคลองสองต้นนุ่น - พิมพา</t>
        </is>
      </c>
      <c r="K116" t="inlineStr">
        <is>
          <t>17+000</t>
        </is>
      </c>
      <c r="L116" t="inlineStr">
        <is>
          <t>สถานีย่อย (C)</t>
        </is>
      </c>
      <c r="M116" t="n">
        <v>2</v>
      </c>
      <c r="N116" t="n">
        <v>13.7334</v>
      </c>
      <c r="O116" t="n">
        <v>100.795133</v>
      </c>
      <c r="P116" t="n">
        <v>4.05</v>
      </c>
      <c r="Q116" t="n">
        <v>27</v>
      </c>
      <c r="R116" t="n">
        <v>3</v>
      </c>
      <c r="S116" s="3" t="n">
        <v>262343</v>
      </c>
      <c r="T116" t="n">
        <v>1</v>
      </c>
      <c r="U116" t="n">
        <v>0</v>
      </c>
      <c r="V116" t="n">
        <v>9</v>
      </c>
      <c r="W116" t="n">
        <v>0.3333</v>
      </c>
      <c r="X116" t="inlineStr">
        <is>
          <t>low</t>
        </is>
      </c>
      <c r="Y116" s="3">
        <f>Q116*1000000</f>
        <v/>
      </c>
      <c r="Z116" s="3">
        <f>365*R116*S116*T116</f>
        <v/>
      </c>
      <c r="AA116" s="4">
        <f>Y116/Z116</f>
        <v/>
      </c>
      <c r="AB116" s="4">
        <f>Q116*1000000/(365*R116*S116)</f>
        <v/>
      </c>
      <c r="AC116">
        <f>RANK(AA116,$AA$2:$AA$395,0)</f>
        <v/>
      </c>
    </row>
    <row r="117">
      <c r="A117" t="inlineStr">
        <is>
          <t>zone_149</t>
        </is>
      </c>
      <c r="B117" t="inlineStr">
        <is>
          <t>แขวงคลองสองต้นนุ่น - พิมพา</t>
        </is>
      </c>
      <c r="C117" t="inlineStr">
        <is>
          <t>สมุทรปราการ</t>
        </is>
      </c>
      <c r="D117" t="n">
        <v>7</v>
      </c>
      <c r="E117" t="inlineStr">
        <is>
          <t>0103</t>
        </is>
      </c>
      <c r="F117" t="inlineStr">
        <is>
          <t>22.6–23</t>
        </is>
      </c>
      <c r="G117" t="n">
        <v>13.697694</v>
      </c>
      <c r="H117" t="n">
        <v>100.826347</v>
      </c>
      <c r="I117" t="inlineStr">
        <is>
          <t>hods_aadt_pnt_2568.fid-6461857d_1a0f2643074_49ef</t>
        </is>
      </c>
      <c r="J117" t="inlineStr">
        <is>
          <t>แขวงคลองสองต้นนุ่น - พิมพา</t>
        </is>
      </c>
      <c r="K117" t="inlineStr">
        <is>
          <t>17+000</t>
        </is>
      </c>
      <c r="L117" t="inlineStr">
        <is>
          <t>สถานีย่อย (C)</t>
        </is>
      </c>
      <c r="M117" t="n">
        <v>2</v>
      </c>
      <c r="N117" t="n">
        <v>13.7334</v>
      </c>
      <c r="O117" t="n">
        <v>100.795133</v>
      </c>
      <c r="P117" t="n">
        <v>5.21</v>
      </c>
      <c r="Q117" t="n">
        <v>8</v>
      </c>
      <c r="R117" t="n">
        <v>3</v>
      </c>
      <c r="S117" s="3" t="n">
        <v>262343</v>
      </c>
      <c r="T117" t="n">
        <v>1</v>
      </c>
      <c r="U117" t="n">
        <v>0</v>
      </c>
      <c r="V117" t="n">
        <v>2</v>
      </c>
      <c r="W117" t="n">
        <v>0.25</v>
      </c>
      <c r="X117" t="inlineStr">
        <is>
          <t>low</t>
        </is>
      </c>
      <c r="Y117" s="3">
        <f>Q117*1000000</f>
        <v/>
      </c>
      <c r="Z117" s="3">
        <f>365*R117*S117*T117</f>
        <v/>
      </c>
      <c r="AA117" s="4">
        <f>Y117/Z117</f>
        <v/>
      </c>
      <c r="AB117" s="4">
        <f>Q117*1000000/(365*R117*S117)</f>
        <v/>
      </c>
      <c r="AC117">
        <f>RANK(AA117,$AA$2:$AA$395,0)</f>
        <v/>
      </c>
    </row>
    <row r="118">
      <c r="A118" t="inlineStr">
        <is>
          <t>zone_150</t>
        </is>
      </c>
      <c r="B118" t="inlineStr">
        <is>
          <t>แขวงคลองสองต้นนุ่น - พิมพา</t>
        </is>
      </c>
      <c r="C118" t="inlineStr">
        <is>
          <t>สมุทรปราการ</t>
        </is>
      </c>
      <c r="D118" t="n">
        <v>7</v>
      </c>
      <c r="E118" t="inlineStr">
        <is>
          <t>0103</t>
        </is>
      </c>
      <c r="F118" t="inlineStr">
        <is>
          <t>23.6–23.7</t>
        </is>
      </c>
      <c r="G118" t="n">
        <v>13.690254</v>
      </c>
      <c r="H118" t="n">
        <v>100.829755</v>
      </c>
      <c r="I118" t="inlineStr">
        <is>
          <t>hods_aadt_pnt_2568.fid-6461857d_1a0f2643074_49ef</t>
        </is>
      </c>
      <c r="J118" t="inlineStr">
        <is>
          <t>แขวงคลองสองต้นนุ่น - พิมพา</t>
        </is>
      </c>
      <c r="K118" t="inlineStr">
        <is>
          <t>17+000</t>
        </is>
      </c>
      <c r="L118" t="inlineStr">
        <is>
          <t>สถานีย่อย (C)</t>
        </is>
      </c>
      <c r="M118" t="n">
        <v>2</v>
      </c>
      <c r="N118" t="n">
        <v>13.7334</v>
      </c>
      <c r="O118" t="n">
        <v>100.795133</v>
      </c>
      <c r="P118" t="n">
        <v>6.08</v>
      </c>
      <c r="Q118" t="n">
        <v>3</v>
      </c>
      <c r="R118" t="n">
        <v>3</v>
      </c>
      <c r="S118" s="3" t="n">
        <v>262343</v>
      </c>
      <c r="T118" t="n">
        <v>1</v>
      </c>
      <c r="U118" t="n">
        <v>0</v>
      </c>
      <c r="V118" t="n">
        <v>1</v>
      </c>
      <c r="W118" t="n">
        <v>0.3333</v>
      </c>
      <c r="X118" t="inlineStr">
        <is>
          <t>low</t>
        </is>
      </c>
      <c r="Y118" s="3">
        <f>Q118*1000000</f>
        <v/>
      </c>
      <c r="Z118" s="3">
        <f>365*R118*S118*T118</f>
        <v/>
      </c>
      <c r="AA118" s="4">
        <f>Y118/Z118</f>
        <v/>
      </c>
      <c r="AB118" s="4">
        <f>Q118*1000000/(365*R118*S118)</f>
        <v/>
      </c>
      <c r="AC118">
        <f>RANK(AA118,$AA$2:$AA$395,0)</f>
        <v/>
      </c>
    </row>
    <row r="119">
      <c r="A119" t="inlineStr">
        <is>
          <t>zone_151</t>
        </is>
      </c>
      <c r="B119" t="inlineStr">
        <is>
          <t>แขวงรามอินทรา - บางพลี</t>
        </is>
      </c>
      <c r="C119" t="inlineStr">
        <is>
          <t>สมุทรปราการ</t>
        </is>
      </c>
      <c r="D119" t="n">
        <v>9</v>
      </c>
      <c r="E119" t="inlineStr">
        <is>
          <t>0402</t>
        </is>
      </c>
      <c r="F119" t="inlineStr">
        <is>
          <t>62–63.5</t>
        </is>
      </c>
      <c r="G119" t="n">
        <v>13.657998</v>
      </c>
      <c r="H119" t="n">
        <v>100.69283</v>
      </c>
      <c r="I119" t="inlineStr">
        <is>
          <t>hods_aadt_pnt_2568.fid-6461857d_1a0f2643074_4a03</t>
        </is>
      </c>
      <c r="J119" t="inlineStr">
        <is>
          <t>แขวงรามอินทรา - บางพลี</t>
        </is>
      </c>
      <c r="K119" t="inlineStr">
        <is>
          <t>59+500</t>
        </is>
      </c>
      <c r="L119" t="inlineStr">
        <is>
          <t>สถานีย่อย (C)</t>
        </is>
      </c>
      <c r="M119" t="n">
        <v>1</v>
      </c>
      <c r="N119" t="n">
        <v>13.685477</v>
      </c>
      <c r="O119" t="n">
        <v>100.69945</v>
      </c>
      <c r="P119" t="n">
        <v>3.14</v>
      </c>
      <c r="Q119" t="n">
        <v>31</v>
      </c>
      <c r="R119" t="n">
        <v>3</v>
      </c>
      <c r="S119" s="3" t="n">
        <v>117813</v>
      </c>
      <c r="T119" t="n">
        <v>1</v>
      </c>
      <c r="U119" t="n">
        <v>0</v>
      </c>
      <c r="V119" t="n">
        <v>13</v>
      </c>
      <c r="W119" t="n">
        <v>0.4194</v>
      </c>
      <c r="X119" t="inlineStr">
        <is>
          <t>low</t>
        </is>
      </c>
      <c r="Y119" s="3">
        <f>Q119*1000000</f>
        <v/>
      </c>
      <c r="Z119" s="3">
        <f>365*R119*S119*T119</f>
        <v/>
      </c>
      <c r="AA119" s="4">
        <f>Y119/Z119</f>
        <v/>
      </c>
      <c r="AB119" s="4">
        <f>Q119*1000000/(365*R119*S119)</f>
        <v/>
      </c>
      <c r="AC119">
        <f>RANK(AA119,$AA$2:$AA$395,0)</f>
        <v/>
      </c>
    </row>
    <row r="120">
      <c r="A120" t="inlineStr">
        <is>
          <t>zone_152</t>
        </is>
      </c>
      <c r="B120" t="inlineStr">
        <is>
          <t>แขวงรามอินทรา - บางพลี</t>
        </is>
      </c>
      <c r="C120" t="inlineStr">
        <is>
          <t>กรุงเทพมหานคร</t>
        </is>
      </c>
      <c r="D120" t="n">
        <v>9</v>
      </c>
      <c r="E120" t="inlineStr">
        <is>
          <t>0402</t>
        </is>
      </c>
      <c r="F120" t="inlineStr">
        <is>
          <t>61.2–61.6</t>
        </is>
      </c>
      <c r="G120" t="n">
        <v>13.668275</v>
      </c>
      <c r="H120" t="n">
        <v>100.698855</v>
      </c>
      <c r="I120" t="inlineStr">
        <is>
          <t>hods_aadt_pnt_2568.fid-6461857d_1a0f2643074_4a03</t>
        </is>
      </c>
      <c r="J120" t="inlineStr">
        <is>
          <t>แขวงรามอินทรา - บางพลี</t>
        </is>
      </c>
      <c r="K120" t="inlineStr">
        <is>
          <t>59+500</t>
        </is>
      </c>
      <c r="L120" t="inlineStr">
        <is>
          <t>สถานีย่อย (C)</t>
        </is>
      </c>
      <c r="M120" t="n">
        <v>1</v>
      </c>
      <c r="N120" t="n">
        <v>13.685477</v>
      </c>
      <c r="O120" t="n">
        <v>100.69945</v>
      </c>
      <c r="P120" t="n">
        <v>1.91</v>
      </c>
      <c r="Q120" t="n">
        <v>5</v>
      </c>
      <c r="R120" t="n">
        <v>3</v>
      </c>
      <c r="S120" s="3" t="n">
        <v>117813</v>
      </c>
      <c r="T120" t="n">
        <v>1</v>
      </c>
      <c r="U120" t="n">
        <v>0</v>
      </c>
      <c r="V120" t="n">
        <v>2</v>
      </c>
      <c r="W120" t="n">
        <v>0.4</v>
      </c>
      <c r="X120" t="inlineStr">
        <is>
          <t>low</t>
        </is>
      </c>
      <c r="Y120" s="3">
        <f>Q120*1000000</f>
        <v/>
      </c>
      <c r="Z120" s="3">
        <f>365*R120*S120*T120</f>
        <v/>
      </c>
      <c r="AA120" s="4">
        <f>Y120/Z120</f>
        <v/>
      </c>
      <c r="AB120" s="4">
        <f>Q120*1000000/(365*R120*S120)</f>
        <v/>
      </c>
      <c r="AC120">
        <f>RANK(AA120,$AA$2:$AA$395,0)</f>
        <v/>
      </c>
    </row>
    <row r="121">
      <c r="A121" t="inlineStr">
        <is>
          <t>zone_153</t>
        </is>
      </c>
      <c r="B121" t="inlineStr">
        <is>
          <t>แขวงรามอินทรา - บางพลี</t>
        </is>
      </c>
      <c r="C121" t="inlineStr">
        <is>
          <t>กรุงเทพมหานคร</t>
        </is>
      </c>
      <c r="D121" t="n">
        <v>9</v>
      </c>
      <c r="E121" t="inlineStr">
        <is>
          <t>0402</t>
        </is>
      </c>
      <c r="F121" t="inlineStr">
        <is>
          <t>61.7–63.5</t>
        </is>
      </c>
      <c r="G121" t="n">
        <v>13.658565</v>
      </c>
      <c r="H121" t="n">
        <v>100.693237</v>
      </c>
      <c r="I121" t="inlineStr">
        <is>
          <t>hods_aadt_pnt_2568.fid-6461857d_1a0f2643074_4a03</t>
        </is>
      </c>
      <c r="J121" t="inlineStr">
        <is>
          <t>แขวงรามอินทรา - บางพลี</t>
        </is>
      </c>
      <c r="K121" t="inlineStr">
        <is>
          <t>59+500</t>
        </is>
      </c>
      <c r="L121" t="inlineStr">
        <is>
          <t>สถานีย่อย (C)</t>
        </is>
      </c>
      <c r="M121" t="n">
        <v>1</v>
      </c>
      <c r="N121" t="n">
        <v>13.685477</v>
      </c>
      <c r="O121" t="n">
        <v>100.69945</v>
      </c>
      <c r="P121" t="n">
        <v>3.07</v>
      </c>
      <c r="Q121" t="n">
        <v>52</v>
      </c>
      <c r="R121" t="n">
        <v>3</v>
      </c>
      <c r="S121" s="3" t="n">
        <v>117813</v>
      </c>
      <c r="T121" t="n">
        <v>1</v>
      </c>
      <c r="U121" t="n">
        <v>0</v>
      </c>
      <c r="V121" t="n">
        <v>33</v>
      </c>
      <c r="W121" t="n">
        <v>0.6346000000000001</v>
      </c>
      <c r="X121" t="inlineStr">
        <is>
          <t>low</t>
        </is>
      </c>
      <c r="Y121" s="3">
        <f>Q121*1000000</f>
        <v/>
      </c>
      <c r="Z121" s="3">
        <f>365*R121*S121*T121</f>
        <v/>
      </c>
      <c r="AA121" s="4">
        <f>Y121/Z121</f>
        <v/>
      </c>
      <c r="AB121" s="4">
        <f>Q121*1000000/(365*R121*S121)</f>
        <v/>
      </c>
      <c r="AC121">
        <f>RANK(AA121,$AA$2:$AA$395,0)</f>
        <v/>
      </c>
    </row>
    <row r="122">
      <c r="A122" t="inlineStr">
        <is>
          <t>zone_154</t>
        </is>
      </c>
      <c r="B122" t="inlineStr">
        <is>
          <t>แขวงรามอินทรา - บางพลี</t>
        </is>
      </c>
      <c r="C122" t="inlineStr">
        <is>
          <t>กรุงเทพมหานคร</t>
        </is>
      </c>
      <c r="D122" t="n">
        <v>9</v>
      </c>
      <c r="E122" t="inlineStr">
        <is>
          <t>0402</t>
        </is>
      </c>
      <c r="F122" t="inlineStr">
        <is>
          <t>60.8–61.4</t>
        </is>
      </c>
      <c r="G122" t="n">
        <v>13.670909</v>
      </c>
      <c r="H122" t="n">
        <v>100.699185</v>
      </c>
      <c r="I122" t="inlineStr">
        <is>
          <t>hods_aadt_pnt_2568.fid-6461857d_1a0f2643074_4a03</t>
        </is>
      </c>
      <c r="J122" t="inlineStr">
        <is>
          <t>แขวงรามอินทรา - บางพลี</t>
        </is>
      </c>
      <c r="K122" t="inlineStr">
        <is>
          <t>59+500</t>
        </is>
      </c>
      <c r="L122" t="inlineStr">
        <is>
          <t>สถานีย่อย (C)</t>
        </is>
      </c>
      <c r="M122" t="n">
        <v>1</v>
      </c>
      <c r="N122" t="n">
        <v>13.685477</v>
      </c>
      <c r="O122" t="n">
        <v>100.69945</v>
      </c>
      <c r="P122" t="n">
        <v>1.62</v>
      </c>
      <c r="Q122" t="n">
        <v>10</v>
      </c>
      <c r="R122" t="n">
        <v>3</v>
      </c>
      <c r="S122" s="3" t="n">
        <v>117813</v>
      </c>
      <c r="T122" t="n">
        <v>1</v>
      </c>
      <c r="U122" t="n">
        <v>0</v>
      </c>
      <c r="V122" t="n">
        <v>5</v>
      </c>
      <c r="W122" t="n">
        <v>0.5</v>
      </c>
      <c r="X122" t="inlineStr">
        <is>
          <t>low</t>
        </is>
      </c>
      <c r="Y122" s="3">
        <f>Q122*1000000</f>
        <v/>
      </c>
      <c r="Z122" s="3">
        <f>365*R122*S122*T122</f>
        <v/>
      </c>
      <c r="AA122" s="4">
        <f>Y122/Z122</f>
        <v/>
      </c>
      <c r="AB122" s="4">
        <f>Q122*1000000/(365*R122*S122)</f>
        <v/>
      </c>
      <c r="AC122">
        <f>RANK(AA122,$AA$2:$AA$395,0)</f>
        <v/>
      </c>
    </row>
    <row r="123">
      <c r="A123" t="inlineStr">
        <is>
          <t>zone_157</t>
        </is>
      </c>
      <c r="B123" t="inlineStr">
        <is>
          <t>บางแค - คลองมหาสวัสดิ์</t>
        </is>
      </c>
      <c r="C123" t="inlineStr">
        <is>
          <t>กรุงเทพมหานคร</t>
        </is>
      </c>
      <c r="D123" t="n">
        <v>9</v>
      </c>
      <c r="E123" t="inlineStr">
        <is>
          <t>0102</t>
        </is>
      </c>
      <c r="F123" t="inlineStr">
        <is>
          <t>20.6–23.7</t>
        </is>
      </c>
      <c r="G123" t="n">
        <v>13.7033</v>
      </c>
      <c r="H123" t="n">
        <v>100.406732</v>
      </c>
      <c r="I123" t="inlineStr">
        <is>
          <t>hods_aadt_pnt_2568.fid-6461857d_1a0f2643074_49fb</t>
        </is>
      </c>
      <c r="J123" t="inlineStr">
        <is>
          <t>บางแค - คลองมหาสวัสดิ์</t>
        </is>
      </c>
      <c r="K123" t="inlineStr">
        <is>
          <t>20+430</t>
        </is>
      </c>
      <c r="L123" t="inlineStr">
        <is>
          <t>สถานีย่อย (C)</t>
        </is>
      </c>
      <c r="M123" t="n">
        <v>1</v>
      </c>
      <c r="N123" t="n">
        <v>13.680379</v>
      </c>
      <c r="O123" t="n">
        <v>100.406708</v>
      </c>
      <c r="P123" t="n">
        <v>2.55</v>
      </c>
      <c r="Q123" t="n">
        <v>35</v>
      </c>
      <c r="R123" t="n">
        <v>3</v>
      </c>
      <c r="S123" s="3" t="n">
        <v>164129</v>
      </c>
      <c r="T123" t="n">
        <v>1</v>
      </c>
      <c r="U123" t="n">
        <v>0</v>
      </c>
      <c r="V123" t="n">
        <v>11</v>
      </c>
      <c r="W123" t="n">
        <v>0.3143</v>
      </c>
      <c r="X123" t="inlineStr">
        <is>
          <t>low</t>
        </is>
      </c>
      <c r="Y123" s="3">
        <f>Q123*1000000</f>
        <v/>
      </c>
      <c r="Z123" s="3">
        <f>365*R123*S123*T123</f>
        <v/>
      </c>
      <c r="AA123" s="4">
        <f>Y123/Z123</f>
        <v/>
      </c>
      <c r="AB123" s="4">
        <f>Q123*1000000/(365*R123*S123)</f>
        <v/>
      </c>
      <c r="AC123">
        <f>RANK(AA123,$AA$2:$AA$395,0)</f>
        <v/>
      </c>
    </row>
    <row r="124">
      <c r="A124" t="inlineStr">
        <is>
          <t>zone_158</t>
        </is>
      </c>
      <c r="B124" t="inlineStr">
        <is>
          <t>บางแค - คลองมหาสวัสดิ์</t>
        </is>
      </c>
      <c r="C124" t="inlineStr">
        <is>
          <t>กรุงเทพมหานคร</t>
        </is>
      </c>
      <c r="D124" t="n">
        <v>9</v>
      </c>
      <c r="E124" t="inlineStr">
        <is>
          <t>0102</t>
        </is>
      </c>
      <c r="F124" t="inlineStr">
        <is>
          <t>22.3–22.5</t>
        </is>
      </c>
      <c r="G124" t="n">
        <v>13.698479</v>
      </c>
      <c r="H124" t="n">
        <v>100.407286</v>
      </c>
      <c r="I124" t="inlineStr">
        <is>
          <t>hods_aadt_pnt_2568.fid-6461857d_1a0f2643074_49fb</t>
        </is>
      </c>
      <c r="J124" t="inlineStr">
        <is>
          <t>บางแค - คลองมหาสวัสดิ์</t>
        </is>
      </c>
      <c r="K124" t="inlineStr">
        <is>
          <t>20+430</t>
        </is>
      </c>
      <c r="L124" t="inlineStr">
        <is>
          <t>สถานีย่อย (C)</t>
        </is>
      </c>
      <c r="M124" t="n">
        <v>1</v>
      </c>
      <c r="N124" t="n">
        <v>13.680379</v>
      </c>
      <c r="O124" t="n">
        <v>100.406708</v>
      </c>
      <c r="P124" t="n">
        <v>2.01</v>
      </c>
      <c r="Q124" t="n">
        <v>5</v>
      </c>
      <c r="R124" t="n">
        <v>3</v>
      </c>
      <c r="S124" s="3" t="n">
        <v>164129</v>
      </c>
      <c r="T124" t="n">
        <v>1</v>
      </c>
      <c r="U124" t="n">
        <v>1</v>
      </c>
      <c r="V124" t="n">
        <v>1</v>
      </c>
      <c r="W124" t="n">
        <v>0.4</v>
      </c>
      <c r="X124" t="inlineStr">
        <is>
          <t>low</t>
        </is>
      </c>
      <c r="Y124" s="3">
        <f>Q124*1000000</f>
        <v/>
      </c>
      <c r="Z124" s="3">
        <f>365*R124*S124*T124</f>
        <v/>
      </c>
      <c r="AA124" s="4">
        <f>Y124/Z124</f>
        <v/>
      </c>
      <c r="AB124" s="4">
        <f>Q124*1000000/(365*R124*S124)</f>
        <v/>
      </c>
      <c r="AC124">
        <f>RANK(AA124,$AA$2:$AA$395,0)</f>
        <v/>
      </c>
    </row>
    <row r="125">
      <c r="A125" t="inlineStr">
        <is>
          <t>zone_159</t>
        </is>
      </c>
      <c r="B125" t="inlineStr">
        <is>
          <t>บางแค - คลองมหาสวัสดิ์</t>
        </is>
      </c>
      <c r="C125" t="inlineStr">
        <is>
          <t>กรุงเทพมหานคร</t>
        </is>
      </c>
      <c r="D125" t="n">
        <v>9</v>
      </c>
      <c r="E125" t="inlineStr">
        <is>
          <t>0102</t>
        </is>
      </c>
      <c r="F125" t="inlineStr">
        <is>
          <t>22–23.2</t>
        </is>
      </c>
      <c r="G125" t="n">
        <v>13.707156</v>
      </c>
      <c r="H125" t="n">
        <v>100.406308</v>
      </c>
      <c r="I125" t="inlineStr">
        <is>
          <t>hods_aadt_pnt_2568.fid-6461857d_1a0f2643074_49fb</t>
        </is>
      </c>
      <c r="J125" t="inlineStr">
        <is>
          <t>บางแค - คลองมหาสวัสดิ์</t>
        </is>
      </c>
      <c r="K125" t="inlineStr">
        <is>
          <t>20+430</t>
        </is>
      </c>
      <c r="L125" t="inlineStr">
        <is>
          <t>สถานีย่อย (C)</t>
        </is>
      </c>
      <c r="M125" t="n">
        <v>1</v>
      </c>
      <c r="N125" t="n">
        <v>13.680379</v>
      </c>
      <c r="O125" t="n">
        <v>100.406708</v>
      </c>
      <c r="P125" t="n">
        <v>2.98</v>
      </c>
      <c r="Q125" t="n">
        <v>4</v>
      </c>
      <c r="R125" t="n">
        <v>3</v>
      </c>
      <c r="S125" s="3" t="n">
        <v>164129</v>
      </c>
      <c r="T125" t="n">
        <v>1</v>
      </c>
      <c r="U125" t="n">
        <v>0</v>
      </c>
      <c r="V125" t="n">
        <v>0</v>
      </c>
      <c r="W125" t="n">
        <v>0</v>
      </c>
      <c r="X125" t="inlineStr">
        <is>
          <t>low</t>
        </is>
      </c>
      <c r="Y125" s="3">
        <f>Q125*1000000</f>
        <v/>
      </c>
      <c r="Z125" s="3">
        <f>365*R125*S125*T125</f>
        <v/>
      </c>
      <c r="AA125" s="4">
        <f>Y125/Z125</f>
        <v/>
      </c>
      <c r="AB125" s="4">
        <f>Q125*1000000/(365*R125*S125)</f>
        <v/>
      </c>
      <c r="AC125">
        <f>RANK(AA125,$AA$2:$AA$395,0)</f>
        <v/>
      </c>
    </row>
    <row r="126">
      <c r="A126" t="inlineStr">
        <is>
          <t>zone_164</t>
        </is>
      </c>
      <c r="B126" t="inlineStr">
        <is>
          <t>แขวงรามอินทรา - บางพลี</t>
        </is>
      </c>
      <c r="C126" t="inlineStr">
        <is>
          <t>กรุงเทพมหานคร</t>
        </is>
      </c>
      <c r="D126" t="n">
        <v>9</v>
      </c>
      <c r="E126" t="inlineStr">
        <is>
          <t>0402</t>
        </is>
      </c>
      <c r="F126" t="inlineStr">
        <is>
          <t>58.2–59</t>
        </is>
      </c>
      <c r="G126" t="n">
        <v>13.692772</v>
      </c>
      <c r="H126" t="n">
        <v>100.699521</v>
      </c>
      <c r="I126" t="inlineStr">
        <is>
          <t>hods_aadt_pnt_2568.fid-6461857d_1a0f2643074_4a03</t>
        </is>
      </c>
      <c r="J126" t="inlineStr">
        <is>
          <t>แขวงรามอินทรา - บางพลี</t>
        </is>
      </c>
      <c r="K126" t="inlineStr">
        <is>
          <t>59+500</t>
        </is>
      </c>
      <c r="L126" t="inlineStr">
        <is>
          <t>สถานีย่อย (C)</t>
        </is>
      </c>
      <c r="M126" t="n">
        <v>1</v>
      </c>
      <c r="N126" t="n">
        <v>13.685477</v>
      </c>
      <c r="O126" t="n">
        <v>100.69945</v>
      </c>
      <c r="P126" t="n">
        <v>0.8100000000000001</v>
      </c>
      <c r="Q126" t="n">
        <v>16</v>
      </c>
      <c r="R126" t="n">
        <v>3</v>
      </c>
      <c r="S126" s="3" t="n">
        <v>117813</v>
      </c>
      <c r="T126" t="n">
        <v>1</v>
      </c>
      <c r="U126" t="n">
        <v>0</v>
      </c>
      <c r="V126" t="n">
        <v>19</v>
      </c>
      <c r="W126" t="n">
        <v>1.1875</v>
      </c>
      <c r="X126" t="inlineStr">
        <is>
          <t>medium</t>
        </is>
      </c>
      <c r="Y126" s="3">
        <f>Q126*1000000</f>
        <v/>
      </c>
      <c r="Z126" s="3">
        <f>365*R126*S126*T126</f>
        <v/>
      </c>
      <c r="AA126" s="4">
        <f>Y126/Z126</f>
        <v/>
      </c>
      <c r="AB126" s="4">
        <f>Q126*1000000/(365*R126*S126)</f>
        <v/>
      </c>
      <c r="AC126">
        <f>RANK(AA126,$AA$2:$AA$395,0)</f>
        <v/>
      </c>
    </row>
    <row r="127">
      <c r="A127" t="inlineStr">
        <is>
          <t>zone_165</t>
        </is>
      </c>
      <c r="B127" t="inlineStr">
        <is>
          <t>แขวงรามอินทรา - บางพลี</t>
        </is>
      </c>
      <c r="C127" t="inlineStr">
        <is>
          <t>กรุงเทพมหานคร</t>
        </is>
      </c>
      <c r="D127" t="n">
        <v>9</v>
      </c>
      <c r="E127" t="inlineStr">
        <is>
          <t>0402</t>
        </is>
      </c>
      <c r="F127" t="inlineStr">
        <is>
          <t>57.7–58</t>
        </is>
      </c>
      <c r="G127" t="n">
        <v>13.700955</v>
      </c>
      <c r="H127" t="n">
        <v>100.69978</v>
      </c>
      <c r="I127" t="inlineStr">
        <is>
          <t>hods_aadt_pnt_2568.fid-6461857d_1a0f2643074_4a03</t>
        </is>
      </c>
      <c r="J127" t="inlineStr">
        <is>
          <t>แขวงรามอินทรา - บางพลี</t>
        </is>
      </c>
      <c r="K127" t="inlineStr">
        <is>
          <t>59+500</t>
        </is>
      </c>
      <c r="L127" t="inlineStr">
        <is>
          <t>สถานีย่อย (C)</t>
        </is>
      </c>
      <c r="M127" t="n">
        <v>1</v>
      </c>
      <c r="N127" t="n">
        <v>13.685477</v>
      </c>
      <c r="O127" t="n">
        <v>100.69945</v>
      </c>
      <c r="P127" t="n">
        <v>1.72</v>
      </c>
      <c r="Q127" t="n">
        <v>4</v>
      </c>
      <c r="R127" t="n">
        <v>3</v>
      </c>
      <c r="S127" s="3" t="n">
        <v>117813</v>
      </c>
      <c r="T127" t="n">
        <v>1</v>
      </c>
      <c r="U127" t="n">
        <v>1</v>
      </c>
      <c r="V127" t="n">
        <v>4</v>
      </c>
      <c r="W127" t="n">
        <v>1.25</v>
      </c>
      <c r="X127" t="inlineStr">
        <is>
          <t>medium</t>
        </is>
      </c>
      <c r="Y127" s="3">
        <f>Q127*1000000</f>
        <v/>
      </c>
      <c r="Z127" s="3">
        <f>365*R127*S127*T127</f>
        <v/>
      </c>
      <c r="AA127" s="4">
        <f>Y127/Z127</f>
        <v/>
      </c>
      <c r="AB127" s="4">
        <f>Q127*1000000/(365*R127*S127)</f>
        <v/>
      </c>
      <c r="AC127">
        <f>RANK(AA127,$AA$2:$AA$395,0)</f>
        <v/>
      </c>
    </row>
    <row r="128">
      <c r="A128" t="inlineStr">
        <is>
          <t>zone_166</t>
        </is>
      </c>
      <c r="B128" t="inlineStr">
        <is>
          <t>แขวงรามอินทรา - บางพลี</t>
        </is>
      </c>
      <c r="C128" t="inlineStr">
        <is>
          <t>กรุงเทพมหานคร</t>
        </is>
      </c>
      <c r="D128" t="n">
        <v>9</v>
      </c>
      <c r="E128" t="inlineStr">
        <is>
          <t>0402</t>
        </is>
      </c>
      <c r="F128" t="inlineStr">
        <is>
          <t>57.7–59.3</t>
        </is>
      </c>
      <c r="G128" t="n">
        <v>13.694632</v>
      </c>
      <c r="H128" t="n">
        <v>100.699725</v>
      </c>
      <c r="I128" t="inlineStr">
        <is>
          <t>hods_aadt_pnt_2568.fid-6461857d_1a0f2643074_4a03</t>
        </is>
      </c>
      <c r="J128" t="inlineStr">
        <is>
          <t>แขวงรามอินทรา - บางพลี</t>
        </is>
      </c>
      <c r="K128" t="inlineStr">
        <is>
          <t>59+500</t>
        </is>
      </c>
      <c r="L128" t="inlineStr">
        <is>
          <t>สถานีย่อย (C)</t>
        </is>
      </c>
      <c r="M128" t="n">
        <v>1</v>
      </c>
      <c r="N128" t="n">
        <v>13.685477</v>
      </c>
      <c r="O128" t="n">
        <v>100.69945</v>
      </c>
      <c r="P128" t="n">
        <v>1.02</v>
      </c>
      <c r="Q128" t="n">
        <v>29</v>
      </c>
      <c r="R128" t="n">
        <v>3</v>
      </c>
      <c r="S128" s="3" t="n">
        <v>117813</v>
      </c>
      <c r="T128" t="n">
        <v>1</v>
      </c>
      <c r="U128" t="n">
        <v>4</v>
      </c>
      <c r="V128" t="n">
        <v>21</v>
      </c>
      <c r="W128" t="n">
        <v>0.8621</v>
      </c>
      <c r="X128" t="inlineStr">
        <is>
          <t>low</t>
        </is>
      </c>
      <c r="Y128" s="3">
        <f>Q128*1000000</f>
        <v/>
      </c>
      <c r="Z128" s="3">
        <f>365*R128*S128*T128</f>
        <v/>
      </c>
      <c r="AA128" s="4">
        <f>Y128/Z128</f>
        <v/>
      </c>
      <c r="AB128" s="4">
        <f>Q128*1000000/(365*R128*S128)</f>
        <v/>
      </c>
      <c r="AC128">
        <f>RANK(AA128,$AA$2:$AA$395,0)</f>
        <v/>
      </c>
    </row>
    <row r="129">
      <c r="A129" t="inlineStr">
        <is>
          <t>zone_167</t>
        </is>
      </c>
      <c r="B129" t="inlineStr">
        <is>
          <t>แยกเข้ามีนบุรี - คลองหลวงแพ่ง</t>
        </is>
      </c>
      <c r="C129" t="inlineStr">
        <is>
          <t>กรุงเทพมหานคร</t>
        </is>
      </c>
      <c r="D129" t="n">
        <v>304</v>
      </c>
      <c r="E129" t="inlineStr">
        <is>
          <t>0203</t>
        </is>
      </c>
      <c r="F129" t="inlineStr">
        <is>
          <t>47.206–47.5</t>
        </is>
      </c>
      <c r="G129" t="n">
        <v>13.810244</v>
      </c>
      <c r="H129" t="n">
        <v>100.907889</v>
      </c>
      <c r="I129" t="inlineStr">
        <is>
          <t>hods_aadt_pnt_2568.fid-6461857d_1a0f2643074_4c28</t>
        </is>
      </c>
      <c r="J129" t="inlineStr">
        <is>
          <t>แยกเข้ามีนบุรี - คลองหลวงแพ่ง</t>
        </is>
      </c>
      <c r="K129" t="inlineStr">
        <is>
          <t>28+250</t>
        </is>
      </c>
      <c r="L129" t="inlineStr">
        <is>
          <t>สถานีย่อย (C)</t>
        </is>
      </c>
      <c r="M129" t="n">
        <v>2</v>
      </c>
      <c r="N129" t="n">
        <v>13.819379</v>
      </c>
      <c r="O129" t="n">
        <v>100.736014</v>
      </c>
      <c r="P129" t="n">
        <v>18.59</v>
      </c>
      <c r="Q129" t="n">
        <v>4</v>
      </c>
      <c r="R129" t="n">
        <v>3</v>
      </c>
      <c r="S129" s="3" t="n">
        <v>78286</v>
      </c>
      <c r="T129" t="n">
        <v>1</v>
      </c>
      <c r="U129" t="n">
        <v>0</v>
      </c>
      <c r="V129" t="n">
        <v>0</v>
      </c>
      <c r="W129" t="n">
        <v>0</v>
      </c>
      <c r="X129" t="inlineStr">
        <is>
          <t>low</t>
        </is>
      </c>
      <c r="Y129" s="3">
        <f>Q129*1000000</f>
        <v/>
      </c>
      <c r="Z129" s="3">
        <f>365*R129*S129*T129</f>
        <v/>
      </c>
      <c r="AA129" s="4">
        <f>Y129/Z129</f>
        <v/>
      </c>
      <c r="AB129" s="4">
        <f>Q129*1000000/(365*R129*S129)</f>
        <v/>
      </c>
      <c r="AC129">
        <f>RANK(AA129,$AA$2:$AA$395,0)</f>
        <v/>
      </c>
    </row>
    <row r="130">
      <c r="A130" t="inlineStr">
        <is>
          <t>zone_197</t>
        </is>
      </c>
      <c r="B130" t="inlineStr">
        <is>
          <t>มหาวิทยาลัยเกษตรศาสตร์ - คันนายาว</t>
        </is>
      </c>
      <c r="C130" t="inlineStr">
        <is>
          <t>กรุงเทพมหานคร</t>
        </is>
      </c>
      <c r="D130" t="n">
        <v>351</v>
      </c>
      <c r="E130" t="inlineStr">
        <is>
          <t>0100</t>
        </is>
      </c>
      <c r="F130" t="inlineStr">
        <is>
          <t>11.032–11.15</t>
        </is>
      </c>
      <c r="G130" t="n">
        <v>13.811106</v>
      </c>
      <c r="H130" t="n">
        <v>100.666417</v>
      </c>
      <c r="I130" t="inlineStr">
        <is>
          <t>hods_aadt_pnt_2568.fid-6461857d_1a0f2643074_4cbd</t>
        </is>
      </c>
      <c r="J130" t="inlineStr">
        <is>
          <t>มหาวิทยาลัยเกษตรศาสตร์ - คันนายาว</t>
        </is>
      </c>
      <c r="K130" t="inlineStr">
        <is>
          <t>4+700</t>
        </is>
      </c>
      <c r="L130" t="inlineStr">
        <is>
          <t>สถานีย่อย (C)</t>
        </is>
      </c>
      <c r="M130" t="n">
        <v>1</v>
      </c>
      <c r="N130" t="n">
        <v>13.831074</v>
      </c>
      <c r="O130" t="n">
        <v>100.616033</v>
      </c>
      <c r="P130" t="n">
        <v>5.88</v>
      </c>
      <c r="Q130" t="n">
        <v>3</v>
      </c>
      <c r="R130" t="n">
        <v>3</v>
      </c>
      <c r="S130" s="3" t="n">
        <v>73453</v>
      </c>
      <c r="T130" t="n">
        <v>1</v>
      </c>
      <c r="U130" t="n">
        <v>0</v>
      </c>
      <c r="V130" t="n">
        <v>3</v>
      </c>
      <c r="W130" t="n">
        <v>1</v>
      </c>
      <c r="X130" t="inlineStr">
        <is>
          <t>medium</t>
        </is>
      </c>
      <c r="Y130" s="3">
        <f>Q130*1000000</f>
        <v/>
      </c>
      <c r="Z130" s="3">
        <f>365*R130*S130*T130</f>
        <v/>
      </c>
      <c r="AA130" s="4">
        <f>Y130/Z130</f>
        <v/>
      </c>
      <c r="AB130" s="4">
        <f>Q130*1000000/(365*R130*S130)</f>
        <v/>
      </c>
      <c r="AC130">
        <f>RANK(AA130,$AA$2:$AA$395,0)</f>
        <v/>
      </c>
    </row>
    <row r="131">
      <c r="A131" t="inlineStr">
        <is>
          <t>zone_200</t>
        </is>
      </c>
      <c r="B131" t="inlineStr">
        <is>
          <t>มหาวิทยาลัยเกษตรศาสตร์ - คันนายาว</t>
        </is>
      </c>
      <c r="C131" t="inlineStr">
        <is>
          <t>กรุงเทพมหานคร</t>
        </is>
      </c>
      <c r="D131" t="n">
        <v>351</v>
      </c>
      <c r="E131" t="inlineStr">
        <is>
          <t>0100</t>
        </is>
      </c>
      <c r="F131" t="inlineStr">
        <is>
          <t>0.38–0.45</t>
        </is>
      </c>
      <c r="G131" t="n">
        <v>13.840415</v>
      </c>
      <c r="H131" t="n">
        <v>100.579732</v>
      </c>
      <c r="I131" t="inlineStr">
        <is>
          <t>hods_aadt_pnt_2568.fid-6461857d_1a0f2643074_4cbd</t>
        </is>
      </c>
      <c r="J131" t="inlineStr">
        <is>
          <t>มหาวิทยาลัยเกษตรศาสตร์ - คันนายาว</t>
        </is>
      </c>
      <c r="K131" t="inlineStr">
        <is>
          <t>4+700</t>
        </is>
      </c>
      <c r="L131" t="inlineStr">
        <is>
          <t>สถานีย่อย (C)</t>
        </is>
      </c>
      <c r="M131" t="n">
        <v>1</v>
      </c>
      <c r="N131" t="n">
        <v>13.831074</v>
      </c>
      <c r="O131" t="n">
        <v>100.616033</v>
      </c>
      <c r="P131" t="n">
        <v>4.05</v>
      </c>
      <c r="Q131" t="n">
        <v>4</v>
      </c>
      <c r="R131" t="n">
        <v>3</v>
      </c>
      <c r="S131" s="3" t="n">
        <v>73453</v>
      </c>
      <c r="T131" t="n">
        <v>1</v>
      </c>
      <c r="U131" t="n">
        <v>0</v>
      </c>
      <c r="V131" t="n">
        <v>8</v>
      </c>
      <c r="W131" t="n">
        <v>2</v>
      </c>
      <c r="X131" t="inlineStr">
        <is>
          <t>high</t>
        </is>
      </c>
      <c r="Y131" s="3">
        <f>Q131*1000000</f>
        <v/>
      </c>
      <c r="Z131" s="3">
        <f>365*R131*S131*T131</f>
        <v/>
      </c>
      <c r="AA131" s="4">
        <f>Y131/Z131</f>
        <v/>
      </c>
      <c r="AB131" s="4">
        <f>Q131*1000000/(365*R131*S131)</f>
        <v/>
      </c>
      <c r="AC131">
        <f>RANK(AA131,$AA$2:$AA$395,0)</f>
        <v/>
      </c>
    </row>
    <row r="132">
      <c r="A132" t="inlineStr">
        <is>
          <t>zone_204</t>
        </is>
      </c>
      <c r="B132" t="inlineStr">
        <is>
          <t>แยกเข้ามีนบุรี - คลองหลวงแพ่ง</t>
        </is>
      </c>
      <c r="C132" t="inlineStr">
        <is>
          <t>กรุงเทพมหานคร</t>
        </is>
      </c>
      <c r="D132" t="n">
        <v>304</v>
      </c>
      <c r="E132" t="inlineStr">
        <is>
          <t>0203</t>
        </is>
      </c>
      <c r="F132" t="inlineStr">
        <is>
          <t>39.85–40</t>
        </is>
      </c>
      <c r="G132" t="n">
        <v>13.806817</v>
      </c>
      <c r="H132" t="n">
        <v>100.841521</v>
      </c>
      <c r="I132" t="inlineStr">
        <is>
          <t>hods_aadt_pnt_2568.fid-6461857d_1a0f2643074_4c28</t>
        </is>
      </c>
      <c r="J132" t="inlineStr">
        <is>
          <t>แยกเข้ามีนบุรี - คลองหลวงแพ่ง</t>
        </is>
      </c>
      <c r="K132" t="inlineStr">
        <is>
          <t>28+250</t>
        </is>
      </c>
      <c r="L132" t="inlineStr">
        <is>
          <t>สถานีย่อย (C)</t>
        </is>
      </c>
      <c r="M132" t="n">
        <v>2</v>
      </c>
      <c r="N132" t="n">
        <v>13.819379</v>
      </c>
      <c r="O132" t="n">
        <v>100.736014</v>
      </c>
      <c r="P132" t="n">
        <v>11.48</v>
      </c>
      <c r="Q132" t="n">
        <v>5</v>
      </c>
      <c r="R132" t="n">
        <v>3</v>
      </c>
      <c r="S132" s="3" t="n">
        <v>78286</v>
      </c>
      <c r="T132" t="n">
        <v>1</v>
      </c>
      <c r="U132" t="n">
        <v>1</v>
      </c>
      <c r="V132" t="n">
        <v>4</v>
      </c>
      <c r="W132" t="n">
        <v>1</v>
      </c>
      <c r="X132" t="inlineStr">
        <is>
          <t>medium</t>
        </is>
      </c>
      <c r="Y132" s="3">
        <f>Q132*1000000</f>
        <v/>
      </c>
      <c r="Z132" s="3">
        <f>365*R132*S132*T132</f>
        <v/>
      </c>
      <c r="AA132" s="4">
        <f>Y132/Z132</f>
        <v/>
      </c>
      <c r="AB132" s="4">
        <f>Q132*1000000/(365*R132*S132)</f>
        <v/>
      </c>
      <c r="AC132">
        <f>RANK(AA132,$AA$2:$AA$395,0)</f>
        <v/>
      </c>
    </row>
    <row r="133">
      <c r="A133" t="inlineStr">
        <is>
          <t>zone_207</t>
        </is>
      </c>
      <c r="B133" t="inlineStr">
        <is>
          <t>คลองประปา - คันนายาว</t>
        </is>
      </c>
      <c r="C133" t="inlineStr">
        <is>
          <t>กรุงเทพมหานคร</t>
        </is>
      </c>
      <c r="D133" t="n">
        <v>304</v>
      </c>
      <c r="E133" t="inlineStr">
        <is>
          <t>0201</t>
        </is>
      </c>
      <c r="F133" t="inlineStr">
        <is>
          <t>16.049–16.049</t>
        </is>
      </c>
      <c r="G133" t="n">
        <v>13.849084</v>
      </c>
      <c r="H133" t="n">
        <v>100.637776</v>
      </c>
      <c r="I133" t="inlineStr">
        <is>
          <t>hods_aadt_pnt_2568.fid-6461857d_1a0f2643074_4c26</t>
        </is>
      </c>
      <c r="J133" t="inlineStr">
        <is>
          <t>คลองประปา - คันนายาว</t>
        </is>
      </c>
      <c r="K133" t="inlineStr">
        <is>
          <t>18+610</t>
        </is>
      </c>
      <c r="L133" t="inlineStr">
        <is>
          <t>สถานีย่อย (C)</t>
        </is>
      </c>
      <c r="M133" t="n">
        <v>2</v>
      </c>
      <c r="N133" t="n">
        <v>13.840021</v>
      </c>
      <c r="O133" t="n">
        <v>100.659832</v>
      </c>
      <c r="P133" t="n">
        <v>2.59</v>
      </c>
      <c r="Q133" t="n">
        <v>4</v>
      </c>
      <c r="R133" t="n">
        <v>3</v>
      </c>
      <c r="S133" s="3" t="n">
        <v>93205</v>
      </c>
      <c r="T133" t="n">
        <v>1</v>
      </c>
      <c r="U133" t="n">
        <v>3</v>
      </c>
      <c r="V133" t="n">
        <v>0</v>
      </c>
      <c r="W133" t="n">
        <v>0.25</v>
      </c>
      <c r="X133" t="inlineStr">
        <is>
          <t>low</t>
        </is>
      </c>
      <c r="Y133" s="3">
        <f>Q133*1000000</f>
        <v/>
      </c>
      <c r="Z133" s="3">
        <f>365*R133*S133*T133</f>
        <v/>
      </c>
      <c r="AA133" s="4">
        <f>Y133/Z133</f>
        <v/>
      </c>
      <c r="AB133" s="4">
        <f>Q133*1000000/(365*R133*S133)</f>
        <v/>
      </c>
      <c r="AC133">
        <f>RANK(AA133,$AA$2:$AA$395,0)</f>
        <v/>
      </c>
    </row>
    <row r="134">
      <c r="A134" t="inlineStr">
        <is>
          <t>zone_209</t>
        </is>
      </c>
      <c r="B134" t="inlineStr">
        <is>
          <t>แขวงรามอินทรา - บางพลี</t>
        </is>
      </c>
      <c r="C134" t="inlineStr">
        <is>
          <t>กรุงเทพมหานคร</t>
        </is>
      </c>
      <c r="D134" t="n">
        <v>9</v>
      </c>
      <c r="E134" t="inlineStr">
        <is>
          <t>0402</t>
        </is>
      </c>
      <c r="F134" t="inlineStr">
        <is>
          <t>57.3–57.4</t>
        </is>
      </c>
      <c r="G134" t="n">
        <v>13.704617</v>
      </c>
      <c r="H134" t="n">
        <v>100.699919</v>
      </c>
      <c r="I134" t="inlineStr">
        <is>
          <t>hods_aadt_pnt_2568.fid-6461857d_1a0f2643074_4a03</t>
        </is>
      </c>
      <c r="J134" t="inlineStr">
        <is>
          <t>แขวงรามอินทรา - บางพลี</t>
        </is>
      </c>
      <c r="K134" t="inlineStr">
        <is>
          <t>59+500</t>
        </is>
      </c>
      <c r="L134" t="inlineStr">
        <is>
          <t>สถานีย่อย (C)</t>
        </is>
      </c>
      <c r="M134" t="n">
        <v>1</v>
      </c>
      <c r="N134" t="n">
        <v>13.685477</v>
      </c>
      <c r="O134" t="n">
        <v>100.69945</v>
      </c>
      <c r="P134" t="n">
        <v>2.13</v>
      </c>
      <c r="Q134" t="n">
        <v>3</v>
      </c>
      <c r="R134" t="n">
        <v>3</v>
      </c>
      <c r="S134" s="3" t="n">
        <v>117813</v>
      </c>
      <c r="T134" t="n">
        <v>1</v>
      </c>
      <c r="U134" t="n">
        <v>0</v>
      </c>
      <c r="V134" t="n">
        <v>0</v>
      </c>
      <c r="W134" t="n">
        <v>0</v>
      </c>
      <c r="X134" t="inlineStr">
        <is>
          <t>low</t>
        </is>
      </c>
      <c r="Y134" s="3">
        <f>Q134*1000000</f>
        <v/>
      </c>
      <c r="Z134" s="3">
        <f>365*R134*S134*T134</f>
        <v/>
      </c>
      <c r="AA134" s="4">
        <f>Y134/Z134</f>
        <v/>
      </c>
      <c r="AB134" s="4">
        <f>Q134*1000000/(365*R134*S134)</f>
        <v/>
      </c>
      <c r="AC134">
        <f>RANK(AA134,$AA$2:$AA$395,0)</f>
        <v/>
      </c>
    </row>
    <row r="135">
      <c r="A135" t="inlineStr">
        <is>
          <t>zone_211</t>
        </is>
      </c>
      <c r="B135" t="inlineStr">
        <is>
          <t>แขวงรามอินทรา - บางพลี</t>
        </is>
      </c>
      <c r="C135" t="inlineStr">
        <is>
          <t>กรุงเทพมหานคร</t>
        </is>
      </c>
      <c r="D135" t="n">
        <v>9</v>
      </c>
      <c r="E135" t="inlineStr">
        <is>
          <t>0402</t>
        </is>
      </c>
      <c r="F135" t="inlineStr">
        <is>
          <t>60.2–60.6</t>
        </is>
      </c>
      <c r="G135" t="n">
        <v>13.677289</v>
      </c>
      <c r="H135" t="n">
        <v>100.699471</v>
      </c>
      <c r="I135" t="inlineStr">
        <is>
          <t>hods_aadt_pnt_2568.fid-6461857d_1a0f2643074_4a03</t>
        </is>
      </c>
      <c r="J135" t="inlineStr">
        <is>
          <t>แขวงรามอินทรา - บางพลี</t>
        </is>
      </c>
      <c r="K135" t="inlineStr">
        <is>
          <t>59+500</t>
        </is>
      </c>
      <c r="L135" t="inlineStr">
        <is>
          <t>สถานีย่อย (C)</t>
        </is>
      </c>
      <c r="M135" t="n">
        <v>1</v>
      </c>
      <c r="N135" t="n">
        <v>13.685477</v>
      </c>
      <c r="O135" t="n">
        <v>100.69945</v>
      </c>
      <c r="P135" t="n">
        <v>0.91</v>
      </c>
      <c r="Q135" t="n">
        <v>5</v>
      </c>
      <c r="R135" t="n">
        <v>3</v>
      </c>
      <c r="S135" s="3" t="n">
        <v>117813</v>
      </c>
      <c r="T135" t="n">
        <v>1</v>
      </c>
      <c r="U135" t="n">
        <v>0</v>
      </c>
      <c r="V135" t="n">
        <v>2</v>
      </c>
      <c r="W135" t="n">
        <v>0.4</v>
      </c>
      <c r="X135" t="inlineStr">
        <is>
          <t>low</t>
        </is>
      </c>
      <c r="Y135" s="3">
        <f>Q135*1000000</f>
        <v/>
      </c>
      <c r="Z135" s="3">
        <f>365*R135*S135*T135</f>
        <v/>
      </c>
      <c r="AA135" s="4">
        <f>Y135/Z135</f>
        <v/>
      </c>
      <c r="AB135" s="4">
        <f>Q135*1000000/(365*R135*S135)</f>
        <v/>
      </c>
      <c r="AC135">
        <f>RANK(AA135,$AA$2:$AA$395,0)</f>
        <v/>
      </c>
    </row>
    <row r="136">
      <c r="A136" t="inlineStr">
        <is>
          <t>zone_212</t>
        </is>
      </c>
      <c r="B136" t="inlineStr">
        <is>
          <t>แขวงรามอินทรา - บางพลี</t>
        </is>
      </c>
      <c r="C136" t="inlineStr">
        <is>
          <t>กรุงเทพมหานคร</t>
        </is>
      </c>
      <c r="D136" t="n">
        <v>9</v>
      </c>
      <c r="E136" t="inlineStr">
        <is>
          <t>0402</t>
        </is>
      </c>
      <c r="F136" t="inlineStr">
        <is>
          <t>59.8–60.6</t>
        </is>
      </c>
      <c r="G136" t="n">
        <v>13.677281</v>
      </c>
      <c r="H136" t="n">
        <v>100.699471</v>
      </c>
      <c r="I136" t="inlineStr">
        <is>
          <t>hods_aadt_pnt_2568.fid-6461857d_1a0f2643074_4a03</t>
        </is>
      </c>
      <c r="J136" t="inlineStr">
        <is>
          <t>แขวงรามอินทรา - บางพลี</t>
        </is>
      </c>
      <c r="K136" t="inlineStr">
        <is>
          <t>59+500</t>
        </is>
      </c>
      <c r="L136" t="inlineStr">
        <is>
          <t>สถานีย่อย (C)</t>
        </is>
      </c>
      <c r="M136" t="n">
        <v>1</v>
      </c>
      <c r="N136" t="n">
        <v>13.685477</v>
      </c>
      <c r="O136" t="n">
        <v>100.69945</v>
      </c>
      <c r="P136" t="n">
        <v>0.91</v>
      </c>
      <c r="Q136" t="n">
        <v>5</v>
      </c>
      <c r="R136" t="n">
        <v>3</v>
      </c>
      <c r="S136" s="3" t="n">
        <v>117813</v>
      </c>
      <c r="T136" t="n">
        <v>1</v>
      </c>
      <c r="U136" t="n">
        <v>0</v>
      </c>
      <c r="V136" t="n">
        <v>1</v>
      </c>
      <c r="W136" t="n">
        <v>0.2</v>
      </c>
      <c r="X136" t="inlineStr">
        <is>
          <t>low</t>
        </is>
      </c>
      <c r="Y136" s="3">
        <f>Q136*1000000</f>
        <v/>
      </c>
      <c r="Z136" s="3">
        <f>365*R136*S136*T136</f>
        <v/>
      </c>
      <c r="AA136" s="4">
        <f>Y136/Z136</f>
        <v/>
      </c>
      <c r="AB136" s="4">
        <f>Q136*1000000/(365*R136*S136)</f>
        <v/>
      </c>
      <c r="AC136">
        <f>RANK(AA136,$AA$2:$AA$395,0)</f>
        <v/>
      </c>
    </row>
    <row r="137">
      <c r="A137" t="inlineStr">
        <is>
          <t>zone_219</t>
        </is>
      </c>
      <c r="B137" t="inlineStr">
        <is>
          <t>แขวงคลองสองต้นนุ่น - พิมพา</t>
        </is>
      </c>
      <c r="C137" t="inlineStr">
        <is>
          <t>กรุงเทพมหานคร</t>
        </is>
      </c>
      <c r="D137" t="n">
        <v>7</v>
      </c>
      <c r="E137" t="inlineStr">
        <is>
          <t>0103</t>
        </is>
      </c>
      <c r="F137" t="inlineStr">
        <is>
          <t>18.3–19.7</t>
        </is>
      </c>
      <c r="G137" t="n">
        <v>13.727832</v>
      </c>
      <c r="H137" t="n">
        <v>100.811318</v>
      </c>
      <c r="I137" t="inlineStr">
        <is>
          <t>hods_aadt_pnt_2568.fid-6461857d_1a0f2643074_49ef</t>
        </is>
      </c>
      <c r="J137" t="inlineStr">
        <is>
          <t>แขวงคลองสองต้นนุ่น - พิมพา</t>
        </is>
      </c>
      <c r="K137" t="inlineStr">
        <is>
          <t>17+000</t>
        </is>
      </c>
      <c r="L137" t="inlineStr">
        <is>
          <t>สถานีย่อย (C)</t>
        </is>
      </c>
      <c r="M137" t="n">
        <v>2</v>
      </c>
      <c r="N137" t="n">
        <v>13.7334</v>
      </c>
      <c r="O137" t="n">
        <v>100.795133</v>
      </c>
      <c r="P137" t="n">
        <v>1.85</v>
      </c>
      <c r="Q137" t="n">
        <v>31</v>
      </c>
      <c r="R137" t="n">
        <v>3</v>
      </c>
      <c r="S137" s="3" t="n">
        <v>262343</v>
      </c>
      <c r="T137" t="n">
        <v>1</v>
      </c>
      <c r="U137" t="n">
        <v>1</v>
      </c>
      <c r="V137" t="n">
        <v>12</v>
      </c>
      <c r="W137" t="n">
        <v>0.4194</v>
      </c>
      <c r="X137" t="inlineStr">
        <is>
          <t>low</t>
        </is>
      </c>
      <c r="Y137" s="3">
        <f>Q137*1000000</f>
        <v/>
      </c>
      <c r="Z137" s="3">
        <f>365*R137*S137*T137</f>
        <v/>
      </c>
      <c r="AA137" s="4">
        <f>Y137/Z137</f>
        <v/>
      </c>
      <c r="AB137" s="4">
        <f>Q137*1000000/(365*R137*S137)</f>
        <v/>
      </c>
      <c r="AC137">
        <f>RANK(AA137,$AA$2:$AA$395,0)</f>
        <v/>
      </c>
    </row>
    <row r="138">
      <c r="A138" t="inlineStr">
        <is>
          <t>zone_220</t>
        </is>
      </c>
      <c r="B138" t="inlineStr">
        <is>
          <t>แขวงคลองสองต้นนุ่น - พิมพา</t>
        </is>
      </c>
      <c r="C138" t="inlineStr">
        <is>
          <t>กรุงเทพมหานคร</t>
        </is>
      </c>
      <c r="D138" t="n">
        <v>7</v>
      </c>
      <c r="E138" t="inlineStr">
        <is>
          <t>0103</t>
        </is>
      </c>
      <c r="F138" t="inlineStr">
        <is>
          <t>18.6–19.2</t>
        </is>
      </c>
      <c r="G138" t="n">
        <v>13.729513</v>
      </c>
      <c r="H138" t="n">
        <v>100.810679</v>
      </c>
      <c r="I138" t="inlineStr">
        <is>
          <t>hods_aadt_pnt_2568.fid-6461857d_1a0f2643074_49ef</t>
        </is>
      </c>
      <c r="J138" t="inlineStr">
        <is>
          <t>แขวงคลองสองต้นนุ่น - พิมพา</t>
        </is>
      </c>
      <c r="K138" t="inlineStr">
        <is>
          <t>17+000</t>
        </is>
      </c>
      <c r="L138" t="inlineStr">
        <is>
          <t>สถานีย่อย (C)</t>
        </is>
      </c>
      <c r="M138" t="n">
        <v>2</v>
      </c>
      <c r="N138" t="n">
        <v>13.7334</v>
      </c>
      <c r="O138" t="n">
        <v>100.795133</v>
      </c>
      <c r="P138" t="n">
        <v>1.73</v>
      </c>
      <c r="Q138" t="n">
        <v>11</v>
      </c>
      <c r="R138" t="n">
        <v>3</v>
      </c>
      <c r="S138" s="3" t="n">
        <v>262343</v>
      </c>
      <c r="T138" t="n">
        <v>1</v>
      </c>
      <c r="U138" t="n">
        <v>0</v>
      </c>
      <c r="V138" t="n">
        <v>3</v>
      </c>
      <c r="W138" t="n">
        <v>0.2727</v>
      </c>
      <c r="X138" t="inlineStr">
        <is>
          <t>low</t>
        </is>
      </c>
      <c r="Y138" s="3">
        <f>Q138*1000000</f>
        <v/>
      </c>
      <c r="Z138" s="3">
        <f>365*R138*S138*T138</f>
        <v/>
      </c>
      <c r="AA138" s="4">
        <f>Y138/Z138</f>
        <v/>
      </c>
      <c r="AB138" s="4">
        <f>Q138*1000000/(365*R138*S138)</f>
        <v/>
      </c>
      <c r="AC138">
        <f>RANK(AA138,$AA$2:$AA$395,0)</f>
        <v/>
      </c>
    </row>
    <row r="139">
      <c r="A139" t="inlineStr">
        <is>
          <t>zone_221</t>
        </is>
      </c>
      <c r="B139" t="inlineStr">
        <is>
          <t>แขวงคลองสองต้นนุ่น - พิมพา</t>
        </is>
      </c>
      <c r="C139" t="inlineStr">
        <is>
          <t>กรุงเทพมหานคร</t>
        </is>
      </c>
      <c r="D139" t="n">
        <v>7</v>
      </c>
      <c r="E139" t="inlineStr">
        <is>
          <t>0103</t>
        </is>
      </c>
      <c r="F139" t="inlineStr">
        <is>
          <t>19.4–19.6</t>
        </is>
      </c>
      <c r="G139" t="n">
        <v>13.725165</v>
      </c>
      <c r="H139" t="n">
        <v>100.812815</v>
      </c>
      <c r="I139" t="inlineStr">
        <is>
          <t>hods_aadt_pnt_2568.fid-6461857d_1a0f2643074_49ef</t>
        </is>
      </c>
      <c r="J139" t="inlineStr">
        <is>
          <t>แขวงคลองสองต้นนุ่น - พิมพา</t>
        </is>
      </c>
      <c r="K139" t="inlineStr">
        <is>
          <t>17+000</t>
        </is>
      </c>
      <c r="L139" t="inlineStr">
        <is>
          <t>สถานีย่อย (C)</t>
        </is>
      </c>
      <c r="M139" t="n">
        <v>2</v>
      </c>
      <c r="N139" t="n">
        <v>13.7334</v>
      </c>
      <c r="O139" t="n">
        <v>100.795133</v>
      </c>
      <c r="P139" t="n">
        <v>2.12</v>
      </c>
      <c r="Q139" t="n">
        <v>5</v>
      </c>
      <c r="R139" t="n">
        <v>3</v>
      </c>
      <c r="S139" s="3" t="n">
        <v>262343</v>
      </c>
      <c r="T139" t="n">
        <v>1</v>
      </c>
      <c r="U139" t="n">
        <v>0</v>
      </c>
      <c r="V139" t="n">
        <v>3</v>
      </c>
      <c r="W139" t="n">
        <v>0.6</v>
      </c>
      <c r="X139" t="inlineStr">
        <is>
          <t>low</t>
        </is>
      </c>
      <c r="Y139" s="3">
        <f>Q139*1000000</f>
        <v/>
      </c>
      <c r="Z139" s="3">
        <f>365*R139*S139*T139</f>
        <v/>
      </c>
      <c r="AA139" s="4">
        <f>Y139/Z139</f>
        <v/>
      </c>
      <c r="AB139" s="4">
        <f>Q139*1000000/(365*R139*S139)</f>
        <v/>
      </c>
      <c r="AC139">
        <f>RANK(AA139,$AA$2:$AA$395,0)</f>
        <v/>
      </c>
    </row>
    <row r="140">
      <c r="A140" t="inlineStr">
        <is>
          <t>zone_227</t>
        </is>
      </c>
      <c r="B140" t="inlineStr">
        <is>
          <t>แยกเข้ามีนบุรี - คลองหลวงแพ่ง</t>
        </is>
      </c>
      <c r="C140" t="inlineStr">
        <is>
          <t>กรุงเทพมหานคร</t>
        </is>
      </c>
      <c r="D140" t="n">
        <v>304</v>
      </c>
      <c r="E140" t="inlineStr">
        <is>
          <t>0203</t>
        </is>
      </c>
      <c r="F140" t="inlineStr">
        <is>
          <t>38.39–38.5</t>
        </is>
      </c>
      <c r="G140" t="n">
        <v>13.808014</v>
      </c>
      <c r="H140" t="n">
        <v>100.827691</v>
      </c>
      <c r="I140" t="inlineStr">
        <is>
          <t>hods_aadt_pnt_2568.fid-6461857d_1a0f2643074_4c28</t>
        </is>
      </c>
      <c r="J140" t="inlineStr">
        <is>
          <t>แยกเข้ามีนบุรี - คลองหลวงแพ่ง</t>
        </is>
      </c>
      <c r="K140" t="inlineStr">
        <is>
          <t>28+250</t>
        </is>
      </c>
      <c r="L140" t="inlineStr">
        <is>
          <t>สถานีย่อย (C)</t>
        </is>
      </c>
      <c r="M140" t="n">
        <v>2</v>
      </c>
      <c r="N140" t="n">
        <v>13.819379</v>
      </c>
      <c r="O140" t="n">
        <v>100.736014</v>
      </c>
      <c r="P140" t="n">
        <v>9.98</v>
      </c>
      <c r="Q140" t="n">
        <v>3</v>
      </c>
      <c r="R140" t="n">
        <v>3</v>
      </c>
      <c r="S140" s="3" t="n">
        <v>78286</v>
      </c>
      <c r="T140" t="n">
        <v>1</v>
      </c>
      <c r="U140" t="n">
        <v>0</v>
      </c>
      <c r="V140" t="n">
        <v>2</v>
      </c>
      <c r="W140" t="n">
        <v>0.6667</v>
      </c>
      <c r="X140" t="inlineStr">
        <is>
          <t>low</t>
        </is>
      </c>
      <c r="Y140" s="3">
        <f>Q140*1000000</f>
        <v/>
      </c>
      <c r="Z140" s="3">
        <f>365*R140*S140*T140</f>
        <v/>
      </c>
      <c r="AA140" s="4">
        <f>Y140/Z140</f>
        <v/>
      </c>
      <c r="AB140" s="4">
        <f>Q140*1000000/(365*R140*S140)</f>
        <v/>
      </c>
      <c r="AC140">
        <f>RANK(AA140,$AA$2:$AA$395,0)</f>
        <v/>
      </c>
    </row>
    <row r="141">
      <c r="A141" t="inlineStr">
        <is>
          <t>zone_228</t>
        </is>
      </c>
      <c r="B141" t="inlineStr">
        <is>
          <t>แขวงรามอินทรา - บางพลี</t>
        </is>
      </c>
      <c r="C141" t="inlineStr">
        <is>
          <t>กรุงเทพมหานคร</t>
        </is>
      </c>
      <c r="D141" t="n">
        <v>9</v>
      </c>
      <c r="E141" t="inlineStr">
        <is>
          <t>0402</t>
        </is>
      </c>
      <c r="F141" t="inlineStr">
        <is>
          <t>59.5–59.9</t>
        </is>
      </c>
      <c r="G141" t="n">
        <v>13.683815</v>
      </c>
      <c r="H141" t="n">
        <v>100.699273</v>
      </c>
      <c r="I141" t="inlineStr">
        <is>
          <t>hods_aadt_pnt_2568.fid-6461857d_1a0f2643074_4a03</t>
        </is>
      </c>
      <c r="J141" t="inlineStr">
        <is>
          <t>แขวงรามอินทรา - บางพลี</t>
        </is>
      </c>
      <c r="K141" t="inlineStr">
        <is>
          <t>59+500</t>
        </is>
      </c>
      <c r="L141" t="inlineStr">
        <is>
          <t>สถานีย่อย (C)</t>
        </is>
      </c>
      <c r="M141" t="n">
        <v>1</v>
      </c>
      <c r="N141" t="n">
        <v>13.685477</v>
      </c>
      <c r="O141" t="n">
        <v>100.69945</v>
      </c>
      <c r="P141" t="n">
        <v>0.19</v>
      </c>
      <c r="Q141" t="n">
        <v>8</v>
      </c>
      <c r="R141" t="n">
        <v>3</v>
      </c>
      <c r="S141" s="3" t="n">
        <v>117813</v>
      </c>
      <c r="T141" t="n">
        <v>1</v>
      </c>
      <c r="U141" t="n">
        <v>1</v>
      </c>
      <c r="V141" t="n">
        <v>5</v>
      </c>
      <c r="W141" t="n">
        <v>0.75</v>
      </c>
      <c r="X141" t="inlineStr">
        <is>
          <t>low</t>
        </is>
      </c>
      <c r="Y141" s="3">
        <f>Q141*1000000</f>
        <v/>
      </c>
      <c r="Z141" s="3">
        <f>365*R141*S141*T141</f>
        <v/>
      </c>
      <c r="AA141" s="4">
        <f>Y141/Z141</f>
        <v/>
      </c>
      <c r="AB141" s="4">
        <f>Q141*1000000/(365*R141*S141)</f>
        <v/>
      </c>
      <c r="AC141">
        <f>RANK(AA141,$AA$2:$AA$395,0)</f>
        <v/>
      </c>
    </row>
    <row r="142">
      <c r="A142" t="inlineStr">
        <is>
          <t>zone_229</t>
        </is>
      </c>
      <c r="B142" t="inlineStr">
        <is>
          <t>แขวงรามอินทรา - บางพลี</t>
        </is>
      </c>
      <c r="C142" t="inlineStr">
        <is>
          <t>กรุงเทพมหานคร</t>
        </is>
      </c>
      <c r="D142" t="n">
        <v>9</v>
      </c>
      <c r="E142" t="inlineStr">
        <is>
          <t>0402</t>
        </is>
      </c>
      <c r="F142" t="inlineStr">
        <is>
          <t>59.7–60</t>
        </is>
      </c>
      <c r="G142" t="n">
        <v>13.682114</v>
      </c>
      <c r="H142" t="n">
        <v>100.69936</v>
      </c>
      <c r="I142" t="inlineStr">
        <is>
          <t>hods_aadt_pnt_2568.fid-6461857d_1a0f2643074_4a03</t>
        </is>
      </c>
      <c r="J142" t="inlineStr">
        <is>
          <t>แขวงรามอินทรา - บางพลี</t>
        </is>
      </c>
      <c r="K142" t="inlineStr">
        <is>
          <t>59+500</t>
        </is>
      </c>
      <c r="L142" t="inlineStr">
        <is>
          <t>สถานีย่อย (C)</t>
        </is>
      </c>
      <c r="M142" t="n">
        <v>1</v>
      </c>
      <c r="N142" t="n">
        <v>13.685477</v>
      </c>
      <c r="O142" t="n">
        <v>100.69945</v>
      </c>
      <c r="P142" t="n">
        <v>0.37</v>
      </c>
      <c r="Q142" t="n">
        <v>7</v>
      </c>
      <c r="R142" t="n">
        <v>3</v>
      </c>
      <c r="S142" s="3" t="n">
        <v>117813</v>
      </c>
      <c r="T142" t="n">
        <v>1</v>
      </c>
      <c r="U142" t="n">
        <v>0</v>
      </c>
      <c r="V142" t="n">
        <v>7</v>
      </c>
      <c r="W142" t="n">
        <v>1</v>
      </c>
      <c r="X142" t="inlineStr">
        <is>
          <t>medium</t>
        </is>
      </c>
      <c r="Y142" s="3">
        <f>Q142*1000000</f>
        <v/>
      </c>
      <c r="Z142" s="3">
        <f>365*R142*S142*T142</f>
        <v/>
      </c>
      <c r="AA142" s="4">
        <f>Y142/Z142</f>
        <v/>
      </c>
      <c r="AB142" s="4">
        <f>Q142*1000000/(365*R142*S142)</f>
        <v/>
      </c>
      <c r="AC142">
        <f>RANK(AA142,$AA$2:$AA$395,0)</f>
        <v/>
      </c>
    </row>
    <row r="143">
      <c r="A143" t="inlineStr">
        <is>
          <t>zone_231</t>
        </is>
      </c>
      <c r="B143" t="inlineStr">
        <is>
          <t>บางนา - ทางเข้าท่าอากาศยานสุวรรณภูมิ</t>
        </is>
      </c>
      <c r="C143" t="inlineStr">
        <is>
          <t>กรุงเทพมหานคร</t>
        </is>
      </c>
      <c r="D143" t="n">
        <v>34</v>
      </c>
      <c r="E143" t="inlineStr">
        <is>
          <t>0101</t>
        </is>
      </c>
      <c r="F143" t="inlineStr">
        <is>
          <t>0.68–0.9</t>
        </is>
      </c>
      <c r="G143" t="n">
        <v>13.671721</v>
      </c>
      <c r="H143" t="n">
        <v>100.614031</v>
      </c>
      <c r="I143" t="inlineStr">
        <is>
          <t>hods_aadt_pnt_2568.fid-6461857d_1a0f2643074_4a93</t>
        </is>
      </c>
      <c r="J143" t="inlineStr">
        <is>
          <t>บางนา - ทางเข้าท่าอากาศยานสุวรรณภูมิ</t>
        </is>
      </c>
      <c r="K143" t="inlineStr">
        <is>
          <t>3+904</t>
        </is>
      </c>
      <c r="L143" t="inlineStr">
        <is>
          <t>สถานีย่อย (C)</t>
        </is>
      </c>
      <c r="M143" t="n">
        <v>1</v>
      </c>
      <c r="N143" t="n">
        <v>13.666173</v>
      </c>
      <c r="O143" t="n">
        <v>100.642233</v>
      </c>
      <c r="P143" t="n">
        <v>3.11</v>
      </c>
      <c r="Q143" t="n">
        <v>3</v>
      </c>
      <c r="R143" t="n">
        <v>3</v>
      </c>
      <c r="S143" s="3" t="n">
        <v>210050</v>
      </c>
      <c r="T143" t="n">
        <v>1</v>
      </c>
      <c r="U143" t="n">
        <v>0</v>
      </c>
      <c r="V143" t="n">
        <v>3</v>
      </c>
      <c r="W143" t="n">
        <v>1</v>
      </c>
      <c r="X143" t="inlineStr">
        <is>
          <t>medium</t>
        </is>
      </c>
      <c r="Y143" s="3">
        <f>Q143*1000000</f>
        <v/>
      </c>
      <c r="Z143" s="3">
        <f>365*R143*S143*T143</f>
        <v/>
      </c>
      <c r="AA143" s="4">
        <f>Y143/Z143</f>
        <v/>
      </c>
      <c r="AB143" s="4">
        <f>Q143*1000000/(365*R143*S143)</f>
        <v/>
      </c>
      <c r="AC143">
        <f>RANK(AA143,$AA$2:$AA$395,0)</f>
        <v/>
      </c>
    </row>
    <row r="144">
      <c r="A144" t="inlineStr">
        <is>
          <t>zone_232</t>
        </is>
      </c>
      <c r="B144" t="inlineStr">
        <is>
          <t>ดาวคะนอง -  แสมดำ</t>
        </is>
      </c>
      <c r="C144" t="inlineStr">
        <is>
          <t>กรุงเทพมหานคร</t>
        </is>
      </c>
      <c r="D144" t="n">
        <v>35</v>
      </c>
      <c r="E144" t="inlineStr">
        <is>
          <t>0100</t>
        </is>
      </c>
      <c r="F144" t="inlineStr">
        <is>
          <t>0.05–0.6</t>
        </is>
      </c>
      <c r="G144" t="n">
        <v>13.683744</v>
      </c>
      <c r="H144" t="n">
        <v>100.485085</v>
      </c>
      <c r="I144" t="inlineStr">
        <is>
          <t>hods_aadt_pnt_2568.fid-6461857d_1a0f2643074_4a98</t>
        </is>
      </c>
      <c r="J144" t="inlineStr">
        <is>
          <t>ดาวคะนอง - แสมดำ</t>
        </is>
      </c>
      <c r="K144" t="inlineStr">
        <is>
          <t>6+500</t>
        </is>
      </c>
      <c r="L144" t="inlineStr">
        <is>
          <t>สถานีย่อย (C)</t>
        </is>
      </c>
      <c r="M144" t="n">
        <v>1</v>
      </c>
      <c r="N144" t="n">
        <v>13.659911</v>
      </c>
      <c r="O144" t="n">
        <v>100.435201</v>
      </c>
      <c r="P144" t="n">
        <v>6.01</v>
      </c>
      <c r="Q144" t="n">
        <v>9</v>
      </c>
      <c r="R144" t="n">
        <v>3</v>
      </c>
      <c r="S144" s="3" t="n">
        <v>259277</v>
      </c>
      <c r="T144" t="n">
        <v>1</v>
      </c>
      <c r="U144" t="n">
        <v>0</v>
      </c>
      <c r="V144" t="n">
        <v>12</v>
      </c>
      <c r="W144" t="n">
        <v>1.3333</v>
      </c>
      <c r="X144" t="inlineStr">
        <is>
          <t>medium</t>
        </is>
      </c>
      <c r="Y144" s="3">
        <f>Q144*1000000</f>
        <v/>
      </c>
      <c r="Z144" s="3">
        <f>365*R144*S144*T144</f>
        <v/>
      </c>
      <c r="AA144" s="4">
        <f>Y144/Z144</f>
        <v/>
      </c>
      <c r="AB144" s="4">
        <f>Q144*1000000/(365*R144*S144)</f>
        <v/>
      </c>
      <c r="AC144">
        <f>RANK(AA144,$AA$2:$AA$395,0)</f>
        <v/>
      </c>
    </row>
    <row r="145">
      <c r="A145" t="inlineStr">
        <is>
          <t>zone_233</t>
        </is>
      </c>
      <c r="B145" t="inlineStr">
        <is>
          <t>ดาวคะนอง - แสมดำ</t>
        </is>
      </c>
      <c r="C145" t="inlineStr">
        <is>
          <t>กรุงเทพมหานคร</t>
        </is>
      </c>
      <c r="D145" t="n">
        <v>35</v>
      </c>
      <c r="E145" t="inlineStr">
        <is>
          <t>0100</t>
        </is>
      </c>
      <c r="F145" t="inlineStr">
        <is>
          <t>0.05–0.7</t>
        </is>
      </c>
      <c r="G145" t="n">
        <v>13.683624</v>
      </c>
      <c r="H145" t="n">
        <v>100.484641</v>
      </c>
      <c r="I145" t="inlineStr">
        <is>
          <t>hods_aadt_pnt_2568.fid-6461857d_1a0f2643074_4a98</t>
        </is>
      </c>
      <c r="J145" t="inlineStr">
        <is>
          <t>ดาวคะนอง - แสมดำ</t>
        </is>
      </c>
      <c r="K145" t="inlineStr">
        <is>
          <t>6+500</t>
        </is>
      </c>
      <c r="L145" t="inlineStr">
        <is>
          <t>สถานีย่อย (C)</t>
        </is>
      </c>
      <c r="M145" t="n">
        <v>1</v>
      </c>
      <c r="N145" t="n">
        <v>13.659911</v>
      </c>
      <c r="O145" t="n">
        <v>100.435201</v>
      </c>
      <c r="P145" t="n">
        <v>5.96</v>
      </c>
      <c r="Q145" t="n">
        <v>15</v>
      </c>
      <c r="R145" t="n">
        <v>3</v>
      </c>
      <c r="S145" s="3" t="n">
        <v>259277</v>
      </c>
      <c r="T145" t="n">
        <v>1</v>
      </c>
      <c r="U145" t="n">
        <v>3</v>
      </c>
      <c r="V145" t="n">
        <v>30</v>
      </c>
      <c r="W145" t="n">
        <v>2.2</v>
      </c>
      <c r="X145" t="inlineStr">
        <is>
          <t>high</t>
        </is>
      </c>
      <c r="Y145" s="3">
        <f>Q145*1000000</f>
        <v/>
      </c>
      <c r="Z145" s="3">
        <f>365*R145*S145*T145</f>
        <v/>
      </c>
      <c r="AA145" s="4">
        <f>Y145/Z145</f>
        <v/>
      </c>
      <c r="AB145" s="4">
        <f>Q145*1000000/(365*R145*S145)</f>
        <v/>
      </c>
      <c r="AC145">
        <f>RANK(AA145,$AA$2:$AA$395,0)</f>
        <v/>
      </c>
    </row>
    <row r="146">
      <c r="A146" t="inlineStr">
        <is>
          <t>zone_234</t>
        </is>
      </c>
      <c r="B146" t="inlineStr">
        <is>
          <t>ดาวคะนอง -  แสมดำ</t>
        </is>
      </c>
      <c r="C146" t="inlineStr">
        <is>
          <t>กรุงเทพมหานคร</t>
        </is>
      </c>
      <c r="D146" t="n">
        <v>35</v>
      </c>
      <c r="E146" t="inlineStr">
        <is>
          <t>0100</t>
        </is>
      </c>
      <c r="F146" t="inlineStr">
        <is>
          <t>0.1–0.2</t>
        </is>
      </c>
      <c r="G146" t="n">
        <v>13.68423</v>
      </c>
      <c r="H146" t="n">
        <v>100.486368</v>
      </c>
      <c r="I146" t="inlineStr">
        <is>
          <t>hods_aadt_pnt_2568.fid-6461857d_1a0f2643074_4a98</t>
        </is>
      </c>
      <c r="J146" t="inlineStr">
        <is>
          <t>ดาวคะนอง - แสมดำ</t>
        </is>
      </c>
      <c r="K146" t="inlineStr">
        <is>
          <t>6+500</t>
        </is>
      </c>
      <c r="L146" t="inlineStr">
        <is>
          <t>สถานีย่อย (C)</t>
        </is>
      </c>
      <c r="M146" t="n">
        <v>1</v>
      </c>
      <c r="N146" t="n">
        <v>13.659911</v>
      </c>
      <c r="O146" t="n">
        <v>100.435201</v>
      </c>
      <c r="P146" t="n">
        <v>6.15</v>
      </c>
      <c r="Q146" t="n">
        <v>6</v>
      </c>
      <c r="R146" t="n">
        <v>3</v>
      </c>
      <c r="S146" s="3" t="n">
        <v>259277</v>
      </c>
      <c r="T146" t="n">
        <v>1</v>
      </c>
      <c r="U146" t="n">
        <v>0</v>
      </c>
      <c r="V146" t="n">
        <v>6</v>
      </c>
      <c r="W146" t="n">
        <v>1</v>
      </c>
      <c r="X146" t="inlineStr">
        <is>
          <t>medium</t>
        </is>
      </c>
      <c r="Y146" s="3">
        <f>Q146*1000000</f>
        <v/>
      </c>
      <c r="Z146" s="3">
        <f>365*R146*S146*T146</f>
        <v/>
      </c>
      <c r="AA146" s="4">
        <f>Y146/Z146</f>
        <v/>
      </c>
      <c r="AB146" s="4">
        <f>Q146*1000000/(365*R146*S146)</f>
        <v/>
      </c>
      <c r="AC146">
        <f>RANK(AA146,$AA$2:$AA$395,0)</f>
        <v/>
      </c>
    </row>
    <row r="147">
      <c r="A147" t="inlineStr">
        <is>
          <t>zone_235</t>
        </is>
      </c>
      <c r="B147" t="inlineStr">
        <is>
          <t>ดาวคะนอง - แสมดำ</t>
        </is>
      </c>
      <c r="C147" t="inlineStr">
        <is>
          <t>กรุงเทพมหานคร</t>
        </is>
      </c>
      <c r="D147" t="n">
        <v>35</v>
      </c>
      <c r="E147" t="inlineStr">
        <is>
          <t>0100</t>
        </is>
      </c>
      <c r="F147" t="inlineStr">
        <is>
          <t>0.55–0.775</t>
        </is>
      </c>
      <c r="G147" t="n">
        <v>13.683188</v>
      </c>
      <c r="H147" t="n">
        <v>100.48237</v>
      </c>
      <c r="I147" t="inlineStr">
        <is>
          <t>hods_aadt_pnt_2568.fid-6461857d_1a0f2643074_4a98</t>
        </is>
      </c>
      <c r="J147" t="inlineStr">
        <is>
          <t>ดาวคะนอง - แสมดำ</t>
        </is>
      </c>
      <c r="K147" t="inlineStr">
        <is>
          <t>6+500</t>
        </is>
      </c>
      <c r="L147" t="inlineStr">
        <is>
          <t>สถานีย่อย (C)</t>
        </is>
      </c>
      <c r="M147" t="n">
        <v>1</v>
      </c>
      <c r="N147" t="n">
        <v>13.659911</v>
      </c>
      <c r="O147" t="n">
        <v>100.435201</v>
      </c>
      <c r="P147" t="n">
        <v>5.72</v>
      </c>
      <c r="Q147" t="n">
        <v>7</v>
      </c>
      <c r="R147" t="n">
        <v>3</v>
      </c>
      <c r="S147" s="3" t="n">
        <v>259277</v>
      </c>
      <c r="T147" t="n">
        <v>1</v>
      </c>
      <c r="U147" t="n">
        <v>1</v>
      </c>
      <c r="V147" t="n">
        <v>7</v>
      </c>
      <c r="W147" t="n">
        <v>1.1429</v>
      </c>
      <c r="X147" t="inlineStr">
        <is>
          <t>medium</t>
        </is>
      </c>
      <c r="Y147" s="3">
        <f>Q147*1000000</f>
        <v/>
      </c>
      <c r="Z147" s="3">
        <f>365*R147*S147*T147</f>
        <v/>
      </c>
      <c r="AA147" s="4">
        <f>Y147/Z147</f>
        <v/>
      </c>
      <c r="AB147" s="4">
        <f>Q147*1000000/(365*R147*S147)</f>
        <v/>
      </c>
      <c r="AC147">
        <f>RANK(AA147,$AA$2:$AA$395,0)</f>
        <v/>
      </c>
    </row>
    <row r="148">
      <c r="A148" t="inlineStr">
        <is>
          <t>zone_237</t>
        </is>
      </c>
      <c r="B148" t="inlineStr">
        <is>
          <t>บางบอน - โรงพยาบาลบางปะกอก8</t>
        </is>
      </c>
      <c r="C148" t="inlineStr">
        <is>
          <t>กรุงเทพมหานคร</t>
        </is>
      </c>
      <c r="D148" t="n">
        <v>3242</v>
      </c>
      <c r="E148" t="inlineStr">
        <is>
          <t>0200</t>
        </is>
      </c>
      <c r="F148" t="inlineStr">
        <is>
          <t>15.5–15.63</t>
        </is>
      </c>
      <c r="G148" t="n">
        <v>13.644105</v>
      </c>
      <c r="H148" t="n">
        <v>100.378959</v>
      </c>
      <c r="I148" t="inlineStr">
        <is>
          <t>hods_aadt_pnt_2568.fid-6461857d_1a0f2643074_51f0</t>
        </is>
      </c>
      <c r="J148" t="inlineStr">
        <is>
          <t>บางบอน - โรงพยาบาลบางปะกอก8</t>
        </is>
      </c>
      <c r="K148" t="inlineStr">
        <is>
          <t>15+600</t>
        </is>
      </c>
      <c r="L148" t="inlineStr">
        <is>
          <t>สถานีย่อย (C)</t>
        </is>
      </c>
      <c r="M148" t="n">
        <v>1</v>
      </c>
      <c r="N148" t="n">
        <v>13.644151</v>
      </c>
      <c r="O148" t="n">
        <v>100.379043</v>
      </c>
      <c r="P148" t="n">
        <v>0.01</v>
      </c>
      <c r="Q148" t="n">
        <v>3</v>
      </c>
      <c r="R148" t="n">
        <v>3</v>
      </c>
      <c r="S148" s="3" t="n">
        <v>81423</v>
      </c>
      <c r="T148" t="n">
        <v>1</v>
      </c>
      <c r="U148" t="n">
        <v>0</v>
      </c>
      <c r="V148" t="n">
        <v>10</v>
      </c>
      <c r="W148" t="n">
        <v>3.3333</v>
      </c>
      <c r="X148" t="inlineStr">
        <is>
          <t>high</t>
        </is>
      </c>
      <c r="Y148" s="3">
        <f>Q148*1000000</f>
        <v/>
      </c>
      <c r="Z148" s="3">
        <f>365*R148*S148*T148</f>
        <v/>
      </c>
      <c r="AA148" s="4">
        <f>Y148/Z148</f>
        <v/>
      </c>
      <c r="AB148" s="4">
        <f>Q148*1000000/(365*R148*S148)</f>
        <v/>
      </c>
      <c r="AC148">
        <f>RANK(AA148,$AA$2:$AA$395,0)</f>
        <v/>
      </c>
    </row>
    <row r="149">
      <c r="A149" t="inlineStr">
        <is>
          <t>zone_238</t>
        </is>
      </c>
      <c r="B149" t="inlineStr">
        <is>
          <t>บางบอน - โรงพยาบาลบางปะกอก8</t>
        </is>
      </c>
      <c r="C149" t="inlineStr">
        <is>
          <t>กรุงเทพมหานคร</t>
        </is>
      </c>
      <c r="D149" t="n">
        <v>3242</v>
      </c>
      <c r="E149" t="inlineStr">
        <is>
          <t>0200</t>
        </is>
      </c>
      <c r="F149" t="inlineStr">
        <is>
          <t>15–15.8</t>
        </is>
      </c>
      <c r="G149" t="n">
        <v>13.642995</v>
      </c>
      <c r="H149" t="n">
        <v>100.37758</v>
      </c>
      <c r="I149" t="inlineStr">
        <is>
          <t>hods_aadt_pnt_2568.fid-6461857d_1a0f2643074_51f0</t>
        </is>
      </c>
      <c r="J149" t="inlineStr">
        <is>
          <t>บางบอน - โรงพยาบาลบางปะกอก8</t>
        </is>
      </c>
      <c r="K149" t="inlineStr">
        <is>
          <t>15+600</t>
        </is>
      </c>
      <c r="L149" t="inlineStr">
        <is>
          <t>สถานีย่อย (C)</t>
        </is>
      </c>
      <c r="M149" t="n">
        <v>1</v>
      </c>
      <c r="N149" t="n">
        <v>13.644151</v>
      </c>
      <c r="O149" t="n">
        <v>100.379043</v>
      </c>
      <c r="P149" t="n">
        <v>0.2</v>
      </c>
      <c r="Q149" t="n">
        <v>13</v>
      </c>
      <c r="R149" t="n">
        <v>3</v>
      </c>
      <c r="S149" s="3" t="n">
        <v>81423</v>
      </c>
      <c r="T149" t="n">
        <v>1</v>
      </c>
      <c r="U149" t="n">
        <v>0</v>
      </c>
      <c r="V149" t="n">
        <v>16</v>
      </c>
      <c r="W149" t="n">
        <v>1.2308</v>
      </c>
      <c r="X149" t="inlineStr">
        <is>
          <t>medium</t>
        </is>
      </c>
      <c r="Y149" s="3">
        <f>Q149*1000000</f>
        <v/>
      </c>
      <c r="Z149" s="3">
        <f>365*R149*S149*T149</f>
        <v/>
      </c>
      <c r="AA149" s="4">
        <f>Y149/Z149</f>
        <v/>
      </c>
      <c r="AB149" s="4">
        <f>Q149*1000000/(365*R149*S149)</f>
        <v/>
      </c>
      <c r="AC149">
        <f>RANK(AA149,$AA$2:$AA$395,0)</f>
        <v/>
      </c>
    </row>
    <row r="150">
      <c r="A150" t="inlineStr">
        <is>
          <t>zone_239</t>
        </is>
      </c>
      <c r="B150" t="inlineStr">
        <is>
          <t>บางบอน - โรงพยาบาลบางปะกอก8</t>
        </is>
      </c>
      <c r="C150" t="inlineStr">
        <is>
          <t>กรุงเทพมหานคร</t>
        </is>
      </c>
      <c r="D150" t="n">
        <v>3242</v>
      </c>
      <c r="E150" t="inlineStr">
        <is>
          <t>0200</t>
        </is>
      </c>
      <c r="F150" t="inlineStr">
        <is>
          <t>14.32–14.8</t>
        </is>
      </c>
      <c r="G150" t="n">
        <v>13.638605</v>
      </c>
      <c r="H150" t="n">
        <v>100.37214</v>
      </c>
      <c r="I150" t="inlineStr">
        <is>
          <t>hods_aadt_pnt_2568.fid-6461857d_1a0f2643074_51f0</t>
        </is>
      </c>
      <c r="J150" t="inlineStr">
        <is>
          <t>บางบอน - โรงพยาบาลบางปะกอก8</t>
        </is>
      </c>
      <c r="K150" t="inlineStr">
        <is>
          <t>15+600</t>
        </is>
      </c>
      <c r="L150" t="inlineStr">
        <is>
          <t>สถานีย่อย (C)</t>
        </is>
      </c>
      <c r="M150" t="n">
        <v>1</v>
      </c>
      <c r="N150" t="n">
        <v>13.644151</v>
      </c>
      <c r="O150" t="n">
        <v>100.379043</v>
      </c>
      <c r="P150" t="n">
        <v>0.97</v>
      </c>
      <c r="Q150" t="n">
        <v>11</v>
      </c>
      <c r="R150" t="n">
        <v>3</v>
      </c>
      <c r="S150" s="3" t="n">
        <v>81423</v>
      </c>
      <c r="T150" t="n">
        <v>1</v>
      </c>
      <c r="U150" t="n">
        <v>0</v>
      </c>
      <c r="V150" t="n">
        <v>13</v>
      </c>
      <c r="W150" t="n">
        <v>1.1818</v>
      </c>
      <c r="X150" t="inlineStr">
        <is>
          <t>medium</t>
        </is>
      </c>
      <c r="Y150" s="3">
        <f>Q150*1000000</f>
        <v/>
      </c>
      <c r="Z150" s="3">
        <f>365*R150*S150*T150</f>
        <v/>
      </c>
      <c r="AA150" s="4">
        <f>Y150/Z150</f>
        <v/>
      </c>
      <c r="AB150" s="4">
        <f>Q150*1000000/(365*R150*S150)</f>
        <v/>
      </c>
      <c r="AC150">
        <f>RANK(AA150,$AA$2:$AA$395,0)</f>
        <v/>
      </c>
    </row>
    <row r="151">
      <c r="A151" t="inlineStr">
        <is>
          <t>zone_240</t>
        </is>
      </c>
      <c r="B151" t="inlineStr">
        <is>
          <t>มหาวิทยาลัยเกษตรศาสตร์ - คันนายาว</t>
        </is>
      </c>
      <c r="C151" t="inlineStr">
        <is>
          <t>กรุงเทพมหานคร</t>
        </is>
      </c>
      <c r="D151" t="n">
        <v>351</v>
      </c>
      <c r="E151" t="inlineStr">
        <is>
          <t>0100</t>
        </is>
      </c>
      <c r="F151" t="inlineStr">
        <is>
          <t>2.5–2.735</t>
        </is>
      </c>
      <c r="G151" t="n">
        <v>13.839704</v>
      </c>
      <c r="H151" t="n">
        <v>100.599232</v>
      </c>
      <c r="I151" t="inlineStr">
        <is>
          <t>hods_aadt_pnt_2568.fid-6461857d_1a0f2643074_4cbd</t>
        </is>
      </c>
      <c r="J151" t="inlineStr">
        <is>
          <t>มหาวิทยาลัยเกษตรศาสตร์ - คันนายาว</t>
        </is>
      </c>
      <c r="K151" t="inlineStr">
        <is>
          <t>4+700</t>
        </is>
      </c>
      <c r="L151" t="inlineStr">
        <is>
          <t>สถานีย่อย (C)</t>
        </is>
      </c>
      <c r="M151" t="n">
        <v>1</v>
      </c>
      <c r="N151" t="n">
        <v>13.831074</v>
      </c>
      <c r="O151" t="n">
        <v>100.616033</v>
      </c>
      <c r="P151" t="n">
        <v>2.05</v>
      </c>
      <c r="Q151" t="n">
        <v>6</v>
      </c>
      <c r="R151" t="n">
        <v>3</v>
      </c>
      <c r="S151" s="3" t="n">
        <v>73453</v>
      </c>
      <c r="T151" t="n">
        <v>1</v>
      </c>
      <c r="U151" t="n">
        <v>0</v>
      </c>
      <c r="V151" t="n">
        <v>5</v>
      </c>
      <c r="W151" t="n">
        <v>0.8333</v>
      </c>
      <c r="X151" t="inlineStr">
        <is>
          <t>low</t>
        </is>
      </c>
      <c r="Y151" s="3">
        <f>Q151*1000000</f>
        <v/>
      </c>
      <c r="Z151" s="3">
        <f>365*R151*S151*T151</f>
        <v/>
      </c>
      <c r="AA151" s="4">
        <f>Y151/Z151</f>
        <v/>
      </c>
      <c r="AB151" s="4">
        <f>Q151*1000000/(365*R151*S151)</f>
        <v/>
      </c>
      <c r="AC151">
        <f>RANK(AA151,$AA$2:$AA$395,0)</f>
        <v/>
      </c>
    </row>
    <row r="152">
      <c r="A152" t="inlineStr">
        <is>
          <t>zone_241</t>
        </is>
      </c>
      <c r="B152" t="inlineStr">
        <is>
          <t>บางบอน - โรงพยาบาลบางปะกอก8</t>
        </is>
      </c>
      <c r="C152" t="inlineStr">
        <is>
          <t>กรุงเทพมหานคร</t>
        </is>
      </c>
      <c r="D152" t="n">
        <v>3242</v>
      </c>
      <c r="E152" t="inlineStr">
        <is>
          <t>0200</t>
        </is>
      </c>
      <c r="F152" t="inlineStr">
        <is>
          <t>18.252–18.405</t>
        </is>
      </c>
      <c r="G152" t="n">
        <v>13.659082</v>
      </c>
      <c r="H152" t="n">
        <v>100.399049</v>
      </c>
      <c r="I152" t="inlineStr">
        <is>
          <t>hods_aadt_pnt_2568.fid-6461857d_1a0f2643074_51f0</t>
        </is>
      </c>
      <c r="J152" t="inlineStr">
        <is>
          <t>บางบอน - โรงพยาบาลบางปะกอก8</t>
        </is>
      </c>
      <c r="K152" t="inlineStr">
        <is>
          <t>15+600</t>
        </is>
      </c>
      <c r="L152" t="inlineStr">
        <is>
          <t>สถานีย่อย (C)</t>
        </is>
      </c>
      <c r="M152" t="n">
        <v>1</v>
      </c>
      <c r="N152" t="n">
        <v>13.644151</v>
      </c>
      <c r="O152" t="n">
        <v>100.379043</v>
      </c>
      <c r="P152" t="n">
        <v>2.73</v>
      </c>
      <c r="Q152" t="n">
        <v>5</v>
      </c>
      <c r="R152" t="n">
        <v>3</v>
      </c>
      <c r="S152" s="3" t="n">
        <v>81423</v>
      </c>
      <c r="T152" t="n">
        <v>1</v>
      </c>
      <c r="U152" t="n">
        <v>0</v>
      </c>
      <c r="V152" t="n">
        <v>8</v>
      </c>
      <c r="W152" t="n">
        <v>1.6</v>
      </c>
      <c r="X152" t="inlineStr">
        <is>
          <t>medium</t>
        </is>
      </c>
      <c r="Y152" s="3">
        <f>Q152*1000000</f>
        <v/>
      </c>
      <c r="Z152" s="3">
        <f>365*R152*S152*T152</f>
        <v/>
      </c>
      <c r="AA152" s="4">
        <f>Y152/Z152</f>
        <v/>
      </c>
      <c r="AB152" s="4">
        <f>Q152*1000000/(365*R152*S152)</f>
        <v/>
      </c>
      <c r="AC152">
        <f>RANK(AA152,$AA$2:$AA$395,0)</f>
        <v/>
      </c>
    </row>
    <row r="153">
      <c r="A153" t="inlineStr">
        <is>
          <t>zone_242</t>
        </is>
      </c>
      <c r="B153" t="inlineStr">
        <is>
          <t>บางบอน - โรงพยาบาลบางปะกอก8</t>
        </is>
      </c>
      <c r="C153" t="inlineStr">
        <is>
          <t>กรุงเทพมหานคร</t>
        </is>
      </c>
      <c r="D153" t="n">
        <v>3242</v>
      </c>
      <c r="E153" t="inlineStr">
        <is>
          <t>0200</t>
        </is>
      </c>
      <c r="F153" t="inlineStr">
        <is>
          <t>18.8–18.9</t>
        </is>
      </c>
      <c r="G153" t="n">
        <v>13.662022</v>
      </c>
      <c r="H153" t="n">
        <v>100.40402</v>
      </c>
      <c r="I153" t="inlineStr">
        <is>
          <t>hods_aadt_pnt_2568.fid-6461857d_1a0f2643074_51f0</t>
        </is>
      </c>
      <c r="J153" t="inlineStr">
        <is>
          <t>บางบอน - โรงพยาบาลบางปะกอก8</t>
        </is>
      </c>
      <c r="K153" t="inlineStr">
        <is>
          <t>15+600</t>
        </is>
      </c>
      <c r="L153" t="inlineStr">
        <is>
          <t>สถานีย่อย (C)</t>
        </is>
      </c>
      <c r="M153" t="n">
        <v>1</v>
      </c>
      <c r="N153" t="n">
        <v>13.644151</v>
      </c>
      <c r="O153" t="n">
        <v>100.379043</v>
      </c>
      <c r="P153" t="n">
        <v>3.35</v>
      </c>
      <c r="Q153" t="n">
        <v>3</v>
      </c>
      <c r="R153" t="n">
        <v>3</v>
      </c>
      <c r="S153" s="3" t="n">
        <v>81423</v>
      </c>
      <c r="T153" t="n">
        <v>1</v>
      </c>
      <c r="U153" t="n">
        <v>0</v>
      </c>
      <c r="V153" t="n">
        <v>3</v>
      </c>
      <c r="W153" t="n">
        <v>1</v>
      </c>
      <c r="X153" t="inlineStr">
        <is>
          <t>medium</t>
        </is>
      </c>
      <c r="Y153" s="3">
        <f>Q153*1000000</f>
        <v/>
      </c>
      <c r="Z153" s="3">
        <f>365*R153*S153*T153</f>
        <v/>
      </c>
      <c r="AA153" s="4">
        <f>Y153/Z153</f>
        <v/>
      </c>
      <c r="AB153" s="4">
        <f>Q153*1000000/(365*R153*S153)</f>
        <v/>
      </c>
      <c r="AC153">
        <f>RANK(AA153,$AA$2:$AA$395,0)</f>
        <v/>
      </c>
    </row>
    <row r="154">
      <c r="A154" t="inlineStr">
        <is>
          <t>zone_243</t>
        </is>
      </c>
      <c r="B154" t="inlineStr">
        <is>
          <t>บางบอน - โรงพยาบาลบางปะกอก8</t>
        </is>
      </c>
      <c r="C154" t="inlineStr">
        <is>
          <t>กรุงเทพมหานคร</t>
        </is>
      </c>
      <c r="D154" t="n">
        <v>3242</v>
      </c>
      <c r="E154" t="inlineStr">
        <is>
          <t>0200</t>
        </is>
      </c>
      <c r="F154" t="inlineStr">
        <is>
          <t>17.405–17.648</t>
        </is>
      </c>
      <c r="G154" t="n">
        <v>13.655217</v>
      </c>
      <c r="H154" t="n">
        <v>100.393123</v>
      </c>
      <c r="I154" t="inlineStr">
        <is>
          <t>hods_aadt_pnt_2568.fid-6461857d_1a0f2643074_51f0</t>
        </is>
      </c>
      <c r="J154" t="inlineStr">
        <is>
          <t>บางบอน - โรงพยาบาลบางปะกอก8</t>
        </is>
      </c>
      <c r="K154" t="inlineStr">
        <is>
          <t>15+600</t>
        </is>
      </c>
      <c r="L154" t="inlineStr">
        <is>
          <t>สถานีย่อย (C)</t>
        </is>
      </c>
      <c r="M154" t="n">
        <v>1</v>
      </c>
      <c r="N154" t="n">
        <v>13.644151</v>
      </c>
      <c r="O154" t="n">
        <v>100.379043</v>
      </c>
      <c r="P154" t="n">
        <v>1.96</v>
      </c>
      <c r="Q154" t="n">
        <v>4</v>
      </c>
      <c r="R154" t="n">
        <v>3</v>
      </c>
      <c r="S154" s="3" t="n">
        <v>81423</v>
      </c>
      <c r="T154" t="n">
        <v>1</v>
      </c>
      <c r="U154" t="n">
        <v>0</v>
      </c>
      <c r="V154" t="n">
        <v>5</v>
      </c>
      <c r="W154" t="n">
        <v>1.25</v>
      </c>
      <c r="X154" t="inlineStr">
        <is>
          <t>medium</t>
        </is>
      </c>
      <c r="Y154" s="3">
        <f>Q154*1000000</f>
        <v/>
      </c>
      <c r="Z154" s="3">
        <f>365*R154*S154*T154</f>
        <v/>
      </c>
      <c r="AA154" s="4">
        <f>Y154/Z154</f>
        <v/>
      </c>
      <c r="AB154" s="4">
        <f>Q154*1000000/(365*R154*S154)</f>
        <v/>
      </c>
      <c r="AC154">
        <f>RANK(AA154,$AA$2:$AA$395,0)</f>
        <v/>
      </c>
    </row>
    <row r="155">
      <c r="A155" t="inlineStr">
        <is>
          <t>zone_245</t>
        </is>
      </c>
      <c r="B155" t="inlineStr">
        <is>
          <t>บางบอน - โรงพยาบาลบางปะกอก8</t>
        </is>
      </c>
      <c r="C155" t="inlineStr">
        <is>
          <t>กรุงเทพมหานคร</t>
        </is>
      </c>
      <c r="D155" t="n">
        <v>3242</v>
      </c>
      <c r="E155" t="inlineStr">
        <is>
          <t>0200</t>
        </is>
      </c>
      <c r="F155" t="inlineStr">
        <is>
          <t>16.39–18.282</t>
        </is>
      </c>
      <c r="G155" t="n">
        <v>13.654557</v>
      </c>
      <c r="H155" t="n">
        <v>100.392276</v>
      </c>
      <c r="I155" t="inlineStr">
        <is>
          <t>hods_aadt_pnt_2568.fid-6461857d_1a0f2643074_51f0</t>
        </is>
      </c>
      <c r="J155" t="inlineStr">
        <is>
          <t>บางบอน - โรงพยาบาลบางปะกอก8</t>
        </is>
      </c>
      <c r="K155" t="inlineStr">
        <is>
          <t>15+600</t>
        </is>
      </c>
      <c r="L155" t="inlineStr">
        <is>
          <t>สถานีย่อย (C)</t>
        </is>
      </c>
      <c r="M155" t="n">
        <v>1</v>
      </c>
      <c r="N155" t="n">
        <v>13.644151</v>
      </c>
      <c r="O155" t="n">
        <v>100.379043</v>
      </c>
      <c r="P155" t="n">
        <v>1.84</v>
      </c>
      <c r="Q155" t="n">
        <v>48</v>
      </c>
      <c r="R155" t="n">
        <v>3</v>
      </c>
      <c r="S155" s="3" t="n">
        <v>81423</v>
      </c>
      <c r="T155" t="n">
        <v>1</v>
      </c>
      <c r="U155" t="n">
        <v>1</v>
      </c>
      <c r="V155" t="n">
        <v>69</v>
      </c>
      <c r="W155" t="n">
        <v>1.4583</v>
      </c>
      <c r="X155" t="inlineStr">
        <is>
          <t>medium</t>
        </is>
      </c>
      <c r="Y155" s="3">
        <f>Q155*1000000</f>
        <v/>
      </c>
      <c r="Z155" s="3">
        <f>365*R155*S155*T155</f>
        <v/>
      </c>
      <c r="AA155" s="4">
        <f>Y155/Z155</f>
        <v/>
      </c>
      <c r="AB155" s="4">
        <f>Q155*1000000/(365*R155*S155)</f>
        <v/>
      </c>
      <c r="AC155">
        <f>RANK(AA155,$AA$2:$AA$395,0)</f>
        <v/>
      </c>
    </row>
    <row r="156">
      <c r="A156" t="inlineStr">
        <is>
          <t>zone_246</t>
        </is>
      </c>
      <c r="B156" t="inlineStr">
        <is>
          <t>บางบอน - โรงพยาบาลบางปะกอก 8</t>
        </is>
      </c>
      <c r="C156" t="inlineStr">
        <is>
          <t>กรุงเทพมหานคร</t>
        </is>
      </c>
      <c r="D156" t="n">
        <v>3242</v>
      </c>
      <c r="E156" t="inlineStr">
        <is>
          <t>0200</t>
        </is>
      </c>
      <c r="F156" t="inlineStr">
        <is>
          <t>18.583–18.7</t>
        </is>
      </c>
      <c r="G156" t="n">
        <v>13.660938</v>
      </c>
      <c r="H156" t="n">
        <v>100.402278</v>
      </c>
      <c r="I156" t="inlineStr">
        <is>
          <t>hods_aadt_pnt_2568.fid-6461857d_1a0f2643074_51f0</t>
        </is>
      </c>
      <c r="J156" t="inlineStr">
        <is>
          <t>บางบอน - โรงพยาบาลบางปะกอก8</t>
        </is>
      </c>
      <c r="K156" t="inlineStr">
        <is>
          <t>15+600</t>
        </is>
      </c>
      <c r="L156" t="inlineStr">
        <is>
          <t>สถานีย่อย (C)</t>
        </is>
      </c>
      <c r="M156" t="n">
        <v>1</v>
      </c>
      <c r="N156" t="n">
        <v>13.644151</v>
      </c>
      <c r="O156" t="n">
        <v>100.379043</v>
      </c>
      <c r="P156" t="n">
        <v>3.13</v>
      </c>
      <c r="Q156" t="n">
        <v>3</v>
      </c>
      <c r="R156" t="n">
        <v>3</v>
      </c>
      <c r="S156" s="3" t="n">
        <v>81423</v>
      </c>
      <c r="T156" t="n">
        <v>1</v>
      </c>
      <c r="U156" t="n">
        <v>0</v>
      </c>
      <c r="V156" t="n">
        <v>7</v>
      </c>
      <c r="W156" t="n">
        <v>2.3333</v>
      </c>
      <c r="X156" t="inlineStr">
        <is>
          <t>high</t>
        </is>
      </c>
      <c r="Y156" s="3">
        <f>Q156*1000000</f>
        <v/>
      </c>
      <c r="Z156" s="3">
        <f>365*R156*S156*T156</f>
        <v/>
      </c>
      <c r="AA156" s="4">
        <f>Y156/Z156</f>
        <v/>
      </c>
      <c r="AB156" s="4">
        <f>Q156*1000000/(365*R156*S156)</f>
        <v/>
      </c>
      <c r="AC156">
        <f>RANK(AA156,$AA$2:$AA$395,0)</f>
        <v/>
      </c>
    </row>
    <row r="157">
      <c r="A157" t="inlineStr">
        <is>
          <t>zone_251</t>
        </is>
      </c>
      <c r="B157" t="inlineStr">
        <is>
          <t>คลองประปา - คันนายาว</t>
        </is>
      </c>
      <c r="C157" t="inlineStr">
        <is>
          <t>กรุงเทพมหานคร</t>
        </is>
      </c>
      <c r="D157" t="n">
        <v>304</v>
      </c>
      <c r="E157" t="inlineStr">
        <is>
          <t>0201</t>
        </is>
      </c>
      <c r="F157" t="inlineStr">
        <is>
          <t>15.034–15.93</t>
        </is>
      </c>
      <c r="G157" t="n">
        <v>13.855876</v>
      </c>
      <c r="H157" t="n">
        <v>100.630792</v>
      </c>
      <c r="I157" t="inlineStr">
        <is>
          <t>hods_aadt_pnt_2568.fid-6461857d_1a0f2643074_4c26</t>
        </is>
      </c>
      <c r="J157" t="inlineStr">
        <is>
          <t>คลองประปา - คันนายาว</t>
        </is>
      </c>
      <c r="K157" t="inlineStr">
        <is>
          <t>18+610</t>
        </is>
      </c>
      <c r="L157" t="inlineStr">
        <is>
          <t>สถานีย่อย (C)</t>
        </is>
      </c>
      <c r="M157" t="n">
        <v>2</v>
      </c>
      <c r="N157" t="n">
        <v>13.840021</v>
      </c>
      <c r="O157" t="n">
        <v>100.659832</v>
      </c>
      <c r="P157" t="n">
        <v>3.6</v>
      </c>
      <c r="Q157" t="n">
        <v>3</v>
      </c>
      <c r="R157" t="n">
        <v>3</v>
      </c>
      <c r="S157" s="3" t="n">
        <v>93205</v>
      </c>
      <c r="T157" t="n">
        <v>1</v>
      </c>
      <c r="U157" t="n">
        <v>0</v>
      </c>
      <c r="V157" t="n">
        <v>0</v>
      </c>
      <c r="W157" t="n">
        <v>0</v>
      </c>
      <c r="X157" t="inlineStr">
        <is>
          <t>low</t>
        </is>
      </c>
      <c r="Y157" s="3">
        <f>Q157*1000000</f>
        <v/>
      </c>
      <c r="Z157" s="3">
        <f>365*R157*S157*T157</f>
        <v/>
      </c>
      <c r="AA157" s="4">
        <f>Y157/Z157</f>
        <v/>
      </c>
      <c r="AB157" s="4">
        <f>Q157*1000000/(365*R157*S157)</f>
        <v/>
      </c>
      <c r="AC157">
        <f>RANK(AA157,$AA$2:$AA$395,0)</f>
        <v/>
      </c>
    </row>
    <row r="158">
      <c r="A158" t="inlineStr">
        <is>
          <t>zone_253</t>
        </is>
      </c>
      <c r="B158" t="inlineStr">
        <is>
          <t>แยกเข้ามีนบุรี - คลองหลวงแพ่ง</t>
        </is>
      </c>
      <c r="C158" t="inlineStr">
        <is>
          <t>กรุงเทพมหานคร</t>
        </is>
      </c>
      <c r="D158" t="n">
        <v>304</v>
      </c>
      <c r="E158" t="inlineStr">
        <is>
          <t>0203</t>
        </is>
      </c>
      <c r="F158" t="inlineStr">
        <is>
          <t>27–27.118</t>
        </is>
      </c>
      <c r="G158" t="n">
        <v>13.818367</v>
      </c>
      <c r="H158" t="n">
        <v>100.724521</v>
      </c>
      <c r="I158" t="inlineStr">
        <is>
          <t>hods_aadt_pnt_2568.fid-6461857d_1a0f2643074_4c28</t>
        </is>
      </c>
      <c r="J158" t="inlineStr">
        <is>
          <t>แยกเข้ามีนบุรี - คลองหลวงแพ่ง</t>
        </is>
      </c>
      <c r="K158" t="inlineStr">
        <is>
          <t>28+250</t>
        </is>
      </c>
      <c r="L158" t="inlineStr">
        <is>
          <t>สถานีย่อย (C)</t>
        </is>
      </c>
      <c r="M158" t="n">
        <v>2</v>
      </c>
      <c r="N158" t="n">
        <v>13.819379</v>
      </c>
      <c r="O158" t="n">
        <v>100.736014</v>
      </c>
      <c r="P158" t="n">
        <v>1.25</v>
      </c>
      <c r="Q158" t="n">
        <v>4</v>
      </c>
      <c r="R158" t="n">
        <v>3</v>
      </c>
      <c r="S158" s="3" t="n">
        <v>78286</v>
      </c>
      <c r="T158" t="n">
        <v>1</v>
      </c>
      <c r="U158" t="n">
        <v>0</v>
      </c>
      <c r="V158" t="n">
        <v>2</v>
      </c>
      <c r="W158" t="n">
        <v>0.5</v>
      </c>
      <c r="X158" t="inlineStr">
        <is>
          <t>low</t>
        </is>
      </c>
      <c r="Y158" s="3">
        <f>Q158*1000000</f>
        <v/>
      </c>
      <c r="Z158" s="3">
        <f>365*R158*S158*T158</f>
        <v/>
      </c>
      <c r="AA158" s="4">
        <f>Y158/Z158</f>
        <v/>
      </c>
      <c r="AB158" s="4">
        <f>Q158*1000000/(365*R158*S158)</f>
        <v/>
      </c>
      <c r="AC158">
        <f>RANK(AA158,$AA$2:$AA$395,0)</f>
        <v/>
      </c>
    </row>
    <row r="159">
      <c r="A159" t="inlineStr">
        <is>
          <t>zone_256</t>
        </is>
      </c>
      <c r="B159" t="inlineStr">
        <is>
          <t>แยกเข้ามีนบุรี - คลองหลวงแพ่ง</t>
        </is>
      </c>
      <c r="C159" t="inlineStr">
        <is>
          <t>กรุงเทพมหานคร</t>
        </is>
      </c>
      <c r="D159" t="n">
        <v>304</v>
      </c>
      <c r="E159" t="inlineStr">
        <is>
          <t>0203</t>
        </is>
      </c>
      <c r="F159" t="inlineStr">
        <is>
          <t>40.54–40.65</t>
        </is>
      </c>
      <c r="G159" t="n">
        <v>13.805911</v>
      </c>
      <c r="H159" t="n">
        <v>100.847938</v>
      </c>
      <c r="I159" t="inlineStr">
        <is>
          <t>hods_aadt_pnt_2568.fid-6461857d_1a0f2643074_4c28</t>
        </is>
      </c>
      <c r="J159" t="inlineStr">
        <is>
          <t>แยกเข้ามีนบุรี - คลองหลวงแพ่ง</t>
        </is>
      </c>
      <c r="K159" t="inlineStr">
        <is>
          <t>28+250</t>
        </is>
      </c>
      <c r="L159" t="inlineStr">
        <is>
          <t>สถานีย่อย (C)</t>
        </is>
      </c>
      <c r="M159" t="n">
        <v>2</v>
      </c>
      <c r="N159" t="n">
        <v>13.819379</v>
      </c>
      <c r="O159" t="n">
        <v>100.736014</v>
      </c>
      <c r="P159" t="n">
        <v>12.18</v>
      </c>
      <c r="Q159" t="n">
        <v>3</v>
      </c>
      <c r="R159" t="n">
        <v>3</v>
      </c>
      <c r="S159" s="3" t="n">
        <v>78286</v>
      </c>
      <c r="T159" t="n">
        <v>1</v>
      </c>
      <c r="U159" t="n">
        <v>0</v>
      </c>
      <c r="V159" t="n">
        <v>1</v>
      </c>
      <c r="W159" t="n">
        <v>0.3333</v>
      </c>
      <c r="X159" t="inlineStr">
        <is>
          <t>low</t>
        </is>
      </c>
      <c r="Y159" s="3">
        <f>Q159*1000000</f>
        <v/>
      </c>
      <c r="Z159" s="3">
        <f>365*R159*S159*T159</f>
        <v/>
      </c>
      <c r="AA159" s="4">
        <f>Y159/Z159</f>
        <v/>
      </c>
      <c r="AB159" s="4">
        <f>Q159*1000000/(365*R159*S159)</f>
        <v/>
      </c>
      <c r="AC159">
        <f>RANK(AA159,$AA$2:$AA$395,0)</f>
        <v/>
      </c>
    </row>
    <row r="160">
      <c r="A160" t="inlineStr">
        <is>
          <t>zone_260</t>
        </is>
      </c>
      <c r="B160" t="inlineStr">
        <is>
          <t>บางแค - คลองมหาสวัสดิ์</t>
        </is>
      </c>
      <c r="C160" t="inlineStr">
        <is>
          <t>กรุงเทพมหานคร</t>
        </is>
      </c>
      <c r="D160" t="n">
        <v>3901</v>
      </c>
      <c r="E160" t="inlineStr">
        <is>
          <t>0102</t>
        </is>
      </c>
      <c r="F160" t="inlineStr">
        <is>
          <t>30.98–31.7</t>
        </is>
      </c>
      <c r="G160" t="n">
        <v>13.795574</v>
      </c>
      <c r="H160" t="n">
        <v>100.410309</v>
      </c>
      <c r="I160" t="inlineStr">
        <is>
          <t>hods_aadt_pnt_2568.fid-6461857d_1a0f2643074_5313</t>
        </is>
      </c>
      <c r="J160" t="inlineStr">
        <is>
          <t>บางแค - คลองมหาสวัสดิ์</t>
        </is>
      </c>
      <c r="K160" t="inlineStr">
        <is>
          <t>20+430</t>
        </is>
      </c>
      <c r="L160" t="inlineStr">
        <is>
          <t>สถานีย่อย (C)</t>
        </is>
      </c>
      <c r="M160" t="n">
        <v>1</v>
      </c>
      <c r="N160" t="n">
        <v>13.680396</v>
      </c>
      <c r="O160" t="n">
        <v>100.406611</v>
      </c>
      <c r="P160" t="n">
        <v>12.81</v>
      </c>
      <c r="Q160" t="n">
        <v>4</v>
      </c>
      <c r="R160" t="n">
        <v>3</v>
      </c>
      <c r="S160" s="3" t="n">
        <v>41328</v>
      </c>
      <c r="T160" t="n">
        <v>1</v>
      </c>
      <c r="U160" t="n">
        <v>0</v>
      </c>
      <c r="V160" t="n">
        <v>2</v>
      </c>
      <c r="W160" t="n">
        <v>0.5</v>
      </c>
      <c r="X160" t="inlineStr">
        <is>
          <t>low</t>
        </is>
      </c>
      <c r="Y160" s="3">
        <f>Q160*1000000</f>
        <v/>
      </c>
      <c r="Z160" s="3">
        <f>365*R160*S160*T160</f>
        <v/>
      </c>
      <c r="AA160" s="4">
        <f>Y160/Z160</f>
        <v/>
      </c>
      <c r="AB160" s="4">
        <f>Q160*1000000/(365*R160*S160)</f>
        <v/>
      </c>
      <c r="AC160">
        <f>RANK(AA160,$AA$2:$AA$395,0)</f>
        <v/>
      </c>
    </row>
    <row r="161">
      <c r="A161" t="inlineStr">
        <is>
          <t>zone_273</t>
        </is>
      </c>
      <c r="B161" t="inlineStr">
        <is>
          <t>คลองประปา - คันนายาว</t>
        </is>
      </c>
      <c r="C161" t="inlineStr">
        <is>
          <t>กรุงเทพมหานคร</t>
        </is>
      </c>
      <c r="D161" t="n">
        <v>304</v>
      </c>
      <c r="E161" t="inlineStr">
        <is>
          <t>0201</t>
        </is>
      </c>
      <c r="F161" t="inlineStr">
        <is>
          <t>13.235–13.286</t>
        </is>
      </c>
      <c r="G161" t="n">
        <v>13.863733</v>
      </c>
      <c r="H161" t="n">
        <v>100.616157</v>
      </c>
      <c r="I161" t="inlineStr">
        <is>
          <t>hods_aadt_pnt_2568.fid-6461857d_1a0f2643074_4c26</t>
        </is>
      </c>
      <c r="J161" t="inlineStr">
        <is>
          <t>คลองประปา - คันนายาว</t>
        </is>
      </c>
      <c r="K161" t="inlineStr">
        <is>
          <t>18+610</t>
        </is>
      </c>
      <c r="L161" t="inlineStr">
        <is>
          <t>สถานีย่อย (C)</t>
        </is>
      </c>
      <c r="M161" t="n">
        <v>2</v>
      </c>
      <c r="N161" t="n">
        <v>13.840021</v>
      </c>
      <c r="O161" t="n">
        <v>100.659832</v>
      </c>
      <c r="P161" t="n">
        <v>5.4</v>
      </c>
      <c r="Q161" t="n">
        <v>3</v>
      </c>
      <c r="R161" t="n">
        <v>3</v>
      </c>
      <c r="S161" s="3" t="n">
        <v>93205</v>
      </c>
      <c r="T161" t="n">
        <v>1</v>
      </c>
      <c r="U161" t="n">
        <v>0</v>
      </c>
      <c r="V161" t="n">
        <v>1</v>
      </c>
      <c r="W161" t="n">
        <v>0.3333</v>
      </c>
      <c r="X161" t="inlineStr">
        <is>
          <t>low</t>
        </is>
      </c>
      <c r="Y161" s="3">
        <f>Q161*1000000</f>
        <v/>
      </c>
      <c r="Z161" s="3">
        <f>365*R161*S161*T161</f>
        <v/>
      </c>
      <c r="AA161" s="4">
        <f>Y161/Z161</f>
        <v/>
      </c>
      <c r="AB161" s="4">
        <f>Q161*1000000/(365*R161*S161)</f>
        <v/>
      </c>
      <c r="AC161">
        <f>RANK(AA161,$AA$2:$AA$395,0)</f>
        <v/>
      </c>
    </row>
    <row r="162">
      <c r="A162" t="inlineStr">
        <is>
          <t>zone_274</t>
        </is>
      </c>
      <c r="B162" t="inlineStr">
        <is>
          <t>คลองประปา - คันนายาว</t>
        </is>
      </c>
      <c r="C162" t="inlineStr">
        <is>
          <t>กรุงเทพมหานคร</t>
        </is>
      </c>
      <c r="D162" t="n">
        <v>304</v>
      </c>
      <c r="E162" t="inlineStr">
        <is>
          <t>0201</t>
        </is>
      </c>
      <c r="F162" t="inlineStr">
        <is>
          <t>13.286–13.286</t>
        </is>
      </c>
      <c r="G162" t="n">
        <v>13.863507</v>
      </c>
      <c r="H162" t="n">
        <v>100.616569</v>
      </c>
      <c r="I162" t="inlineStr">
        <is>
          <t>hods_aadt_pnt_2568.fid-6461857d_1a0f2643074_4c26</t>
        </is>
      </c>
      <c r="J162" t="inlineStr">
        <is>
          <t>คลองประปา - คันนายาว</t>
        </is>
      </c>
      <c r="K162" t="inlineStr">
        <is>
          <t>18+610</t>
        </is>
      </c>
      <c r="L162" t="inlineStr">
        <is>
          <t>สถานีย่อย (C)</t>
        </is>
      </c>
      <c r="M162" t="n">
        <v>2</v>
      </c>
      <c r="N162" t="n">
        <v>13.840021</v>
      </c>
      <c r="O162" t="n">
        <v>100.659832</v>
      </c>
      <c r="P162" t="n">
        <v>5.35</v>
      </c>
      <c r="Q162" t="n">
        <v>4</v>
      </c>
      <c r="R162" t="n">
        <v>3</v>
      </c>
      <c r="S162" s="3" t="n">
        <v>93205</v>
      </c>
      <c r="T162" t="n">
        <v>1</v>
      </c>
      <c r="U162" t="n">
        <v>0</v>
      </c>
      <c r="V162" t="n">
        <v>0</v>
      </c>
      <c r="W162" t="n">
        <v>0</v>
      </c>
      <c r="X162" t="inlineStr">
        <is>
          <t>low</t>
        </is>
      </c>
      <c r="Y162" s="3">
        <f>Q162*1000000</f>
        <v/>
      </c>
      <c r="Z162" s="3">
        <f>365*R162*S162*T162</f>
        <v/>
      </c>
      <c r="AA162" s="4">
        <f>Y162/Z162</f>
        <v/>
      </c>
      <c r="AB162" s="4">
        <f>Q162*1000000/(365*R162*S162)</f>
        <v/>
      </c>
      <c r="AC162">
        <f>RANK(AA162,$AA$2:$AA$395,0)</f>
        <v/>
      </c>
    </row>
    <row r="163">
      <c r="A163" t="inlineStr">
        <is>
          <t>zone_275</t>
        </is>
      </c>
      <c r="B163" t="inlineStr">
        <is>
          <t>แยกเข้ามีนบุรี - คลองหลวงแพ่ง</t>
        </is>
      </c>
      <c r="C163" t="inlineStr">
        <is>
          <t>กรุงเทพมหานคร</t>
        </is>
      </c>
      <c r="D163" t="n">
        <v>304</v>
      </c>
      <c r="E163" t="inlineStr">
        <is>
          <t>0203</t>
        </is>
      </c>
      <c r="F163" t="inlineStr">
        <is>
          <t>37–37.26</t>
        </is>
      </c>
      <c r="G163" t="n">
        <v>13.809149</v>
      </c>
      <c r="H163" t="n">
        <v>100.816174</v>
      </c>
      <c r="I163" t="inlineStr">
        <is>
          <t>hods_aadt_pnt_2568.fid-6461857d_1a0f2643074_4c28</t>
        </is>
      </c>
      <c r="J163" t="inlineStr">
        <is>
          <t>แยกเข้ามีนบุรี - คลองหลวงแพ่ง</t>
        </is>
      </c>
      <c r="K163" t="inlineStr">
        <is>
          <t>28+250</t>
        </is>
      </c>
      <c r="L163" t="inlineStr">
        <is>
          <t>สถานีย่อย (C)</t>
        </is>
      </c>
      <c r="M163" t="n">
        <v>2</v>
      </c>
      <c r="N163" t="n">
        <v>13.819379</v>
      </c>
      <c r="O163" t="n">
        <v>100.736014</v>
      </c>
      <c r="P163" t="n">
        <v>8.73</v>
      </c>
      <c r="Q163" t="n">
        <v>5</v>
      </c>
      <c r="R163" t="n">
        <v>3</v>
      </c>
      <c r="S163" s="3" t="n">
        <v>78286</v>
      </c>
      <c r="T163" t="n">
        <v>1</v>
      </c>
      <c r="U163" t="n">
        <v>0</v>
      </c>
      <c r="V163" t="n">
        <v>2</v>
      </c>
      <c r="W163" t="n">
        <v>0.4</v>
      </c>
      <c r="X163" t="inlineStr">
        <is>
          <t>low</t>
        </is>
      </c>
      <c r="Y163" s="3">
        <f>Q163*1000000</f>
        <v/>
      </c>
      <c r="Z163" s="3">
        <f>365*R163*S163*T163</f>
        <v/>
      </c>
      <c r="AA163" s="4">
        <f>Y163/Z163</f>
        <v/>
      </c>
      <c r="AB163" s="4">
        <f>Q163*1000000/(365*R163*S163)</f>
        <v/>
      </c>
      <c r="AC163">
        <f>RANK(AA163,$AA$2:$AA$395,0)</f>
        <v/>
      </c>
    </row>
    <row r="164">
      <c r="A164" t="inlineStr">
        <is>
          <t>zone_276</t>
        </is>
      </c>
      <c r="B164" t="inlineStr">
        <is>
          <t>แยกเข้ามีนบุรี - คลองหลวงแพ่ง</t>
        </is>
      </c>
      <c r="C164" t="inlineStr">
        <is>
          <t>กรุงเทพมหานคร</t>
        </is>
      </c>
      <c r="D164" t="n">
        <v>304</v>
      </c>
      <c r="E164" t="inlineStr">
        <is>
          <t>0203</t>
        </is>
      </c>
      <c r="F164" t="inlineStr">
        <is>
          <t>39.08–39.24</t>
        </is>
      </c>
      <c r="G164" t="n">
        <v>13.807502</v>
      </c>
      <c r="H164" t="n">
        <v>100.833962</v>
      </c>
      <c r="I164" t="inlineStr">
        <is>
          <t>hods_aadt_pnt_2568.fid-6461857d_1a0f2643074_4c28</t>
        </is>
      </c>
      <c r="J164" t="inlineStr">
        <is>
          <t>แยกเข้ามีนบุรี - คลองหลวงแพ่ง</t>
        </is>
      </c>
      <c r="K164" t="inlineStr">
        <is>
          <t>28+250</t>
        </is>
      </c>
      <c r="L164" t="inlineStr">
        <is>
          <t>สถานีย่อย (C)</t>
        </is>
      </c>
      <c r="M164" t="n">
        <v>2</v>
      </c>
      <c r="N164" t="n">
        <v>13.819379</v>
      </c>
      <c r="O164" t="n">
        <v>100.736014</v>
      </c>
      <c r="P164" t="n">
        <v>10.66</v>
      </c>
      <c r="Q164" t="n">
        <v>3</v>
      </c>
      <c r="R164" t="n">
        <v>3</v>
      </c>
      <c r="S164" s="3" t="n">
        <v>78286</v>
      </c>
      <c r="T164" t="n">
        <v>1</v>
      </c>
      <c r="U164" t="n">
        <v>0</v>
      </c>
      <c r="V164" t="n">
        <v>1</v>
      </c>
      <c r="W164" t="n">
        <v>0.3333</v>
      </c>
      <c r="X164" t="inlineStr">
        <is>
          <t>low</t>
        </is>
      </c>
      <c r="Y164" s="3">
        <f>Q164*1000000</f>
        <v/>
      </c>
      <c r="Z164" s="3">
        <f>365*R164*S164*T164</f>
        <v/>
      </c>
      <c r="AA164" s="4">
        <f>Y164/Z164</f>
        <v/>
      </c>
      <c r="AB164" s="4">
        <f>Q164*1000000/(365*R164*S164)</f>
        <v/>
      </c>
      <c r="AC164">
        <f>RANK(AA164,$AA$2:$AA$395,0)</f>
        <v/>
      </c>
    </row>
    <row r="165">
      <c r="A165" t="inlineStr">
        <is>
          <t>zone_277</t>
        </is>
      </c>
      <c r="B165" t="inlineStr">
        <is>
          <t>แยกเข้ามีนบุรี - คลองหลวงแพ่ง</t>
        </is>
      </c>
      <c r="C165" t="inlineStr">
        <is>
          <t>กรุงเทพมหานคร</t>
        </is>
      </c>
      <c r="D165" t="n">
        <v>304</v>
      </c>
      <c r="E165" t="inlineStr">
        <is>
          <t>0203</t>
        </is>
      </c>
      <c r="F165" t="inlineStr">
        <is>
          <t>39.09–39.15</t>
        </is>
      </c>
      <c r="G165" t="n">
        <v>13.807492</v>
      </c>
      <c r="H165" t="n">
        <v>100.834054</v>
      </c>
      <c r="I165" t="inlineStr">
        <is>
          <t>hods_aadt_pnt_2568.fid-6461857d_1a0f2643074_4c28</t>
        </is>
      </c>
      <c r="J165" t="inlineStr">
        <is>
          <t>แยกเข้ามีนบุรี - คลองหลวงแพ่ง</t>
        </is>
      </c>
      <c r="K165" t="inlineStr">
        <is>
          <t>28+250</t>
        </is>
      </c>
      <c r="L165" t="inlineStr">
        <is>
          <t>สถานีย่อย (C)</t>
        </is>
      </c>
      <c r="M165" t="n">
        <v>2</v>
      </c>
      <c r="N165" t="n">
        <v>13.819379</v>
      </c>
      <c r="O165" t="n">
        <v>100.736014</v>
      </c>
      <c r="P165" t="n">
        <v>10.67</v>
      </c>
      <c r="Q165" t="n">
        <v>4</v>
      </c>
      <c r="R165" t="n">
        <v>3</v>
      </c>
      <c r="S165" s="3" t="n">
        <v>78286</v>
      </c>
      <c r="T165" t="n">
        <v>1</v>
      </c>
      <c r="U165" t="n">
        <v>0</v>
      </c>
      <c r="V165" t="n">
        <v>0</v>
      </c>
      <c r="W165" t="n">
        <v>0</v>
      </c>
      <c r="X165" t="inlineStr">
        <is>
          <t>low</t>
        </is>
      </c>
      <c r="Y165" s="3">
        <f>Q165*1000000</f>
        <v/>
      </c>
      <c r="Z165" s="3">
        <f>365*R165*S165*T165</f>
        <v/>
      </c>
      <c r="AA165" s="4">
        <f>Y165/Z165</f>
        <v/>
      </c>
      <c r="AB165" s="4">
        <f>Q165*1000000/(365*R165*S165)</f>
        <v/>
      </c>
      <c r="AC165">
        <f>RANK(AA165,$AA$2:$AA$395,0)</f>
        <v/>
      </c>
    </row>
    <row r="166">
      <c r="A166" t="inlineStr">
        <is>
          <t>zone_279</t>
        </is>
      </c>
      <c r="B166" t="inlineStr">
        <is>
          <t>พระราม7 - แคราย</t>
        </is>
      </c>
      <c r="C166" t="inlineStr">
        <is>
          <t>กรุงเทพมหานคร</t>
        </is>
      </c>
      <c r="D166" t="n">
        <v>306</v>
      </c>
      <c r="E166" t="inlineStr">
        <is>
          <t>0101</t>
        </is>
      </c>
      <c r="F166" t="inlineStr">
        <is>
          <t>0.645–0.73</t>
        </is>
      </c>
      <c r="G166" t="n">
        <v>13.819705</v>
      </c>
      <c r="H166" t="n">
        <v>100.510454</v>
      </c>
      <c r="I166" t="inlineStr">
        <is>
          <t>hods_aadt_pnt_2568.fid-6461857d_1a0f2643074_4c38</t>
        </is>
      </c>
      <c r="J166" t="inlineStr">
        <is>
          <t>พระราม7 - แคราย</t>
        </is>
      </c>
      <c r="K166" t="inlineStr">
        <is>
          <t>1+000</t>
        </is>
      </c>
      <c r="L166" t="inlineStr">
        <is>
          <t>สถานีย่อย (C)</t>
        </is>
      </c>
      <c r="M166" t="n">
        <v>1</v>
      </c>
      <c r="N166" t="n">
        <v>13.827397</v>
      </c>
      <c r="O166" t="n">
        <v>100.502593</v>
      </c>
      <c r="P166" t="n">
        <v>1.21</v>
      </c>
      <c r="Q166" t="n">
        <v>3</v>
      </c>
      <c r="R166" t="n">
        <v>3</v>
      </c>
      <c r="S166" s="3" t="n">
        <v>92599</v>
      </c>
      <c r="T166" t="n">
        <v>1</v>
      </c>
      <c r="U166" t="n">
        <v>0</v>
      </c>
      <c r="V166" t="n">
        <v>1</v>
      </c>
      <c r="W166" t="n">
        <v>0.3333</v>
      </c>
      <c r="X166" t="inlineStr">
        <is>
          <t>low</t>
        </is>
      </c>
      <c r="Y166" s="3">
        <f>Q166*1000000</f>
        <v/>
      </c>
      <c r="Z166" s="3">
        <f>365*R166*S166*T166</f>
        <v/>
      </c>
      <c r="AA166" s="4">
        <f>Y166/Z166</f>
        <v/>
      </c>
      <c r="AB166" s="4">
        <f>Q166*1000000/(365*R166*S166)</f>
        <v/>
      </c>
      <c r="AC166">
        <f>RANK(AA166,$AA$2:$AA$395,0)</f>
        <v/>
      </c>
    </row>
    <row r="167">
      <c r="A167" t="inlineStr">
        <is>
          <t>zone_287</t>
        </is>
      </c>
      <c r="B167" t="inlineStr">
        <is>
          <t>แยกเข้ามีนบุรี - คลองหลวงแพ่ง</t>
        </is>
      </c>
      <c r="C167" t="inlineStr">
        <is>
          <t>กรุงเทพมหานคร</t>
        </is>
      </c>
      <c r="D167" t="n">
        <v>304</v>
      </c>
      <c r="E167" t="inlineStr">
        <is>
          <t>0203</t>
        </is>
      </c>
      <c r="F167" t="inlineStr">
        <is>
          <t>37.5–37.8</t>
        </is>
      </c>
      <c r="G167" t="n">
        <v>13.808433</v>
      </c>
      <c r="H167" t="n">
        <v>100.821218</v>
      </c>
      <c r="I167" t="inlineStr">
        <is>
          <t>hods_aadt_pnt_2568.fid-6461857d_1a0f2643074_4c28</t>
        </is>
      </c>
      <c r="J167" t="inlineStr">
        <is>
          <t>แยกเข้ามีนบุรี - คลองหลวงแพ่ง</t>
        </is>
      </c>
      <c r="K167" t="inlineStr">
        <is>
          <t>28+250</t>
        </is>
      </c>
      <c r="L167" t="inlineStr">
        <is>
          <t>สถานีย่อย (C)</t>
        </is>
      </c>
      <c r="M167" t="n">
        <v>2</v>
      </c>
      <c r="N167" t="n">
        <v>13.819379</v>
      </c>
      <c r="O167" t="n">
        <v>100.736014</v>
      </c>
      <c r="P167" t="n">
        <v>9.279999999999999</v>
      </c>
      <c r="Q167" t="n">
        <v>4</v>
      </c>
      <c r="R167" t="n">
        <v>3</v>
      </c>
      <c r="S167" s="3" t="n">
        <v>78286</v>
      </c>
      <c r="T167" t="n">
        <v>1</v>
      </c>
      <c r="U167" t="n">
        <v>1</v>
      </c>
      <c r="V167" t="n">
        <v>1</v>
      </c>
      <c r="W167" t="n">
        <v>0.5</v>
      </c>
      <c r="X167" t="inlineStr">
        <is>
          <t>low</t>
        </is>
      </c>
      <c r="Y167" s="3">
        <f>Q167*1000000</f>
        <v/>
      </c>
      <c r="Z167" s="3">
        <f>365*R167*S167*T167</f>
        <v/>
      </c>
      <c r="AA167" s="4">
        <f>Y167/Z167</f>
        <v/>
      </c>
      <c r="AB167" s="4">
        <f>Q167*1000000/(365*R167*S167)</f>
        <v/>
      </c>
      <c r="AC167">
        <f>RANK(AA167,$AA$2:$AA$395,0)</f>
        <v/>
      </c>
    </row>
    <row r="168">
      <c r="A168" t="inlineStr">
        <is>
          <t>zone_293</t>
        </is>
      </c>
      <c r="B168" t="inlineStr">
        <is>
          <t>แยกเข้ามีนบุรี - คลองหลวงแพ่ง</t>
        </is>
      </c>
      <c r="C168" t="inlineStr">
        <is>
          <t>กรุงเทพมหานคร</t>
        </is>
      </c>
      <c r="D168" t="n">
        <v>304</v>
      </c>
      <c r="E168" t="inlineStr">
        <is>
          <t>0203</t>
        </is>
      </c>
      <c r="F168" t="inlineStr">
        <is>
          <t>48.83–49.25</t>
        </is>
      </c>
      <c r="G168" t="n">
        <v>13.809867</v>
      </c>
      <c r="H168" t="n">
        <v>100.923439</v>
      </c>
      <c r="I168" t="inlineStr">
        <is>
          <t>hods_aadt_pnt_2568.fid-6461857d_1a0f2643074_4c28</t>
        </is>
      </c>
      <c r="J168" t="inlineStr">
        <is>
          <t>แยกเข้ามีนบุรี - คลองหลวงแพ่ง</t>
        </is>
      </c>
      <c r="K168" t="inlineStr">
        <is>
          <t>28+250</t>
        </is>
      </c>
      <c r="L168" t="inlineStr">
        <is>
          <t>สถานีย่อย (C)</t>
        </is>
      </c>
      <c r="M168" t="n">
        <v>2</v>
      </c>
      <c r="N168" t="n">
        <v>13.819379</v>
      </c>
      <c r="O168" t="n">
        <v>100.736014</v>
      </c>
      <c r="P168" t="n">
        <v>20.27</v>
      </c>
      <c r="Q168" t="n">
        <v>3</v>
      </c>
      <c r="R168" t="n">
        <v>3</v>
      </c>
      <c r="S168" s="3" t="n">
        <v>78286</v>
      </c>
      <c r="T168" t="n">
        <v>1</v>
      </c>
      <c r="U168" t="n">
        <v>0</v>
      </c>
      <c r="V168" t="n">
        <v>0</v>
      </c>
      <c r="W168" t="n">
        <v>0</v>
      </c>
      <c r="X168" t="inlineStr">
        <is>
          <t>low</t>
        </is>
      </c>
      <c r="Y168" s="3">
        <f>Q168*1000000</f>
        <v/>
      </c>
      <c r="Z168" s="3">
        <f>365*R168*S168*T168</f>
        <v/>
      </c>
      <c r="AA168" s="4">
        <f>Y168/Z168</f>
        <v/>
      </c>
      <c r="AB168" s="4">
        <f>Q168*1000000/(365*R168*S168)</f>
        <v/>
      </c>
      <c r="AC168">
        <f>RANK(AA168,$AA$2:$AA$395,0)</f>
        <v/>
      </c>
    </row>
    <row r="169">
      <c r="A169" t="inlineStr">
        <is>
          <t>zone_312</t>
        </is>
      </c>
      <c r="B169" t="inlineStr">
        <is>
          <t>คลองประปา - คันนายาว</t>
        </is>
      </c>
      <c r="C169" t="inlineStr">
        <is>
          <t>กรุงเทพมหานคร</t>
        </is>
      </c>
      <c r="D169" t="n">
        <v>304</v>
      </c>
      <c r="E169" t="inlineStr">
        <is>
          <t>0201</t>
        </is>
      </c>
      <c r="F169" t="inlineStr">
        <is>
          <t>18.864–18.939</t>
        </is>
      </c>
      <c r="G169" t="n">
        <v>13.838708</v>
      </c>
      <c r="H169" t="n">
        <v>100.662362</v>
      </c>
      <c r="I169" t="inlineStr">
        <is>
          <t>hods_aadt_pnt_2568.fid-6461857d_1a0f2643074_4c26</t>
        </is>
      </c>
      <c r="J169" t="inlineStr">
        <is>
          <t>คลองประปา - คันนายาว</t>
        </is>
      </c>
      <c r="K169" t="inlineStr">
        <is>
          <t>18+610</t>
        </is>
      </c>
      <c r="L169" t="inlineStr">
        <is>
          <t>สถานีย่อย (C)</t>
        </is>
      </c>
      <c r="M169" t="n">
        <v>2</v>
      </c>
      <c r="N169" t="n">
        <v>13.840021</v>
      </c>
      <c r="O169" t="n">
        <v>100.659832</v>
      </c>
      <c r="P169" t="n">
        <v>0.31</v>
      </c>
      <c r="Q169" t="n">
        <v>3</v>
      </c>
      <c r="R169" t="n">
        <v>3</v>
      </c>
      <c r="S169" s="3" t="n">
        <v>93205</v>
      </c>
      <c r="T169" t="n">
        <v>1</v>
      </c>
      <c r="U169" t="n">
        <v>0</v>
      </c>
      <c r="V169" t="n">
        <v>1</v>
      </c>
      <c r="W169" t="n">
        <v>0.3333</v>
      </c>
      <c r="X169" t="inlineStr">
        <is>
          <t>low</t>
        </is>
      </c>
      <c r="Y169" s="3">
        <f>Q169*1000000</f>
        <v/>
      </c>
      <c r="Z169" s="3">
        <f>365*R169*S169*T169</f>
        <v/>
      </c>
      <c r="AA169" s="4">
        <f>Y169/Z169</f>
        <v/>
      </c>
      <c r="AB169" s="4">
        <f>Q169*1000000/(365*R169*S169)</f>
        <v/>
      </c>
      <c r="AC169">
        <f>RANK(AA169,$AA$2:$AA$395,0)</f>
        <v/>
      </c>
    </row>
    <row r="170">
      <c r="A170" t="inlineStr">
        <is>
          <t>zone_318</t>
        </is>
      </c>
      <c r="B170" t="inlineStr">
        <is>
          <t>อรุณอมรินทร์ - พุทธมณฑลสาย4</t>
        </is>
      </c>
      <c r="C170" t="inlineStr">
        <is>
          <t>กรุงเทพมหานคร</t>
        </is>
      </c>
      <c r="D170" t="n">
        <v>338</v>
      </c>
      <c r="E170" t="inlineStr">
        <is>
          <t>0102</t>
        </is>
      </c>
      <c r="F170" t="inlineStr">
        <is>
          <t>4.13–4.4</t>
        </is>
      </c>
      <c r="G170" t="n">
        <v>13.777535</v>
      </c>
      <c r="H170" t="n">
        <v>100.39495</v>
      </c>
      <c r="I170" t="inlineStr">
        <is>
          <t>hods_aadt_pnt_2568.fid-6461857d_1a0f2643074_4c96</t>
        </is>
      </c>
      <c r="J170" t="inlineStr">
        <is>
          <t>ทางยกระดับบางกอกน้อย - นครชัยศรี</t>
        </is>
      </c>
      <c r="K170" t="inlineStr">
        <is>
          <t>2+164</t>
        </is>
      </c>
      <c r="L170" t="inlineStr">
        <is>
          <t>สถานีย่อย (C)</t>
        </is>
      </c>
      <c r="M170" t="n">
        <v>2</v>
      </c>
      <c r="N170" t="n">
        <v>13.780577</v>
      </c>
      <c r="O170" t="n">
        <v>100.432289</v>
      </c>
      <c r="P170" t="n">
        <v>4.05</v>
      </c>
      <c r="Q170" t="n">
        <v>4</v>
      </c>
      <c r="R170" t="n">
        <v>3</v>
      </c>
      <c r="S170" s="3" t="n">
        <v>69899</v>
      </c>
      <c r="T170" t="n">
        <v>1</v>
      </c>
      <c r="U170" t="n">
        <v>0</v>
      </c>
      <c r="V170" t="n">
        <v>3</v>
      </c>
      <c r="W170" t="n">
        <v>0.75</v>
      </c>
      <c r="X170" t="inlineStr">
        <is>
          <t>low</t>
        </is>
      </c>
      <c r="Y170" s="3">
        <f>Q170*1000000</f>
        <v/>
      </c>
      <c r="Z170" s="3">
        <f>365*R170*S170*T170</f>
        <v/>
      </c>
      <c r="AA170" s="4">
        <f>Y170/Z170</f>
        <v/>
      </c>
      <c r="AB170" s="4">
        <f>Q170*1000000/(365*R170*S170)</f>
        <v/>
      </c>
      <c r="AC170">
        <f>RANK(AA170,$AA$2:$AA$395,0)</f>
        <v/>
      </c>
    </row>
    <row r="171">
      <c r="A171" t="inlineStr">
        <is>
          <t>zone_319</t>
        </is>
      </c>
      <c r="B171" t="inlineStr">
        <is>
          <t>อรุณอมรินทร์ - พุทธมณฑลสาย4</t>
        </is>
      </c>
      <c r="C171" t="inlineStr">
        <is>
          <t>กรุงเทพมหานคร</t>
        </is>
      </c>
      <c r="D171" t="n">
        <v>338</v>
      </c>
      <c r="E171" t="inlineStr">
        <is>
          <t>0101</t>
        </is>
      </c>
      <c r="F171" t="inlineStr">
        <is>
          <t>5.023–6.065</t>
        </is>
      </c>
      <c r="G171" t="n">
        <v>13.791814</v>
      </c>
      <c r="H171" t="n">
        <v>100.394649</v>
      </c>
      <c r="I171" t="inlineStr">
        <is>
          <t>hods_aadt_pnt_2568.fid-6461857d_1a0f2643074_4c95</t>
        </is>
      </c>
      <c r="J171" t="inlineStr">
        <is>
          <t>อรุณอมรินทร์ - พุทธมณฑลสาย4</t>
        </is>
      </c>
      <c r="K171" t="inlineStr">
        <is>
          <t>9+281</t>
        </is>
      </c>
      <c r="L171" t="inlineStr">
        <is>
          <t>สถานีย่อย (C)</t>
        </is>
      </c>
      <c r="M171" t="n">
        <v>2</v>
      </c>
      <c r="N171" t="n">
        <v>13.78557</v>
      </c>
      <c r="O171" t="n">
        <v>100.386882</v>
      </c>
      <c r="P171" t="n">
        <v>1.09</v>
      </c>
      <c r="Q171" t="n">
        <v>4</v>
      </c>
      <c r="R171" t="n">
        <v>3</v>
      </c>
      <c r="S171" s="3" t="n">
        <v>145895</v>
      </c>
      <c r="T171" t="n">
        <v>1</v>
      </c>
      <c r="U171" t="n">
        <v>0</v>
      </c>
      <c r="V171" t="n">
        <v>7</v>
      </c>
      <c r="W171" t="n">
        <v>1.75</v>
      </c>
      <c r="X171" t="inlineStr">
        <is>
          <t>medium</t>
        </is>
      </c>
      <c r="Y171" s="3">
        <f>Q171*1000000</f>
        <v/>
      </c>
      <c r="Z171" s="3">
        <f>365*R171*S171*T171</f>
        <v/>
      </c>
      <c r="AA171" s="4">
        <f>Y171/Z171</f>
        <v/>
      </c>
      <c r="AB171" s="4">
        <f>Q171*1000000/(365*R171*S171)</f>
        <v/>
      </c>
      <c r="AC171">
        <f>RANK(AA171,$AA$2:$AA$395,0)</f>
        <v/>
      </c>
    </row>
    <row r="172">
      <c r="A172" t="inlineStr">
        <is>
          <t>zone_320</t>
        </is>
      </c>
      <c r="B172" t="inlineStr">
        <is>
          <t>คลองบางไผ่ - คลองบางหลวง</t>
        </is>
      </c>
      <c r="C172" t="inlineStr">
        <is>
          <t>นนทบุรี</t>
        </is>
      </c>
      <c r="D172" t="n">
        <v>3901</v>
      </c>
      <c r="E172" t="inlineStr">
        <is>
          <t>0202</t>
        </is>
      </c>
      <c r="F172" t="inlineStr">
        <is>
          <t>47.5–48.7</t>
        </is>
      </c>
      <c r="G172" t="n">
        <v>13.939303</v>
      </c>
      <c r="H172" t="n">
        <v>100.418372</v>
      </c>
      <c r="I172" t="inlineStr">
        <is>
          <t>hods_aadt_pnt_2568.fid-6461857d_1a0f2643074_5317</t>
        </is>
      </c>
      <c r="J172" t="inlineStr">
        <is>
          <t>คลองบางไผ่ - คลองบางหลวง</t>
        </is>
      </c>
      <c r="K172" t="inlineStr">
        <is>
          <t>46+472</t>
        </is>
      </c>
      <c r="L172" t="inlineStr">
        <is>
          <t>สถานีย่อย (C)</t>
        </is>
      </c>
      <c r="M172" t="n">
        <v>1</v>
      </c>
      <c r="N172" t="n">
        <v>13.92182</v>
      </c>
      <c r="O172" t="n">
        <v>100.412147</v>
      </c>
      <c r="P172" t="n">
        <v>2.06</v>
      </c>
      <c r="Q172" t="n">
        <v>3</v>
      </c>
      <c r="R172" t="n">
        <v>3</v>
      </c>
      <c r="S172" s="3" t="n">
        <v>69929</v>
      </c>
      <c r="T172" t="n">
        <v>1</v>
      </c>
      <c r="U172" t="n">
        <v>0</v>
      </c>
      <c r="V172" t="n">
        <v>4</v>
      </c>
      <c r="W172" t="n">
        <v>1.3333</v>
      </c>
      <c r="X172" t="inlineStr">
        <is>
          <t>medium</t>
        </is>
      </c>
      <c r="Y172" s="3">
        <f>Q172*1000000</f>
        <v/>
      </c>
      <c r="Z172" s="3">
        <f>365*R172*S172*T172</f>
        <v/>
      </c>
      <c r="AA172" s="4">
        <f>Y172/Z172</f>
        <v/>
      </c>
      <c r="AB172" s="4">
        <f>Q172*1000000/(365*R172*S172)</f>
        <v/>
      </c>
      <c r="AC172">
        <f>RANK(AA172,$AA$2:$AA$395,0)</f>
        <v/>
      </c>
    </row>
    <row r="173">
      <c r="A173" t="inlineStr">
        <is>
          <t>zone_321</t>
        </is>
      </c>
      <c r="B173" t="inlineStr">
        <is>
          <t>บางบัวทอง - บางคูวัด</t>
        </is>
      </c>
      <c r="C173" t="inlineStr">
        <is>
          <t>นนทบุรี</t>
        </is>
      </c>
      <c r="D173" t="n">
        <v>345</v>
      </c>
      <c r="E173" t="inlineStr">
        <is>
          <t>0100</t>
        </is>
      </c>
      <c r="F173" t="inlineStr">
        <is>
          <t>0.31–0.55</t>
        </is>
      </c>
      <c r="G173" t="n">
        <v>13.941914</v>
      </c>
      <c r="H173" t="n">
        <v>100.422548</v>
      </c>
      <c r="I173" t="inlineStr">
        <is>
          <t>hods_aadt_pnt_2568.fid-6461857d_1a0f2643074_4ca5</t>
        </is>
      </c>
      <c r="J173" t="inlineStr">
        <is>
          <t>บางบัวทอง - บางคูวัด</t>
        </is>
      </c>
      <c r="K173" t="inlineStr">
        <is>
          <t>6+300</t>
        </is>
      </c>
      <c r="L173" t="inlineStr">
        <is>
          <t>สถานีย่อย (C)</t>
        </is>
      </c>
      <c r="M173" t="n">
        <v>1</v>
      </c>
      <c r="N173" t="n">
        <v>13.953347</v>
      </c>
      <c r="O173" t="n">
        <v>100.474904</v>
      </c>
      <c r="P173" t="n">
        <v>5.79</v>
      </c>
      <c r="Q173" t="n">
        <v>5</v>
      </c>
      <c r="R173" t="n">
        <v>3</v>
      </c>
      <c r="S173" s="3" t="n">
        <v>67169</v>
      </c>
      <c r="T173" t="n">
        <v>1</v>
      </c>
      <c r="U173" t="n">
        <v>0</v>
      </c>
      <c r="V173" t="n">
        <v>0</v>
      </c>
      <c r="W173" t="n">
        <v>0</v>
      </c>
      <c r="X173" t="inlineStr">
        <is>
          <t>low</t>
        </is>
      </c>
      <c r="Y173" s="3">
        <f>Q173*1000000</f>
        <v/>
      </c>
      <c r="Z173" s="3">
        <f>365*R173*S173*T173</f>
        <v/>
      </c>
      <c r="AA173" s="4">
        <f>Y173/Z173</f>
        <v/>
      </c>
      <c r="AB173" s="4">
        <f>Q173*1000000/(365*R173*S173)</f>
        <v/>
      </c>
      <c r="AC173">
        <f>RANK(AA173,$AA$2:$AA$395,0)</f>
        <v/>
      </c>
    </row>
    <row r="174">
      <c r="A174" t="inlineStr">
        <is>
          <t>zone_324</t>
        </is>
      </c>
      <c r="B174" t="inlineStr">
        <is>
          <t>บางบัวทอง - ไทรน้อย</t>
        </is>
      </c>
      <c r="C174" t="inlineStr">
        <is>
          <t>นนทบุรี</t>
        </is>
      </c>
      <c r="D174" t="n">
        <v>3215</v>
      </c>
      <c r="E174" t="inlineStr">
        <is>
          <t>0102</t>
        </is>
      </c>
      <c r="F174" t="inlineStr">
        <is>
          <t>15.43–15.7</t>
        </is>
      </c>
      <c r="G174" t="n">
        <v>13.932343</v>
      </c>
      <c r="H174" t="n">
        <v>100.40135</v>
      </c>
      <c r="I174" t="inlineStr">
        <is>
          <t>hods_aadt_pnt_2568.fid-6461857d_1a0f2643074_51d5</t>
        </is>
      </c>
      <c r="J174" t="inlineStr">
        <is>
          <t>บางบัวทอง - ไทรน้อย</t>
        </is>
      </c>
      <c r="K174" t="inlineStr">
        <is>
          <t>14+705</t>
        </is>
      </c>
      <c r="L174" t="inlineStr">
        <is>
          <t>สถานีย่อย (C)</t>
        </is>
      </c>
      <c r="M174" t="n">
        <v>1</v>
      </c>
      <c r="N174" t="n">
        <v>13.928348</v>
      </c>
      <c r="O174" t="n">
        <v>100.40813</v>
      </c>
      <c r="P174" t="n">
        <v>0.86</v>
      </c>
      <c r="Q174" t="n">
        <v>3</v>
      </c>
      <c r="R174" t="n">
        <v>3</v>
      </c>
      <c r="S174" s="3" t="n">
        <v>55613</v>
      </c>
      <c r="T174" t="n">
        <v>1</v>
      </c>
      <c r="U174" t="n">
        <v>0</v>
      </c>
      <c r="V174" t="n">
        <v>1</v>
      </c>
      <c r="W174" t="n">
        <v>0.3333</v>
      </c>
      <c r="X174" t="inlineStr">
        <is>
          <t>low</t>
        </is>
      </c>
      <c r="Y174" s="3">
        <f>Q174*1000000</f>
        <v/>
      </c>
      <c r="Z174" s="3">
        <f>365*R174*S174*T174</f>
        <v/>
      </c>
      <c r="AA174" s="4">
        <f>Y174/Z174</f>
        <v/>
      </c>
      <c r="AB174" s="4">
        <f>Q174*1000000/(365*R174*S174)</f>
        <v/>
      </c>
      <c r="AC174">
        <f>RANK(AA174,$AA$2:$AA$395,0)</f>
        <v/>
      </c>
    </row>
    <row r="175">
      <c r="A175" t="inlineStr">
        <is>
          <t>zone_325</t>
        </is>
      </c>
      <c r="B175" t="inlineStr">
        <is>
          <t>บางบัวทอง - ไทรน้อย</t>
        </is>
      </c>
      <c r="C175" t="inlineStr">
        <is>
          <t>นนทบุรี</t>
        </is>
      </c>
      <c r="D175" t="n">
        <v>3215</v>
      </c>
      <c r="E175" t="inlineStr">
        <is>
          <t>0102</t>
        </is>
      </c>
      <c r="F175" t="inlineStr">
        <is>
          <t>18.51–18.6</t>
        </is>
      </c>
      <c r="G175" t="n">
        <v>13.947294</v>
      </c>
      <c r="H175" t="n">
        <v>100.378232</v>
      </c>
      <c r="I175" t="inlineStr">
        <is>
          <t>hods_aadt_pnt_2568.fid-6461857d_1a0f2643074_51d5</t>
        </is>
      </c>
      <c r="J175" t="inlineStr">
        <is>
          <t>บางบัวทอง - ไทรน้อย</t>
        </is>
      </c>
      <c r="K175" t="inlineStr">
        <is>
          <t>14+705</t>
        </is>
      </c>
      <c r="L175" t="inlineStr">
        <is>
          <t>สถานีย่อย (C)</t>
        </is>
      </c>
      <c r="M175" t="n">
        <v>1</v>
      </c>
      <c r="N175" t="n">
        <v>13.928348</v>
      </c>
      <c r="O175" t="n">
        <v>100.40813</v>
      </c>
      <c r="P175" t="n">
        <v>3.85</v>
      </c>
      <c r="Q175" t="n">
        <v>3</v>
      </c>
      <c r="R175" t="n">
        <v>3</v>
      </c>
      <c r="S175" s="3" t="n">
        <v>55613</v>
      </c>
      <c r="T175" t="n">
        <v>1</v>
      </c>
      <c r="U175" t="n">
        <v>0</v>
      </c>
      <c r="V175" t="n">
        <v>1</v>
      </c>
      <c r="W175" t="n">
        <v>0.3333</v>
      </c>
      <c r="X175" t="inlineStr">
        <is>
          <t>low</t>
        </is>
      </c>
      <c r="Y175" s="3">
        <f>Q175*1000000</f>
        <v/>
      </c>
      <c r="Z175" s="3">
        <f>365*R175*S175*T175</f>
        <v/>
      </c>
      <c r="AA175" s="4">
        <f>Y175/Z175</f>
        <v/>
      </c>
      <c r="AB175" s="4">
        <f>Q175*1000000/(365*R175*S175)</f>
        <v/>
      </c>
      <c r="AC175">
        <f>RANK(AA175,$AA$2:$AA$395,0)</f>
        <v/>
      </c>
    </row>
    <row r="176">
      <c r="A176" t="inlineStr">
        <is>
          <t>zone_326</t>
        </is>
      </c>
      <c r="B176" t="inlineStr">
        <is>
          <t>คลองบางไผ่ - คลองบางหลวง</t>
        </is>
      </c>
      <c r="C176" t="inlineStr">
        <is>
          <t>นนทบุรี</t>
        </is>
      </c>
      <c r="D176" t="n">
        <v>3901</v>
      </c>
      <c r="E176" t="inlineStr">
        <is>
          <t>0202</t>
        </is>
      </c>
      <c r="F176" t="inlineStr">
        <is>
          <t>43.595–44.35</t>
        </is>
      </c>
      <c r="G176" t="n">
        <v>13.903352</v>
      </c>
      <c r="H176" t="n">
        <v>100.407097</v>
      </c>
      <c r="I176" t="inlineStr">
        <is>
          <t>hods_aadt_pnt_2568.fid-6461857d_1a0f2643074_5317</t>
        </is>
      </c>
      <c r="J176" t="inlineStr">
        <is>
          <t>คลองบางไผ่ - คลองบางหลวง</t>
        </is>
      </c>
      <c r="K176" t="inlineStr">
        <is>
          <t>46+472</t>
        </is>
      </c>
      <c r="L176" t="inlineStr">
        <is>
          <t>สถานีย่อย (C)</t>
        </is>
      </c>
      <c r="M176" t="n">
        <v>1</v>
      </c>
      <c r="N176" t="n">
        <v>13.92182</v>
      </c>
      <c r="O176" t="n">
        <v>100.412147</v>
      </c>
      <c r="P176" t="n">
        <v>2.12</v>
      </c>
      <c r="Q176" t="n">
        <v>3</v>
      </c>
      <c r="R176" t="n">
        <v>3</v>
      </c>
      <c r="S176" s="3" t="n">
        <v>69929</v>
      </c>
      <c r="T176" t="n">
        <v>1</v>
      </c>
      <c r="U176" t="n">
        <v>0</v>
      </c>
      <c r="V176" t="n">
        <v>3</v>
      </c>
      <c r="W176" t="n">
        <v>1</v>
      </c>
      <c r="X176" t="inlineStr">
        <is>
          <t>medium</t>
        </is>
      </c>
      <c r="Y176" s="3">
        <f>Q176*1000000</f>
        <v/>
      </c>
      <c r="Z176" s="3">
        <f>365*R176*S176*T176</f>
        <v/>
      </c>
      <c r="AA176" s="4">
        <f>Y176/Z176</f>
        <v/>
      </c>
      <c r="AB176" s="4">
        <f>Q176*1000000/(365*R176*S176)</f>
        <v/>
      </c>
      <c r="AC176">
        <f>RANK(AA176,$AA$2:$AA$395,0)</f>
        <v/>
      </c>
    </row>
    <row r="177">
      <c r="A177" t="inlineStr">
        <is>
          <t>zone_327</t>
        </is>
      </c>
      <c r="B177" t="inlineStr">
        <is>
          <t>บางบัวทอง - ไทรน้อย</t>
        </is>
      </c>
      <c r="C177" t="inlineStr">
        <is>
          <t>นนทบุรี</t>
        </is>
      </c>
      <c r="D177" t="n">
        <v>3215</v>
      </c>
      <c r="E177" t="inlineStr">
        <is>
          <t>0102</t>
        </is>
      </c>
      <c r="F177" t="inlineStr">
        <is>
          <t>21.1–21.135</t>
        </is>
      </c>
      <c r="G177" t="n">
        <v>13.959946</v>
      </c>
      <c r="H177" t="n">
        <v>100.35828</v>
      </c>
      <c r="I177" t="inlineStr">
        <is>
          <t>hods_aadt_pnt_2568.fid-6461857d_1a0f2643074_51d5</t>
        </is>
      </c>
      <c r="J177" t="inlineStr">
        <is>
          <t>บางบัวทอง - ไทรน้อย</t>
        </is>
      </c>
      <c r="K177" t="inlineStr">
        <is>
          <t>14+705</t>
        </is>
      </c>
      <c r="L177" t="inlineStr">
        <is>
          <t>สถานีย่อย (C)</t>
        </is>
      </c>
      <c r="M177" t="n">
        <v>1</v>
      </c>
      <c r="N177" t="n">
        <v>13.928348</v>
      </c>
      <c r="O177" t="n">
        <v>100.40813</v>
      </c>
      <c r="P177" t="n">
        <v>6.43</v>
      </c>
      <c r="Q177" t="n">
        <v>4</v>
      </c>
      <c r="R177" t="n">
        <v>3</v>
      </c>
      <c r="S177" s="3" t="n">
        <v>55613</v>
      </c>
      <c r="T177" t="n">
        <v>1</v>
      </c>
      <c r="U177" t="n">
        <v>0</v>
      </c>
      <c r="V177" t="n">
        <v>0</v>
      </c>
      <c r="W177" t="n">
        <v>0</v>
      </c>
      <c r="X177" t="inlineStr">
        <is>
          <t>low</t>
        </is>
      </c>
      <c r="Y177" s="3">
        <f>Q177*1000000</f>
        <v/>
      </c>
      <c r="Z177" s="3">
        <f>365*R177*S177*T177</f>
        <v/>
      </c>
      <c r="AA177" s="4">
        <f>Y177/Z177</f>
        <v/>
      </c>
      <c r="AB177" s="4">
        <f>Q177*1000000/(365*R177*S177)</f>
        <v/>
      </c>
      <c r="AC177">
        <f>RANK(AA177,$AA$2:$AA$395,0)</f>
        <v/>
      </c>
    </row>
    <row r="178">
      <c r="A178" t="inlineStr">
        <is>
          <t>zone_328</t>
        </is>
      </c>
      <c r="B178" t="inlineStr">
        <is>
          <t>บางบัวทอง - ไทรน้อย</t>
        </is>
      </c>
      <c r="C178" t="inlineStr">
        <is>
          <t>นนทบุรี</t>
        </is>
      </c>
      <c r="D178" t="n">
        <v>3215</v>
      </c>
      <c r="E178" t="inlineStr">
        <is>
          <t>0102</t>
        </is>
      </c>
      <c r="F178" t="inlineStr">
        <is>
          <t>24.84–24.97</t>
        </is>
      </c>
      <c r="G178" t="n">
        <v>13.978907</v>
      </c>
      <c r="H178" t="n">
        <v>100.328517</v>
      </c>
      <c r="I178" t="inlineStr">
        <is>
          <t>hods_aadt_pnt_2568.fid-6461857d_1a0f2643074_51d5</t>
        </is>
      </c>
      <c r="J178" t="inlineStr">
        <is>
          <t>บางบัวทอง - ไทรน้อย</t>
        </is>
      </c>
      <c r="K178" t="inlineStr">
        <is>
          <t>14+705</t>
        </is>
      </c>
      <c r="L178" t="inlineStr">
        <is>
          <t>สถานีย่อย (C)</t>
        </is>
      </c>
      <c r="M178" t="n">
        <v>1</v>
      </c>
      <c r="N178" t="n">
        <v>13.928348</v>
      </c>
      <c r="O178" t="n">
        <v>100.40813</v>
      </c>
      <c r="P178" t="n">
        <v>10.27</v>
      </c>
      <c r="Q178" t="n">
        <v>3</v>
      </c>
      <c r="R178" t="n">
        <v>3</v>
      </c>
      <c r="S178" s="3" t="n">
        <v>55613</v>
      </c>
      <c r="T178" t="n">
        <v>1</v>
      </c>
      <c r="U178" t="n">
        <v>0</v>
      </c>
      <c r="V178" t="n">
        <v>1</v>
      </c>
      <c r="W178" t="n">
        <v>0.3333</v>
      </c>
      <c r="X178" t="inlineStr">
        <is>
          <t>low</t>
        </is>
      </c>
      <c r="Y178" s="3">
        <f>Q178*1000000</f>
        <v/>
      </c>
      <c r="Z178" s="3">
        <f>365*R178*S178*T178</f>
        <v/>
      </c>
      <c r="AA178" s="4">
        <f>Y178/Z178</f>
        <v/>
      </c>
      <c r="AB178" s="4">
        <f>Q178*1000000/(365*R178*S178)</f>
        <v/>
      </c>
      <c r="AC178">
        <f>RANK(AA178,$AA$2:$AA$395,0)</f>
        <v/>
      </c>
    </row>
    <row r="179">
      <c r="A179" t="inlineStr">
        <is>
          <t>zone_329</t>
        </is>
      </c>
      <c r="B179" t="inlineStr">
        <is>
          <t>แคราย - คลองบ้านใหม่</t>
        </is>
      </c>
      <c r="C179" t="inlineStr">
        <is>
          <t>นนทบุรี</t>
        </is>
      </c>
      <c r="D179" t="n">
        <v>306</v>
      </c>
      <c r="E179" t="inlineStr">
        <is>
          <t>0102</t>
        </is>
      </c>
      <c r="F179" t="inlineStr">
        <is>
          <t>16.91–17.05</t>
        </is>
      </c>
      <c r="G179" t="n">
        <v>13.928265</v>
      </c>
      <c r="H179" t="n">
        <v>100.528417</v>
      </c>
      <c r="I179" t="inlineStr">
        <is>
          <t>hods_aadt_pnt_2568.fid-6461857d_1a0f2643074_4c39</t>
        </is>
      </c>
      <c r="J179" t="inlineStr">
        <is>
          <t>แคราย - คลองบ้านใหม่</t>
        </is>
      </c>
      <c r="K179" t="inlineStr">
        <is>
          <t>19+390</t>
        </is>
      </c>
      <c r="L179" t="inlineStr">
        <is>
          <t>สถานีย่อย (C)</t>
        </is>
      </c>
      <c r="M179" t="n">
        <v>1</v>
      </c>
      <c r="N179" t="n">
        <v>13.949717</v>
      </c>
      <c r="O179" t="n">
        <v>100.546873</v>
      </c>
      <c r="P179" t="n">
        <v>3.11</v>
      </c>
      <c r="Q179" t="n">
        <v>5</v>
      </c>
      <c r="R179" t="n">
        <v>3</v>
      </c>
      <c r="S179" s="3" t="n">
        <v>43007</v>
      </c>
      <c r="T179" t="n">
        <v>1</v>
      </c>
      <c r="U179" t="n">
        <v>0</v>
      </c>
      <c r="V179" t="n">
        <v>1</v>
      </c>
      <c r="W179" t="n">
        <v>0.2</v>
      </c>
      <c r="X179" t="inlineStr">
        <is>
          <t>low</t>
        </is>
      </c>
      <c r="Y179" s="3">
        <f>Q179*1000000</f>
        <v/>
      </c>
      <c r="Z179" s="3">
        <f>365*R179*S179*T179</f>
        <v/>
      </c>
      <c r="AA179" s="4">
        <f>Y179/Z179</f>
        <v/>
      </c>
      <c r="AB179" s="4">
        <f>Q179*1000000/(365*R179*S179)</f>
        <v/>
      </c>
      <c r="AC179">
        <f>RANK(AA179,$AA$2:$AA$395,0)</f>
        <v/>
      </c>
    </row>
    <row r="180">
      <c r="A180" t="inlineStr">
        <is>
          <t>zone_330</t>
        </is>
      </c>
      <c r="B180" t="inlineStr">
        <is>
          <t>แคราย - คลองบ้านใหม่</t>
        </is>
      </c>
      <c r="C180" t="inlineStr">
        <is>
          <t>นนทบุรี</t>
        </is>
      </c>
      <c r="D180" t="n">
        <v>306</v>
      </c>
      <c r="E180" t="inlineStr">
        <is>
          <t>0102</t>
        </is>
      </c>
      <c r="F180" t="inlineStr">
        <is>
          <t>17–17.3</t>
        </is>
      </c>
      <c r="G180" t="n">
        <v>13.929773</v>
      </c>
      <c r="H180" t="n">
        <v>100.530211</v>
      </c>
      <c r="I180" t="inlineStr">
        <is>
          <t>hods_aadt_pnt_2568.fid-6461857d_1a0f2643074_4c39</t>
        </is>
      </c>
      <c r="J180" t="inlineStr">
        <is>
          <t>แคราย - คลองบ้านใหม่</t>
        </is>
      </c>
      <c r="K180" t="inlineStr">
        <is>
          <t>19+390</t>
        </is>
      </c>
      <c r="L180" t="inlineStr">
        <is>
          <t>สถานีย่อย (C)</t>
        </is>
      </c>
      <c r="M180" t="n">
        <v>1</v>
      </c>
      <c r="N180" t="n">
        <v>13.949717</v>
      </c>
      <c r="O180" t="n">
        <v>100.546873</v>
      </c>
      <c r="P180" t="n">
        <v>2.86</v>
      </c>
      <c r="Q180" t="n">
        <v>3</v>
      </c>
      <c r="R180" t="n">
        <v>3</v>
      </c>
      <c r="S180" s="3" t="n">
        <v>43007</v>
      </c>
      <c r="T180" t="n">
        <v>1</v>
      </c>
      <c r="U180" t="n">
        <v>1</v>
      </c>
      <c r="V180" t="n">
        <v>0</v>
      </c>
      <c r="W180" t="n">
        <v>0.3333</v>
      </c>
      <c r="X180" t="inlineStr">
        <is>
          <t>low</t>
        </is>
      </c>
      <c r="Y180" s="3">
        <f>Q180*1000000</f>
        <v/>
      </c>
      <c r="Z180" s="3">
        <f>365*R180*S180*T180</f>
        <v/>
      </c>
      <c r="AA180" s="4">
        <f>Y180/Z180</f>
        <v/>
      </c>
      <c r="AB180" s="4">
        <f>Q180*1000000/(365*R180*S180)</f>
        <v/>
      </c>
      <c r="AC180">
        <f>RANK(AA180,$AA$2:$AA$395,0)</f>
        <v/>
      </c>
    </row>
    <row r="181">
      <c r="A181" t="inlineStr">
        <is>
          <t>zone_333</t>
        </is>
      </c>
      <c r="B181" t="inlineStr">
        <is>
          <t>สะพานพระนั่งเกล้า - ต่างระดับบางใหญ่</t>
        </is>
      </c>
      <c r="C181" t="inlineStr">
        <is>
          <t>นนทบุรี</t>
        </is>
      </c>
      <c r="D181" t="n">
        <v>302</v>
      </c>
      <c r="E181" t="inlineStr">
        <is>
          <t>0202</t>
        </is>
      </c>
      <c r="F181" t="inlineStr">
        <is>
          <t>18–18.5</t>
        </is>
      </c>
      <c r="G181" t="n">
        <v>13.874313</v>
      </c>
      <c r="H181" t="n">
        <v>100.41529</v>
      </c>
      <c r="I181" t="inlineStr">
        <is>
          <t>hods_aadt_pnt_2568.fid-6461857d_1a0f2643074_4c23</t>
        </is>
      </c>
      <c r="J181" t="inlineStr">
        <is>
          <t>สะพานพระนั่งเกล้า - ต่างระดับบางใหญ่</t>
        </is>
      </c>
      <c r="K181" t="inlineStr">
        <is>
          <t>12+500</t>
        </is>
      </c>
      <c r="L181" t="inlineStr">
        <is>
          <t>สถานีย่อย (C)</t>
        </is>
      </c>
      <c r="M181" t="n">
        <v>1</v>
      </c>
      <c r="N181" t="n">
        <v>13.870399</v>
      </c>
      <c r="O181" t="n">
        <v>100.467265</v>
      </c>
      <c r="P181" t="n">
        <v>5.63</v>
      </c>
      <c r="Q181" t="n">
        <v>4</v>
      </c>
      <c r="R181" t="n">
        <v>3</v>
      </c>
      <c r="S181" s="3" t="n">
        <v>104815</v>
      </c>
      <c r="T181" t="n">
        <v>1</v>
      </c>
      <c r="U181" t="n">
        <v>1</v>
      </c>
      <c r="V181" t="n">
        <v>1</v>
      </c>
      <c r="W181" t="n">
        <v>0.5</v>
      </c>
      <c r="X181" t="inlineStr">
        <is>
          <t>low</t>
        </is>
      </c>
      <c r="Y181" s="3">
        <f>Q181*1000000</f>
        <v/>
      </c>
      <c r="Z181" s="3">
        <f>365*R181*S181*T181</f>
        <v/>
      </c>
      <c r="AA181" s="4">
        <f>Y181/Z181</f>
        <v/>
      </c>
      <c r="AB181" s="4">
        <f>Q181*1000000/(365*R181*S181)</f>
        <v/>
      </c>
      <c r="AC181">
        <f>RANK(AA181,$AA$2:$AA$395,0)</f>
        <v/>
      </c>
    </row>
    <row r="182">
      <c r="A182" t="inlineStr">
        <is>
          <t>zone_336</t>
        </is>
      </c>
      <c r="B182" t="inlineStr">
        <is>
          <t>แยกพงษ์เพชร - สะพานพระนั่งเกล้า</t>
        </is>
      </c>
      <c r="C182" t="inlineStr">
        <is>
          <t>นนทบุรี</t>
        </is>
      </c>
      <c r="D182" t="n">
        <v>302</v>
      </c>
      <c r="E182" t="inlineStr">
        <is>
          <t>0201</t>
        </is>
      </c>
      <c r="F182" t="inlineStr">
        <is>
          <t>6.725–7</t>
        </is>
      </c>
      <c r="G182" t="n">
        <v>13.859711</v>
      </c>
      <c r="H182" t="n">
        <v>100.515828</v>
      </c>
      <c r="I182" t="inlineStr">
        <is>
          <t>hods_aadt_pnt_2568.fid-6461857d_1a0f2643074_4c22</t>
        </is>
      </c>
      <c r="J182" t="inlineStr">
        <is>
          <t>แยกพงษ์เพชร - สะพานพระนั่งเกล้า</t>
        </is>
      </c>
      <c r="K182" t="inlineStr">
        <is>
          <t>5+822</t>
        </is>
      </c>
      <c r="L182" t="inlineStr">
        <is>
          <t>สถานีย่อย (C)</t>
        </is>
      </c>
      <c r="M182" t="n">
        <v>1</v>
      </c>
      <c r="N182" t="n">
        <v>13.858586</v>
      </c>
      <c r="O182" t="n">
        <v>100.525653</v>
      </c>
      <c r="P182" t="n">
        <v>1.07</v>
      </c>
      <c r="Q182" t="n">
        <v>5</v>
      </c>
      <c r="R182" t="n">
        <v>3</v>
      </c>
      <c r="S182" s="3" t="n">
        <v>111297</v>
      </c>
      <c r="T182" t="n">
        <v>1</v>
      </c>
      <c r="U182" t="n">
        <v>0</v>
      </c>
      <c r="V182" t="n">
        <v>0</v>
      </c>
      <c r="W182" t="n">
        <v>0</v>
      </c>
      <c r="X182" t="inlineStr">
        <is>
          <t>low</t>
        </is>
      </c>
      <c r="Y182" s="3">
        <f>Q182*1000000</f>
        <v/>
      </c>
      <c r="Z182" s="3">
        <f>365*R182*S182*T182</f>
        <v/>
      </c>
      <c r="AA182" s="4">
        <f>Y182/Z182</f>
        <v/>
      </c>
      <c r="AB182" s="4">
        <f>Q182*1000000/(365*R182*S182)</f>
        <v/>
      </c>
      <c r="AC182">
        <f>RANK(AA182,$AA$2:$AA$395,0)</f>
        <v/>
      </c>
    </row>
    <row r="183">
      <c r="A183" t="inlineStr">
        <is>
          <t>zone_337</t>
        </is>
      </c>
      <c r="B183" t="inlineStr">
        <is>
          <t>แยกพงษ์เพชร - สะพานพระนั่งเกล้า</t>
        </is>
      </c>
      <c r="C183" t="inlineStr">
        <is>
          <t>นนทบุรี</t>
        </is>
      </c>
      <c r="D183" t="n">
        <v>302</v>
      </c>
      <c r="E183" t="inlineStr">
        <is>
          <t>0201</t>
        </is>
      </c>
      <c r="F183" t="inlineStr">
        <is>
          <t>7.22–7.3</t>
        </is>
      </c>
      <c r="G183" t="n">
        <v>13.860081</v>
      </c>
      <c r="H183" t="n">
        <v>100.513426</v>
      </c>
      <c r="I183" t="inlineStr">
        <is>
          <t>hods_aadt_pnt_2568.fid-6461857d_1a0f2643074_4c22</t>
        </is>
      </c>
      <c r="J183" t="inlineStr">
        <is>
          <t>แยกพงษ์เพชร - สะพานพระนั่งเกล้า</t>
        </is>
      </c>
      <c r="K183" t="inlineStr">
        <is>
          <t>5+822</t>
        </is>
      </c>
      <c r="L183" t="inlineStr">
        <is>
          <t>สถานีย่อย (C)</t>
        </is>
      </c>
      <c r="M183" t="n">
        <v>1</v>
      </c>
      <c r="N183" t="n">
        <v>13.858586</v>
      </c>
      <c r="O183" t="n">
        <v>100.525653</v>
      </c>
      <c r="P183" t="n">
        <v>1.33</v>
      </c>
      <c r="Q183" t="n">
        <v>3</v>
      </c>
      <c r="R183" t="n">
        <v>3</v>
      </c>
      <c r="S183" s="3" t="n">
        <v>111297</v>
      </c>
      <c r="T183" t="n">
        <v>1</v>
      </c>
      <c r="U183" t="n">
        <v>0</v>
      </c>
      <c r="V183" t="n">
        <v>0</v>
      </c>
      <c r="W183" t="n">
        <v>0</v>
      </c>
      <c r="X183" t="inlineStr">
        <is>
          <t>low</t>
        </is>
      </c>
      <c r="Y183" s="3">
        <f>Q183*1000000</f>
        <v/>
      </c>
      <c r="Z183" s="3">
        <f>365*R183*S183*T183</f>
        <v/>
      </c>
      <c r="AA183" s="4">
        <f>Y183/Z183</f>
        <v/>
      </c>
      <c r="AB183" s="4">
        <f>Q183*1000000/(365*R183*S183)</f>
        <v/>
      </c>
      <c r="AC183">
        <f>RANK(AA183,$AA$2:$AA$395,0)</f>
        <v/>
      </c>
    </row>
    <row r="184">
      <c r="A184" t="inlineStr">
        <is>
          <t>zone_338</t>
        </is>
      </c>
      <c r="B184" t="inlineStr">
        <is>
          <t>คลองมหาสวัสดิ์ - คลองบางไผ่</t>
        </is>
      </c>
      <c r="C184" t="inlineStr">
        <is>
          <t>นนทบุรี</t>
        </is>
      </c>
      <c r="D184" t="n">
        <v>3901</v>
      </c>
      <c r="E184" t="inlineStr">
        <is>
          <t>0201</t>
        </is>
      </c>
      <c r="F184" t="inlineStr">
        <is>
          <t>40.9–41.503</t>
        </is>
      </c>
      <c r="G184" t="n">
        <v>13.872241</v>
      </c>
      <c r="H184" t="n">
        <v>100.410009</v>
      </c>
      <c r="I184" t="inlineStr">
        <is>
          <t>hods_aadt_pnt_2568.fid-6461857d_1a0f2643074_5315</t>
        </is>
      </c>
      <c r="J184" t="inlineStr">
        <is>
          <t>คลองมหาสวัสดิ์ - คลองบางไผ่</t>
        </is>
      </c>
      <c r="K184" t="inlineStr">
        <is>
          <t>39+528</t>
        </is>
      </c>
      <c r="L184" t="inlineStr">
        <is>
          <t>สถานีย่อย (C)</t>
        </is>
      </c>
      <c r="M184" t="n">
        <v>2</v>
      </c>
      <c r="N184" t="n">
        <v>13.859872</v>
      </c>
      <c r="O184" t="n">
        <v>100.411168</v>
      </c>
      <c r="P184" t="n">
        <v>1.38</v>
      </c>
      <c r="Q184" t="n">
        <v>3</v>
      </c>
      <c r="R184" t="n">
        <v>3</v>
      </c>
      <c r="S184" s="3" t="n">
        <v>71243</v>
      </c>
      <c r="T184" t="n">
        <v>1</v>
      </c>
      <c r="U184" t="n">
        <v>0</v>
      </c>
      <c r="V184" t="n">
        <v>1</v>
      </c>
      <c r="W184" t="n">
        <v>0.3333</v>
      </c>
      <c r="X184" t="inlineStr">
        <is>
          <t>low</t>
        </is>
      </c>
      <c r="Y184" s="3">
        <f>Q184*1000000</f>
        <v/>
      </c>
      <c r="Z184" s="3">
        <f>365*R184*S184*T184</f>
        <v/>
      </c>
      <c r="AA184" s="4">
        <f>Y184/Z184</f>
        <v/>
      </c>
      <c r="AB184" s="4">
        <f>Q184*1000000/(365*R184*S184)</f>
        <v/>
      </c>
      <c r="AC184">
        <f>RANK(AA184,$AA$2:$AA$395,0)</f>
        <v/>
      </c>
    </row>
    <row r="185">
      <c r="A185" t="inlineStr">
        <is>
          <t>zone_339</t>
        </is>
      </c>
      <c r="B185" t="inlineStr">
        <is>
          <t>คลองบางไผ่ - คลองบางหลวง</t>
        </is>
      </c>
      <c r="C185" t="inlineStr">
        <is>
          <t>นนทบุรี</t>
        </is>
      </c>
      <c r="D185" t="n">
        <v>9</v>
      </c>
      <c r="E185" t="inlineStr">
        <is>
          <t>0202</t>
        </is>
      </c>
      <c r="F185" t="inlineStr">
        <is>
          <t>43.6–43.9</t>
        </is>
      </c>
      <c r="G185" t="n">
        <v>13.893211</v>
      </c>
      <c r="H185" t="n">
        <v>100.408038</v>
      </c>
      <c r="I185" t="inlineStr">
        <is>
          <t>hods_aadt_pnt_2568.fid-6461857d_1a0f2643074_49fe</t>
        </is>
      </c>
      <c r="J185" t="inlineStr">
        <is>
          <t>คลองบางไผ่ - คลองบางหลวง</t>
        </is>
      </c>
      <c r="K185" t="inlineStr">
        <is>
          <t>47+744</t>
        </is>
      </c>
      <c r="L185" t="inlineStr">
        <is>
          <t>สถานีย่อย (C)</t>
        </is>
      </c>
      <c r="M185" t="n">
        <v>1</v>
      </c>
      <c r="N185" t="n">
        <v>13.926805</v>
      </c>
      <c r="O185" t="n">
        <v>100.413771</v>
      </c>
      <c r="P185" t="n">
        <v>3.79</v>
      </c>
      <c r="Q185" t="n">
        <v>5</v>
      </c>
      <c r="R185" t="n">
        <v>3</v>
      </c>
      <c r="S185" s="3" t="n">
        <v>155949</v>
      </c>
      <c r="T185" t="n">
        <v>1</v>
      </c>
      <c r="U185" t="n">
        <v>0</v>
      </c>
      <c r="V185" t="n">
        <v>1</v>
      </c>
      <c r="W185" t="n">
        <v>0.2</v>
      </c>
      <c r="X185" t="inlineStr">
        <is>
          <t>low</t>
        </is>
      </c>
      <c r="Y185" s="3">
        <f>Q185*1000000</f>
        <v/>
      </c>
      <c r="Z185" s="3">
        <f>365*R185*S185*T185</f>
        <v/>
      </c>
      <c r="AA185" s="4">
        <f>Y185/Z185</f>
        <v/>
      </c>
      <c r="AB185" s="4">
        <f>Q185*1000000/(365*R185*S185)</f>
        <v/>
      </c>
      <c r="AC185">
        <f>RANK(AA185,$AA$2:$AA$395,0)</f>
        <v/>
      </c>
    </row>
    <row r="186">
      <c r="A186" t="inlineStr">
        <is>
          <t>zone_340</t>
        </is>
      </c>
      <c r="B186" t="inlineStr">
        <is>
          <t>คลองมหาสวัสดิ์ - คลองบางไผ่</t>
        </is>
      </c>
      <c r="C186" t="inlineStr">
        <is>
          <t>นนทบุรี</t>
        </is>
      </c>
      <c r="D186" t="n">
        <v>3902</v>
      </c>
      <c r="E186" t="inlineStr">
        <is>
          <t>0201</t>
        </is>
      </c>
      <c r="F186" t="inlineStr">
        <is>
          <t>40.3–40.9</t>
        </is>
      </c>
      <c r="G186" t="n">
        <v>13.867163</v>
      </c>
      <c r="H186" t="n">
        <v>100.410456</v>
      </c>
      <c r="I186" t="inlineStr">
        <is>
          <t>hods_aadt_pnt_2568.fid-6461857d_1a0f2643074_5325</t>
        </is>
      </c>
      <c r="J186" t="inlineStr">
        <is>
          <t>คลองมหาสวัสดิ์ - คลองบางไผ่</t>
        </is>
      </c>
      <c r="K186" t="inlineStr">
        <is>
          <t>39+528</t>
        </is>
      </c>
      <c r="L186" t="inlineStr">
        <is>
          <t>สถานีย่อย (C)</t>
        </is>
      </c>
      <c r="M186" t="n">
        <v>2</v>
      </c>
      <c r="N186" t="n">
        <v>13.859769</v>
      </c>
      <c r="O186" t="n">
        <v>100.411376</v>
      </c>
      <c r="P186" t="n">
        <v>0.83</v>
      </c>
      <c r="Q186" t="n">
        <v>4</v>
      </c>
      <c r="R186" t="n">
        <v>3</v>
      </c>
      <c r="S186" s="3" t="n">
        <v>83819</v>
      </c>
      <c r="T186" t="n">
        <v>1</v>
      </c>
      <c r="U186" t="n">
        <v>0</v>
      </c>
      <c r="V186" t="n">
        <v>3</v>
      </c>
      <c r="W186" t="n">
        <v>0.75</v>
      </c>
      <c r="X186" t="inlineStr">
        <is>
          <t>low</t>
        </is>
      </c>
      <c r="Y186" s="3">
        <f>Q186*1000000</f>
        <v/>
      </c>
      <c r="Z186" s="3">
        <f>365*R186*S186*T186</f>
        <v/>
      </c>
      <c r="AA186" s="4">
        <f>Y186/Z186</f>
        <v/>
      </c>
      <c r="AB186" s="4">
        <f>Q186*1000000/(365*R186*S186)</f>
        <v/>
      </c>
      <c r="AC186">
        <f>RANK(AA186,$AA$2:$AA$395,0)</f>
        <v/>
      </c>
    </row>
    <row r="187">
      <c r="A187" t="inlineStr">
        <is>
          <t>zone_341</t>
        </is>
      </c>
      <c r="B187" t="inlineStr">
        <is>
          <t>สะพานพระนั่งเกล้า - ต่างระดับบางใหญ่</t>
        </is>
      </c>
      <c r="C187" t="inlineStr">
        <is>
          <t>นนทบุรี</t>
        </is>
      </c>
      <c r="D187" t="n">
        <v>302</v>
      </c>
      <c r="E187" t="inlineStr">
        <is>
          <t>0202</t>
        </is>
      </c>
      <c r="F187" t="inlineStr">
        <is>
          <t>16.1–16.3</t>
        </is>
      </c>
      <c r="G187" t="n">
        <v>13.875959</v>
      </c>
      <c r="H187" t="n">
        <v>100.43544</v>
      </c>
      <c r="I187" t="inlineStr">
        <is>
          <t>hods_aadt_pnt_2568.fid-6461857d_1a0f2643074_4c23</t>
        </is>
      </c>
      <c r="J187" t="inlineStr">
        <is>
          <t>สะพานพระนั่งเกล้า - ต่างระดับบางใหญ่</t>
        </is>
      </c>
      <c r="K187" t="inlineStr">
        <is>
          <t>12+500</t>
        </is>
      </c>
      <c r="L187" t="inlineStr">
        <is>
          <t>สถานีย่อย (C)</t>
        </is>
      </c>
      <c r="M187" t="n">
        <v>1</v>
      </c>
      <c r="N187" t="n">
        <v>13.870399</v>
      </c>
      <c r="O187" t="n">
        <v>100.467265</v>
      </c>
      <c r="P187" t="n">
        <v>3.49</v>
      </c>
      <c r="Q187" t="n">
        <v>3</v>
      </c>
      <c r="R187" t="n">
        <v>3</v>
      </c>
      <c r="S187" s="3" t="n">
        <v>104815</v>
      </c>
      <c r="T187" t="n">
        <v>1</v>
      </c>
      <c r="U187" t="n">
        <v>2</v>
      </c>
      <c r="V187" t="n">
        <v>0</v>
      </c>
      <c r="W187" t="n">
        <v>0.6667</v>
      </c>
      <c r="X187" t="inlineStr">
        <is>
          <t>low</t>
        </is>
      </c>
      <c r="Y187" s="3">
        <f>Q187*1000000</f>
        <v/>
      </c>
      <c r="Z187" s="3">
        <f>365*R187*S187*T187</f>
        <v/>
      </c>
      <c r="AA187" s="4">
        <f>Y187/Z187</f>
        <v/>
      </c>
      <c r="AB187" s="4">
        <f>Q187*1000000/(365*R187*S187)</f>
        <v/>
      </c>
      <c r="AC187">
        <f>RANK(AA187,$AA$2:$AA$395,0)</f>
        <v/>
      </c>
    </row>
    <row r="188">
      <c r="A188" t="inlineStr">
        <is>
          <t>zone_342</t>
        </is>
      </c>
      <c r="B188" t="inlineStr">
        <is>
          <t>แคราย - คลองบ้านใหม่</t>
        </is>
      </c>
      <c r="C188" t="inlineStr">
        <is>
          <t>นนทบุรี</t>
        </is>
      </c>
      <c r="D188" t="n">
        <v>306</v>
      </c>
      <c r="E188" t="inlineStr">
        <is>
          <t>0102</t>
        </is>
      </c>
      <c r="F188" t="inlineStr">
        <is>
          <t>19.76–19.86</t>
        </is>
      </c>
      <c r="G188" t="n">
        <v>13.94622</v>
      </c>
      <c r="H188" t="n">
        <v>100.544976</v>
      </c>
      <c r="I188" t="inlineStr">
        <is>
          <t>hods_aadt_pnt_2568.fid-6461857d_1a0f2643074_4c39</t>
        </is>
      </c>
      <c r="J188" t="inlineStr">
        <is>
          <t>แคราย - คลองบ้านใหม่</t>
        </is>
      </c>
      <c r="K188" t="inlineStr">
        <is>
          <t>19+390</t>
        </is>
      </c>
      <c r="L188" t="inlineStr">
        <is>
          <t>สถานีย่อย (C)</t>
        </is>
      </c>
      <c r="M188" t="n">
        <v>1</v>
      </c>
      <c r="N188" t="n">
        <v>13.949717</v>
      </c>
      <c r="O188" t="n">
        <v>100.546873</v>
      </c>
      <c r="P188" t="n">
        <v>0.44</v>
      </c>
      <c r="Q188" t="n">
        <v>4</v>
      </c>
      <c r="R188" t="n">
        <v>3</v>
      </c>
      <c r="S188" s="3" t="n">
        <v>43007</v>
      </c>
      <c r="T188" t="n">
        <v>1</v>
      </c>
      <c r="U188" t="n">
        <v>0</v>
      </c>
      <c r="V188" t="n">
        <v>1</v>
      </c>
      <c r="W188" t="n">
        <v>0.25</v>
      </c>
      <c r="X188" t="inlineStr">
        <is>
          <t>low</t>
        </is>
      </c>
      <c r="Y188" s="3">
        <f>Q188*1000000</f>
        <v/>
      </c>
      <c r="Z188" s="3">
        <f>365*R188*S188*T188</f>
        <v/>
      </c>
      <c r="AA188" s="4">
        <f>Y188/Z188</f>
        <v/>
      </c>
      <c r="AB188" s="4">
        <f>Q188*1000000/(365*R188*S188)</f>
        <v/>
      </c>
      <c r="AC188">
        <f>RANK(AA188,$AA$2:$AA$395,0)</f>
        <v/>
      </c>
    </row>
    <row r="189">
      <c r="A189" t="inlineStr">
        <is>
          <t>zone_343</t>
        </is>
      </c>
      <c r="B189" t="inlineStr">
        <is>
          <t>บางบัวทอง - ไทรน้อย</t>
        </is>
      </c>
      <c r="C189" t="inlineStr">
        <is>
          <t>นนทบุรี</t>
        </is>
      </c>
      <c r="D189" t="n">
        <v>3215</v>
      </c>
      <c r="E189" t="inlineStr">
        <is>
          <t>0102</t>
        </is>
      </c>
      <c r="F189" t="inlineStr">
        <is>
          <t>13.709–13.8</t>
        </is>
      </c>
      <c r="G189" t="n">
        <v>13.924384</v>
      </c>
      <c r="H189" t="n">
        <v>100.41532</v>
      </c>
      <c r="I189" t="inlineStr">
        <is>
          <t>hods_aadt_pnt_2568.fid-6461857d_1a0f2643074_51d5</t>
        </is>
      </c>
      <c r="J189" t="inlineStr">
        <is>
          <t>บางบัวทอง - ไทรน้อย</t>
        </is>
      </c>
      <c r="K189" t="inlineStr">
        <is>
          <t>14+705</t>
        </is>
      </c>
      <c r="L189" t="inlineStr">
        <is>
          <t>สถานีย่อย (C)</t>
        </is>
      </c>
      <c r="M189" t="n">
        <v>1</v>
      </c>
      <c r="N189" t="n">
        <v>13.928348</v>
      </c>
      <c r="O189" t="n">
        <v>100.40813</v>
      </c>
      <c r="P189" t="n">
        <v>0.89</v>
      </c>
      <c r="Q189" t="n">
        <v>3</v>
      </c>
      <c r="R189" t="n">
        <v>3</v>
      </c>
      <c r="S189" s="3" t="n">
        <v>55613</v>
      </c>
      <c r="T189" t="n">
        <v>1</v>
      </c>
      <c r="U189" t="n">
        <v>0</v>
      </c>
      <c r="V189" t="n">
        <v>2</v>
      </c>
      <c r="W189" t="n">
        <v>0.6667</v>
      </c>
      <c r="X189" t="inlineStr">
        <is>
          <t>low</t>
        </is>
      </c>
      <c r="Y189" s="3">
        <f>Q189*1000000</f>
        <v/>
      </c>
      <c r="Z189" s="3">
        <f>365*R189*S189*T189</f>
        <v/>
      </c>
      <c r="AA189" s="4">
        <f>Y189/Z189</f>
        <v/>
      </c>
      <c r="AB189" s="4">
        <f>Q189*1000000/(365*R189*S189)</f>
        <v/>
      </c>
      <c r="AC189">
        <f>RANK(AA189,$AA$2:$AA$395,0)</f>
        <v/>
      </c>
    </row>
    <row r="190">
      <c r="A190" t="inlineStr">
        <is>
          <t>zone_344</t>
        </is>
      </c>
      <c r="B190" t="inlineStr">
        <is>
          <t>บางบัวทอง - ไทรน้อย</t>
        </is>
      </c>
      <c r="C190" t="inlineStr">
        <is>
          <t>นนทบุรี</t>
        </is>
      </c>
      <c r="D190" t="n">
        <v>3215</v>
      </c>
      <c r="E190" t="inlineStr">
        <is>
          <t>0102</t>
        </is>
      </c>
      <c r="F190" t="inlineStr">
        <is>
          <t>20–20</t>
        </is>
      </c>
      <c r="G190" t="n">
        <v>13.954379</v>
      </c>
      <c r="H190" t="n">
        <v>100.366936</v>
      </c>
      <c r="I190" t="inlineStr">
        <is>
          <t>hods_aadt_pnt_2568.fid-6461857d_1a0f2643074_51d5</t>
        </is>
      </c>
      <c r="J190" t="inlineStr">
        <is>
          <t>บางบัวทอง - ไทรน้อย</t>
        </is>
      </c>
      <c r="K190" t="inlineStr">
        <is>
          <t>14+705</t>
        </is>
      </c>
      <c r="L190" t="inlineStr">
        <is>
          <t>สถานีย่อย (C)</t>
        </is>
      </c>
      <c r="M190" t="n">
        <v>1</v>
      </c>
      <c r="N190" t="n">
        <v>13.928348</v>
      </c>
      <c r="O190" t="n">
        <v>100.40813</v>
      </c>
      <c r="P190" t="n">
        <v>5.3</v>
      </c>
      <c r="Q190" t="n">
        <v>3</v>
      </c>
      <c r="R190" t="n">
        <v>3</v>
      </c>
      <c r="S190" s="3" t="n">
        <v>55613</v>
      </c>
      <c r="T190" t="n">
        <v>1</v>
      </c>
      <c r="U190" t="n">
        <v>0</v>
      </c>
      <c r="V190" t="n">
        <v>0</v>
      </c>
      <c r="W190" t="n">
        <v>0</v>
      </c>
      <c r="X190" t="inlineStr">
        <is>
          <t>low</t>
        </is>
      </c>
      <c r="Y190" s="3">
        <f>Q190*1000000</f>
        <v/>
      </c>
      <c r="Z190" s="3">
        <f>365*R190*S190*T190</f>
        <v/>
      </c>
      <c r="AA190" s="4">
        <f>Y190/Z190</f>
        <v/>
      </c>
      <c r="AB190" s="4">
        <f>Q190*1000000/(365*R190*S190)</f>
        <v/>
      </c>
      <c r="AC190">
        <f>RANK(AA190,$AA$2:$AA$395,0)</f>
        <v/>
      </c>
    </row>
    <row r="191">
      <c r="A191" t="inlineStr">
        <is>
          <t>zone_347</t>
        </is>
      </c>
      <c r="B191" t="inlineStr">
        <is>
          <t>คลองบางไผ่ - คลองบางหลวง</t>
        </is>
      </c>
      <c r="C191" t="inlineStr">
        <is>
          <t>นนทบุรี</t>
        </is>
      </c>
      <c r="D191" t="n">
        <v>9</v>
      </c>
      <c r="E191" t="inlineStr">
        <is>
          <t>0202</t>
        </is>
      </c>
      <c r="F191" t="inlineStr">
        <is>
          <t>46.53–48.2</t>
        </is>
      </c>
      <c r="G191" t="n">
        <v>13.930276</v>
      </c>
      <c r="H191" t="n">
        <v>100.415105</v>
      </c>
      <c r="I191" t="inlineStr">
        <is>
          <t>hods_aadt_pnt_2568.fid-6461857d_1a0f2643074_49fe</t>
        </is>
      </c>
      <c r="J191" t="inlineStr">
        <is>
          <t>คลองบางไผ่ - คลองบางหลวง</t>
        </is>
      </c>
      <c r="K191" t="inlineStr">
        <is>
          <t>47+744</t>
        </is>
      </c>
      <c r="L191" t="inlineStr">
        <is>
          <t>สถานีย่อย (C)</t>
        </is>
      </c>
      <c r="M191" t="n">
        <v>1</v>
      </c>
      <c r="N191" t="n">
        <v>13.926805</v>
      </c>
      <c r="O191" t="n">
        <v>100.413771</v>
      </c>
      <c r="P191" t="n">
        <v>0.41</v>
      </c>
      <c r="Q191" t="n">
        <v>3</v>
      </c>
      <c r="R191" t="n">
        <v>3</v>
      </c>
      <c r="S191" s="3" t="n">
        <v>155949</v>
      </c>
      <c r="T191" t="n">
        <v>1</v>
      </c>
      <c r="U191" t="n">
        <v>0</v>
      </c>
      <c r="V191" t="n">
        <v>1</v>
      </c>
      <c r="W191" t="n">
        <v>0.3333</v>
      </c>
      <c r="X191" t="inlineStr">
        <is>
          <t>low</t>
        </is>
      </c>
      <c r="Y191" s="3">
        <f>Q191*1000000</f>
        <v/>
      </c>
      <c r="Z191" s="3">
        <f>365*R191*S191*T191</f>
        <v/>
      </c>
      <c r="AA191" s="4">
        <f>Y191/Z191</f>
        <v/>
      </c>
      <c r="AB191" s="4">
        <f>Q191*1000000/(365*R191*S191)</f>
        <v/>
      </c>
      <c r="AC191">
        <f>RANK(AA191,$AA$2:$AA$395,0)</f>
        <v/>
      </c>
    </row>
    <row r="192">
      <c r="A192" t="inlineStr">
        <is>
          <t>zone_348</t>
        </is>
      </c>
      <c r="B192" t="inlineStr">
        <is>
          <t>แคราย - คลองบ้านใหม่</t>
        </is>
      </c>
      <c r="C192" t="inlineStr">
        <is>
          <t>นนทบุรี</t>
        </is>
      </c>
      <c r="D192" t="n">
        <v>306</v>
      </c>
      <c r="E192" t="inlineStr">
        <is>
          <t>0102</t>
        </is>
      </c>
      <c r="F192" t="inlineStr">
        <is>
          <t>14.54–14.99</t>
        </is>
      </c>
      <c r="G192" t="n">
        <v>13.916021</v>
      </c>
      <c r="H192" t="n">
        <v>100.513722</v>
      </c>
      <c r="I192" t="inlineStr">
        <is>
          <t>hods_aadt_pnt_2568.fid-6461857d_1a0f2643074_4c39</t>
        </is>
      </c>
      <c r="J192" t="inlineStr">
        <is>
          <t>แคราย - คลองบ้านใหม่</t>
        </is>
      </c>
      <c r="K192" t="inlineStr">
        <is>
          <t>19+390</t>
        </is>
      </c>
      <c r="L192" t="inlineStr">
        <is>
          <t>สถานีย่อย (C)</t>
        </is>
      </c>
      <c r="M192" t="n">
        <v>1</v>
      </c>
      <c r="N192" t="n">
        <v>13.949717</v>
      </c>
      <c r="O192" t="n">
        <v>100.546873</v>
      </c>
      <c r="P192" t="n">
        <v>5.18</v>
      </c>
      <c r="Q192" t="n">
        <v>3</v>
      </c>
      <c r="R192" t="n">
        <v>3</v>
      </c>
      <c r="S192" s="3" t="n">
        <v>43007</v>
      </c>
      <c r="T192" t="n">
        <v>1</v>
      </c>
      <c r="U192" t="n">
        <v>0</v>
      </c>
      <c r="V192" t="n">
        <v>1</v>
      </c>
      <c r="W192" t="n">
        <v>0.3333</v>
      </c>
      <c r="X192" t="inlineStr">
        <is>
          <t>low</t>
        </is>
      </c>
      <c r="Y192" s="3">
        <f>Q192*1000000</f>
        <v/>
      </c>
      <c r="Z192" s="3">
        <f>365*R192*S192*T192</f>
        <v/>
      </c>
      <c r="AA192" s="4">
        <f>Y192/Z192</f>
        <v/>
      </c>
      <c r="AB192" s="4">
        <f>Q192*1000000/(365*R192*S192)</f>
        <v/>
      </c>
      <c r="AC192">
        <f>RANK(AA192,$AA$2:$AA$395,0)</f>
        <v/>
      </c>
    </row>
    <row r="193">
      <c r="A193" t="inlineStr">
        <is>
          <t>zone_354</t>
        </is>
      </c>
      <c r="B193" t="inlineStr">
        <is>
          <t>คลองมหาสวัสดิ์ - คลองบางไผ่</t>
        </is>
      </c>
      <c r="C193" t="inlineStr">
        <is>
          <t>นนทบุรี</t>
        </is>
      </c>
      <c r="D193" t="n">
        <v>9</v>
      </c>
      <c r="E193" t="inlineStr">
        <is>
          <t>0201</t>
        </is>
      </c>
      <c r="F193" t="inlineStr">
        <is>
          <t>33.7–33.82</t>
        </is>
      </c>
      <c r="G193" t="n">
        <v>13.80754</v>
      </c>
      <c r="H193" t="n">
        <v>100.411167</v>
      </c>
      <c r="I193" t="inlineStr">
        <is>
          <t>hods_aadt_pnt_2568.fid-6461857d_1a0f2643074_49fc</t>
        </is>
      </c>
      <c r="J193" t="inlineStr">
        <is>
          <t>คลองมหาสวัสดิ์ - คลองบางไผ่</t>
        </is>
      </c>
      <c r="K193" t="inlineStr">
        <is>
          <t>36+594</t>
        </is>
      </c>
      <c r="L193" t="inlineStr">
        <is>
          <t>สถานีหลัก (P)</t>
        </is>
      </c>
      <c r="M193" t="n">
        <v>2</v>
      </c>
      <c r="N193" t="n">
        <v>13.831481</v>
      </c>
      <c r="O193" t="n">
        <v>100.413305</v>
      </c>
      <c r="P193" t="n">
        <v>2.67</v>
      </c>
      <c r="Q193" t="n">
        <v>3</v>
      </c>
      <c r="R193" t="n">
        <v>3</v>
      </c>
      <c r="S193" s="3" t="n">
        <v>185932</v>
      </c>
      <c r="T193" t="n">
        <v>1</v>
      </c>
      <c r="U193" t="n">
        <v>0</v>
      </c>
      <c r="V193" t="n">
        <v>0</v>
      </c>
      <c r="W193" t="n">
        <v>0</v>
      </c>
      <c r="X193" t="inlineStr">
        <is>
          <t>low</t>
        </is>
      </c>
      <c r="Y193" s="3">
        <f>Q193*1000000</f>
        <v/>
      </c>
      <c r="Z193" s="3">
        <f>365*R193*S193*T193</f>
        <v/>
      </c>
      <c r="AA193" s="4">
        <f>Y193/Z193</f>
        <v/>
      </c>
      <c r="AB193" s="4">
        <f>Q193*1000000/(365*R193*S193)</f>
        <v/>
      </c>
      <c r="AC193">
        <f>RANK(AA193,$AA$2:$AA$395,0)</f>
        <v/>
      </c>
    </row>
    <row r="194">
      <c r="A194" t="inlineStr">
        <is>
          <t>zone_357</t>
        </is>
      </c>
      <c r="B194" t="inlineStr">
        <is>
          <t>อ้อมใหญ่ - นครชัยศรี</t>
        </is>
      </c>
      <c r="C194" t="inlineStr">
        <is>
          <t>นครปฐม</t>
        </is>
      </c>
      <c r="D194" t="n">
        <v>4</v>
      </c>
      <c r="E194" t="inlineStr">
        <is>
          <t>0100</t>
        </is>
      </c>
      <c r="F194" t="inlineStr">
        <is>
          <t>31.98–31.98</t>
        </is>
      </c>
      <c r="G194" t="n">
        <v>13.733986</v>
      </c>
      <c r="H194" t="n">
        <v>100.245829</v>
      </c>
      <c r="I194" t="inlineStr">
        <is>
          <t>hods_aadt_pnt_2568.fid-6461857d_1a0f2643074_49af</t>
        </is>
      </c>
      <c r="J194" t="inlineStr">
        <is>
          <t>อ้อมใหญ่ - นครชัยศรี</t>
        </is>
      </c>
      <c r="K194" t="inlineStr">
        <is>
          <t>26+500</t>
        </is>
      </c>
      <c r="L194" t="inlineStr">
        <is>
          <t>สถานีย่อย (C)</t>
        </is>
      </c>
      <c r="M194" t="n">
        <v>2</v>
      </c>
      <c r="N194" t="n">
        <v>13.707862</v>
      </c>
      <c r="O194" t="n">
        <v>100.285332</v>
      </c>
      <c r="P194" t="n">
        <v>5.16</v>
      </c>
      <c r="Q194" t="n">
        <v>3</v>
      </c>
      <c r="R194" t="n">
        <v>3</v>
      </c>
      <c r="S194" s="3" t="n">
        <v>77720</v>
      </c>
      <c r="T194" t="n">
        <v>1</v>
      </c>
      <c r="U194" t="n">
        <v>0</v>
      </c>
      <c r="V194" t="n">
        <v>3</v>
      </c>
      <c r="W194" t="n">
        <v>1</v>
      </c>
      <c r="X194" t="inlineStr">
        <is>
          <t>medium</t>
        </is>
      </c>
      <c r="Y194" s="3">
        <f>Q194*1000000</f>
        <v/>
      </c>
      <c r="Z194" s="3">
        <f>365*R194*S194*T194</f>
        <v/>
      </c>
      <c r="AA194" s="4">
        <f>Y194/Z194</f>
        <v/>
      </c>
      <c r="AB194" s="4">
        <f>Q194*1000000/(365*R194*S194)</f>
        <v/>
      </c>
      <c r="AC194">
        <f>RANK(AA194,$AA$2:$AA$395,0)</f>
        <v/>
      </c>
    </row>
    <row r="195">
      <c r="A195" t="inlineStr">
        <is>
          <t>zone_358</t>
        </is>
      </c>
      <c r="B195" t="inlineStr">
        <is>
          <t>พุทธมณฑลสาย4 - นครชัยศรี</t>
        </is>
      </c>
      <c r="C195" t="inlineStr">
        <is>
          <t>นครปฐม</t>
        </is>
      </c>
      <c r="D195" t="n">
        <v>338</v>
      </c>
      <c r="E195" t="inlineStr">
        <is>
          <t>0201</t>
        </is>
      </c>
      <c r="F195" t="inlineStr">
        <is>
          <t>22.075–23.2</t>
        </is>
      </c>
      <c r="G195" t="n">
        <v>13.78544</v>
      </c>
      <c r="H195" t="n">
        <v>100.265179</v>
      </c>
      <c r="I195" t="inlineStr">
        <is>
          <t>hods_aadt_pnt_2568.fid-6461857d_1a0f2643074_4c98</t>
        </is>
      </c>
      <c r="J195" t="inlineStr">
        <is>
          <t>พุทธมณฑลสาย4 - นครชัยศรี</t>
        </is>
      </c>
      <c r="K195" t="inlineStr">
        <is>
          <t>22+081</t>
        </is>
      </c>
      <c r="L195" t="inlineStr">
        <is>
          <t>สถานีย่อย (C)</t>
        </is>
      </c>
      <c r="M195" t="n">
        <v>1</v>
      </c>
      <c r="N195" t="n">
        <v>13.785611</v>
      </c>
      <c r="O195" t="n">
        <v>100.271944</v>
      </c>
      <c r="P195" t="n">
        <v>0.73</v>
      </c>
      <c r="Q195" t="n">
        <v>9</v>
      </c>
      <c r="R195" t="n">
        <v>3</v>
      </c>
      <c r="S195" s="3" t="n">
        <v>141795</v>
      </c>
      <c r="T195" t="n">
        <v>1</v>
      </c>
      <c r="U195" t="n">
        <v>0</v>
      </c>
      <c r="V195" t="n">
        <v>5</v>
      </c>
      <c r="W195" t="n">
        <v>0.5556</v>
      </c>
      <c r="X195" t="inlineStr">
        <is>
          <t>low</t>
        </is>
      </c>
      <c r="Y195" s="3">
        <f>Q195*1000000</f>
        <v/>
      </c>
      <c r="Z195" s="3">
        <f>365*R195*S195*T195</f>
        <v/>
      </c>
      <c r="AA195" s="4">
        <f>Y195/Z195</f>
        <v/>
      </c>
      <c r="AB195" s="4">
        <f>Q195*1000000/(365*R195*S195)</f>
        <v/>
      </c>
      <c r="AC195">
        <f>RANK(AA195,$AA$2:$AA$395,0)</f>
        <v/>
      </c>
    </row>
    <row r="196">
      <c r="A196" t="inlineStr">
        <is>
          <t>zone_359</t>
        </is>
      </c>
      <c r="B196" t="inlineStr">
        <is>
          <t>พุทธมณฑลสาย4 - นครชัยศรี</t>
        </is>
      </c>
      <c r="C196" t="inlineStr">
        <is>
          <t>นครปฐม</t>
        </is>
      </c>
      <c r="D196" t="n">
        <v>338</v>
      </c>
      <c r="E196" t="inlineStr">
        <is>
          <t>0201</t>
        </is>
      </c>
      <c r="F196" t="inlineStr">
        <is>
          <t>21.75–21.81</t>
        </is>
      </c>
      <c r="G196" t="n">
        <v>13.78562</v>
      </c>
      <c r="H196" t="n">
        <v>100.270324</v>
      </c>
      <c r="I196" t="inlineStr">
        <is>
          <t>hods_aadt_pnt_2568.fid-6461857d_1a0f2643074_4c98</t>
        </is>
      </c>
      <c r="J196" t="inlineStr">
        <is>
          <t>พุทธมณฑลสาย4 - นครชัยศรี</t>
        </is>
      </c>
      <c r="K196" t="inlineStr">
        <is>
          <t>22+081</t>
        </is>
      </c>
      <c r="L196" t="inlineStr">
        <is>
          <t>สถานีย่อย (C)</t>
        </is>
      </c>
      <c r="M196" t="n">
        <v>1</v>
      </c>
      <c r="N196" t="n">
        <v>13.785611</v>
      </c>
      <c r="O196" t="n">
        <v>100.271944</v>
      </c>
      <c r="P196" t="n">
        <v>0.17</v>
      </c>
      <c r="Q196" t="n">
        <v>4</v>
      </c>
      <c r="R196" t="n">
        <v>3</v>
      </c>
      <c r="S196" s="3" t="n">
        <v>141795</v>
      </c>
      <c r="T196" t="n">
        <v>1</v>
      </c>
      <c r="U196" t="n">
        <v>0</v>
      </c>
      <c r="V196" t="n">
        <v>0</v>
      </c>
      <c r="W196" t="n">
        <v>0</v>
      </c>
      <c r="X196" t="inlineStr">
        <is>
          <t>low</t>
        </is>
      </c>
      <c r="Y196" s="3">
        <f>Q196*1000000</f>
        <v/>
      </c>
      <c r="Z196" s="3">
        <f>365*R196*S196*T196</f>
        <v/>
      </c>
      <c r="AA196" s="4">
        <f>Y196/Z196</f>
        <v/>
      </c>
      <c r="AB196" s="4">
        <f>Q196*1000000/(365*R196*S196)</f>
        <v/>
      </c>
      <c r="AC196">
        <f>RANK(AA196,$AA$2:$AA$395,0)</f>
        <v/>
      </c>
    </row>
    <row r="197">
      <c r="A197" t="inlineStr">
        <is>
          <t>zone_360</t>
        </is>
      </c>
      <c r="B197" t="inlineStr">
        <is>
          <t>พุทธมณฑลสาย4 - นครชัยศรี</t>
        </is>
      </c>
      <c r="C197" t="inlineStr">
        <is>
          <t>นครปฐม</t>
        </is>
      </c>
      <c r="D197" t="n">
        <v>338</v>
      </c>
      <c r="E197" t="inlineStr">
        <is>
          <t>0201</t>
        </is>
      </c>
      <c r="F197" t="inlineStr">
        <is>
          <t>21.275–21.7</t>
        </is>
      </c>
      <c r="G197" t="n">
        <v>13.785656</v>
      </c>
      <c r="H197" t="n">
        <v>100.275331</v>
      </c>
      <c r="I197" t="inlineStr">
        <is>
          <t>hods_aadt_pnt_2568.fid-6461857d_1a0f2643074_4c98</t>
        </is>
      </c>
      <c r="J197" t="inlineStr">
        <is>
          <t>พุทธมณฑลสาย4 - นครชัยศรี</t>
        </is>
      </c>
      <c r="K197" t="inlineStr">
        <is>
          <t>22+081</t>
        </is>
      </c>
      <c r="L197" t="inlineStr">
        <is>
          <t>สถานีย่อย (C)</t>
        </is>
      </c>
      <c r="M197" t="n">
        <v>1</v>
      </c>
      <c r="N197" t="n">
        <v>13.785611</v>
      </c>
      <c r="O197" t="n">
        <v>100.271944</v>
      </c>
      <c r="P197" t="n">
        <v>0.37</v>
      </c>
      <c r="Q197" t="n">
        <v>3</v>
      </c>
      <c r="R197" t="n">
        <v>3</v>
      </c>
      <c r="S197" s="3" t="n">
        <v>141795</v>
      </c>
      <c r="T197" t="n">
        <v>1</v>
      </c>
      <c r="U197" t="n">
        <v>0</v>
      </c>
      <c r="V197" t="n">
        <v>0</v>
      </c>
      <c r="W197" t="n">
        <v>0</v>
      </c>
      <c r="X197" t="inlineStr">
        <is>
          <t>low</t>
        </is>
      </c>
      <c r="Y197" s="3">
        <f>Q197*1000000</f>
        <v/>
      </c>
      <c r="Z197" s="3">
        <f>365*R197*S197*T197</f>
        <v/>
      </c>
      <c r="AA197" s="4">
        <f>Y197/Z197</f>
        <v/>
      </c>
      <c r="AB197" s="4">
        <f>Q197*1000000/(365*R197*S197)</f>
        <v/>
      </c>
      <c r="AC197">
        <f>RANK(AA197,$AA$2:$AA$395,0)</f>
        <v/>
      </c>
    </row>
    <row r="198">
      <c r="A198" t="inlineStr">
        <is>
          <t>zone_361</t>
        </is>
      </c>
      <c r="B198" t="inlineStr">
        <is>
          <t>นครปฐม - ดอนตูม</t>
        </is>
      </c>
      <c r="C198" t="inlineStr">
        <is>
          <t>นครปฐม</t>
        </is>
      </c>
      <c r="D198" t="n">
        <v>375</v>
      </c>
      <c r="E198" t="inlineStr">
        <is>
          <t>0102</t>
        </is>
      </c>
      <c r="F198" t="inlineStr">
        <is>
          <t>58–58.135</t>
        </is>
      </c>
      <c r="G198" t="n">
        <v>13.953228</v>
      </c>
      <c r="H198" t="n">
        <v>100.071251</v>
      </c>
      <c r="I198" t="inlineStr">
        <is>
          <t>hods_aadt_pnt_2568.fid-6461857d_1a0f2643074_4cd4</t>
        </is>
      </c>
      <c r="J198" t="inlineStr">
        <is>
          <t>นครปฐม - ดอนตูม</t>
        </is>
      </c>
      <c r="K198" t="inlineStr">
        <is>
          <t>43+935</t>
        </is>
      </c>
      <c r="L198" t="inlineStr">
        <is>
          <t>สถานีย่อย (C)</t>
        </is>
      </c>
      <c r="M198" t="n">
        <v>1</v>
      </c>
      <c r="N198" t="n">
        <v>13.835641</v>
      </c>
      <c r="O198" t="n">
        <v>100.068983</v>
      </c>
      <c r="P198" t="n">
        <v>13.08</v>
      </c>
      <c r="Q198" t="n">
        <v>5</v>
      </c>
      <c r="R198" t="n">
        <v>3</v>
      </c>
      <c r="S198" s="3" t="n">
        <v>61581</v>
      </c>
      <c r="T198" t="n">
        <v>1</v>
      </c>
      <c r="U198" t="n">
        <v>0</v>
      </c>
      <c r="V198" t="n">
        <v>0</v>
      </c>
      <c r="W198" t="n">
        <v>0</v>
      </c>
      <c r="X198" t="inlineStr">
        <is>
          <t>low</t>
        </is>
      </c>
      <c r="Y198" s="3">
        <f>Q198*1000000</f>
        <v/>
      </c>
      <c r="Z198" s="3">
        <f>365*R198*S198*T198</f>
        <v/>
      </c>
      <c r="AA198" s="4">
        <f>Y198/Z198</f>
        <v/>
      </c>
      <c r="AB198" s="4">
        <f>Q198*1000000/(365*R198*S198)</f>
        <v/>
      </c>
      <c r="AC198">
        <f>RANK(AA198,$AA$2:$AA$395,0)</f>
        <v/>
      </c>
    </row>
    <row r="199">
      <c r="A199" t="inlineStr">
        <is>
          <t>zone_362</t>
        </is>
      </c>
      <c r="B199" t="inlineStr">
        <is>
          <t>พระประโทน - สระกระเทียม</t>
        </is>
      </c>
      <c r="C199" t="inlineStr">
        <is>
          <t>นครปฐม</t>
        </is>
      </c>
      <c r="D199" t="n">
        <v>4</v>
      </c>
      <c r="E199" t="inlineStr">
        <is>
          <t>0202</t>
        </is>
      </c>
      <c r="F199" t="inlineStr">
        <is>
          <t>54.9–55.13</t>
        </is>
      </c>
      <c r="G199" t="n">
        <v>13.811623</v>
      </c>
      <c r="H199" t="n">
        <v>100.071588</v>
      </c>
      <c r="I199" t="inlineStr">
        <is>
          <t>hods_aadt_pnt_2568.fid-6461857d_1a0f2643074_49b2</t>
        </is>
      </c>
      <c r="J199" t="inlineStr">
        <is>
          <t>พระประโทน - สระกระเทียม</t>
        </is>
      </c>
      <c r="K199" t="inlineStr">
        <is>
          <t>55+087</t>
        </is>
      </c>
      <c r="L199" t="inlineStr">
        <is>
          <t>สถานีย่อย (C)</t>
        </is>
      </c>
      <c r="M199" t="n">
        <v>2</v>
      </c>
      <c r="N199" t="n">
        <v>13.810938</v>
      </c>
      <c r="O199" t="n">
        <v>100.069319</v>
      </c>
      <c r="P199" t="n">
        <v>0.26</v>
      </c>
      <c r="Q199" t="n">
        <v>5</v>
      </c>
      <c r="R199" t="n">
        <v>3</v>
      </c>
      <c r="S199" s="3" t="n">
        <v>100020</v>
      </c>
      <c r="T199" t="n">
        <v>1</v>
      </c>
      <c r="U199" t="n">
        <v>0</v>
      </c>
      <c r="V199" t="n">
        <v>1</v>
      </c>
      <c r="W199" t="n">
        <v>0.2</v>
      </c>
      <c r="X199" t="inlineStr">
        <is>
          <t>low</t>
        </is>
      </c>
      <c r="Y199" s="3">
        <f>Q199*1000000</f>
        <v/>
      </c>
      <c r="Z199" s="3">
        <f>365*R199*S199*T199</f>
        <v/>
      </c>
      <c r="AA199" s="4">
        <f>Y199/Z199</f>
        <v/>
      </c>
      <c r="AB199" s="4">
        <f>Q199*1000000/(365*R199*S199)</f>
        <v/>
      </c>
      <c r="AC199">
        <f>RANK(AA199,$AA$2:$AA$395,0)</f>
        <v/>
      </c>
    </row>
    <row r="200">
      <c r="A200" t="inlineStr">
        <is>
          <t>zone_363</t>
        </is>
      </c>
      <c r="B200" t="inlineStr">
        <is>
          <t>ดอนตูม - ลำลูกบัว</t>
        </is>
      </c>
      <c r="C200" t="inlineStr">
        <is>
          <t>นครปฐม</t>
        </is>
      </c>
      <c r="D200" t="n">
        <v>375</v>
      </c>
      <c r="E200" t="inlineStr">
        <is>
          <t>0103</t>
        </is>
      </c>
      <c r="F200" t="inlineStr">
        <is>
          <t>60–60.4</t>
        </is>
      </c>
      <c r="G200" t="n">
        <v>13.964983</v>
      </c>
      <c r="H200" t="n">
        <v>100.084994</v>
      </c>
      <c r="I200" t="inlineStr">
        <is>
          <t>hods_aadt_pnt_2568.fid-6461857d_1a0f2643074_4cd5</t>
        </is>
      </c>
      <c r="J200" t="inlineStr">
        <is>
          <t>ดอนตูม - ลำลูกบัว</t>
        </is>
      </c>
      <c r="K200" t="inlineStr">
        <is>
          <t>65+000</t>
        </is>
      </c>
      <c r="L200" t="inlineStr">
        <is>
          <t>สถานีย่อย (C)</t>
        </is>
      </c>
      <c r="M200" t="n">
        <v>1</v>
      </c>
      <c r="N200" t="n">
        <v>14.000317</v>
      </c>
      <c r="O200" t="n">
        <v>100.09517</v>
      </c>
      <c r="P200" t="n">
        <v>4.08</v>
      </c>
      <c r="Q200" t="n">
        <v>5</v>
      </c>
      <c r="R200" t="n">
        <v>3</v>
      </c>
      <c r="S200" s="3" t="n">
        <v>12675</v>
      </c>
      <c r="T200" t="n">
        <v>1</v>
      </c>
      <c r="U200" t="n">
        <v>0</v>
      </c>
      <c r="V200" t="n">
        <v>0</v>
      </c>
      <c r="W200" t="n">
        <v>0</v>
      </c>
      <c r="X200" t="inlineStr">
        <is>
          <t>low</t>
        </is>
      </c>
      <c r="Y200" s="3">
        <f>Q200*1000000</f>
        <v/>
      </c>
      <c r="Z200" s="3">
        <f>365*R200*S200*T200</f>
        <v/>
      </c>
      <c r="AA200" s="4">
        <f>Y200/Z200</f>
        <v/>
      </c>
      <c r="AB200" s="4">
        <f>Q200*1000000/(365*R200*S200)</f>
        <v/>
      </c>
      <c r="AC200">
        <f>RANK(AA200,$AA$2:$AA$395,0)</f>
        <v/>
      </c>
    </row>
    <row r="201">
      <c r="A201" t="inlineStr">
        <is>
          <t>zone_364</t>
        </is>
      </c>
      <c r="B201" t="inlineStr">
        <is>
          <t>พระประโทน - สระกระเทียม</t>
        </is>
      </c>
      <c r="C201" t="inlineStr">
        <is>
          <t>นครปฐม</t>
        </is>
      </c>
      <c r="D201" t="n">
        <v>4</v>
      </c>
      <c r="E201" t="inlineStr">
        <is>
          <t>0202</t>
        </is>
      </c>
      <c r="F201" t="inlineStr">
        <is>
          <t>63.6–63.608</t>
        </is>
      </c>
      <c r="G201" t="n">
        <v>13.80097</v>
      </c>
      <c r="H201" t="n">
        <v>99.99288799999999</v>
      </c>
      <c r="I201" t="inlineStr">
        <is>
          <t>hods_aadt_pnt_2568.fid-6461857d_1a0f2643074_49b2</t>
        </is>
      </c>
      <c r="J201" t="inlineStr">
        <is>
          <t>พระประโทน - สระกระเทียม</t>
        </is>
      </c>
      <c r="K201" t="inlineStr">
        <is>
          <t>55+087</t>
        </is>
      </c>
      <c r="L201" t="inlineStr">
        <is>
          <t>สถานีย่อย (C)</t>
        </is>
      </c>
      <c r="M201" t="n">
        <v>2</v>
      </c>
      <c r="N201" t="n">
        <v>13.810938</v>
      </c>
      <c r="O201" t="n">
        <v>100.069319</v>
      </c>
      <c r="P201" t="n">
        <v>8.33</v>
      </c>
      <c r="Q201" t="n">
        <v>3</v>
      </c>
      <c r="R201" t="n">
        <v>3</v>
      </c>
      <c r="S201" s="3" t="n">
        <v>100020</v>
      </c>
      <c r="T201" t="n">
        <v>1</v>
      </c>
      <c r="U201" t="n">
        <v>0</v>
      </c>
      <c r="V201" t="n">
        <v>5</v>
      </c>
      <c r="W201" t="n">
        <v>1.6667</v>
      </c>
      <c r="X201" t="inlineStr">
        <is>
          <t>medium</t>
        </is>
      </c>
      <c r="Y201" s="3">
        <f>Q201*1000000</f>
        <v/>
      </c>
      <c r="Z201" s="3">
        <f>365*R201*S201*T201</f>
        <v/>
      </c>
      <c r="AA201" s="4">
        <f>Y201/Z201</f>
        <v/>
      </c>
      <c r="AB201" s="4">
        <f>Q201*1000000/(365*R201*S201)</f>
        <v/>
      </c>
      <c r="AC201">
        <f>RANK(AA201,$AA$2:$AA$395,0)</f>
        <v/>
      </c>
    </row>
    <row r="202">
      <c r="A202" t="inlineStr">
        <is>
          <t>zone_366</t>
        </is>
      </c>
      <c r="B202" t="inlineStr">
        <is>
          <t>ดอนตูม - บางเลน</t>
        </is>
      </c>
      <c r="C202" t="inlineStr">
        <is>
          <t>นครปฐม</t>
        </is>
      </c>
      <c r="D202" t="n">
        <v>3296</v>
      </c>
      <c r="E202" t="inlineStr">
        <is>
          <t>0100</t>
        </is>
      </c>
      <c r="F202" t="inlineStr">
        <is>
          <t>1.55–1.64</t>
        </is>
      </c>
      <c r="G202" t="n">
        <v>13.974261</v>
      </c>
      <c r="H202" t="n">
        <v>100.108432</v>
      </c>
      <c r="I202" t="inlineStr">
        <is>
          <t>hods_aadt_pnt_2568.fid-6461857d_1a0f2643074_5228</t>
        </is>
      </c>
      <c r="J202" t="inlineStr">
        <is>
          <t>ดอนตูม - บางเลน</t>
        </is>
      </c>
      <c r="K202" t="inlineStr">
        <is>
          <t>1+500</t>
        </is>
      </c>
      <c r="L202" t="inlineStr">
        <is>
          <t>สถานีย่อย (C)</t>
        </is>
      </c>
      <c r="M202" t="n">
        <v>1</v>
      </c>
      <c r="N202" t="n">
        <v>13.974478</v>
      </c>
      <c r="O202" t="n">
        <v>100.108981</v>
      </c>
      <c r="P202" t="n">
        <v>0.06</v>
      </c>
      <c r="Q202" t="n">
        <v>3</v>
      </c>
      <c r="R202" t="n">
        <v>3</v>
      </c>
      <c r="S202" s="3" t="n">
        <v>29359</v>
      </c>
      <c r="T202" t="n">
        <v>1</v>
      </c>
      <c r="U202" t="n">
        <v>0</v>
      </c>
      <c r="V202" t="n">
        <v>6</v>
      </c>
      <c r="W202" t="n">
        <v>2</v>
      </c>
      <c r="X202" t="inlineStr">
        <is>
          <t>high</t>
        </is>
      </c>
      <c r="Y202" s="3">
        <f>Q202*1000000</f>
        <v/>
      </c>
      <c r="Z202" s="3">
        <f>365*R202*S202*T202</f>
        <v/>
      </c>
      <c r="AA202" s="4">
        <f>Y202/Z202</f>
        <v/>
      </c>
      <c r="AB202" s="4">
        <f>Q202*1000000/(365*R202*S202)</f>
        <v/>
      </c>
      <c r="AC202">
        <f>RANK(AA202,$AA$2:$AA$395,0)</f>
        <v/>
      </c>
    </row>
    <row r="203">
      <c r="A203" t="inlineStr">
        <is>
          <t>zone_367</t>
        </is>
      </c>
      <c r="B203" t="inlineStr">
        <is>
          <t>ลาดบัวหลวง - สองพี่น้อง</t>
        </is>
      </c>
      <c r="C203" t="inlineStr">
        <is>
          <t>นครปฐม</t>
        </is>
      </c>
      <c r="D203" t="n">
        <v>3422</v>
      </c>
      <c r="E203" t="inlineStr">
        <is>
          <t>0100</t>
        </is>
      </c>
      <c r="F203" t="inlineStr">
        <is>
          <t>4.6–4.6</t>
        </is>
      </c>
      <c r="G203" t="n">
        <v>14.160725</v>
      </c>
      <c r="H203" t="n">
        <v>100.248668</v>
      </c>
      <c r="I203" t="inlineStr">
        <is>
          <t>hods_aadt_pnt_2568.fid-6461857d_1a0f2643074_5296</t>
        </is>
      </c>
      <c r="J203" t="inlineStr">
        <is>
          <t>ลาดบัวหลวง - สองพี่น้อง</t>
        </is>
      </c>
      <c r="K203" t="inlineStr">
        <is>
          <t>15+355</t>
        </is>
      </c>
      <c r="L203" t="inlineStr">
        <is>
          <t>สถานีย่อย (C)</t>
        </is>
      </c>
      <c r="M203" t="n">
        <v>1</v>
      </c>
      <c r="N203" t="n">
        <v>14.157818</v>
      </c>
      <c r="O203" t="n">
        <v>100.149299</v>
      </c>
      <c r="P203" t="n">
        <v>10.72</v>
      </c>
      <c r="Q203" t="n">
        <v>3</v>
      </c>
      <c r="R203" t="n">
        <v>3</v>
      </c>
      <c r="S203" s="3" t="n">
        <v>9222</v>
      </c>
      <c r="T203" t="n">
        <v>1</v>
      </c>
      <c r="U203" t="n">
        <v>0</v>
      </c>
      <c r="V203" t="n">
        <v>0</v>
      </c>
      <c r="W203" t="n">
        <v>0</v>
      </c>
      <c r="X203" t="inlineStr">
        <is>
          <t>low</t>
        </is>
      </c>
      <c r="Y203" s="3">
        <f>Q203*1000000</f>
        <v/>
      </c>
      <c r="Z203" s="3">
        <f>365*R203*S203*T203</f>
        <v/>
      </c>
      <c r="AA203" s="4">
        <f>Y203/Z203</f>
        <v/>
      </c>
      <c r="AB203" s="4">
        <f>Q203*1000000/(365*R203*S203)</f>
        <v/>
      </c>
      <c r="AC203">
        <f>RANK(AA203,$AA$2:$AA$395,0)</f>
        <v/>
      </c>
    </row>
    <row r="204">
      <c r="A204" t="inlineStr">
        <is>
          <t>zone_368</t>
        </is>
      </c>
      <c r="B204" t="inlineStr">
        <is>
          <t>นครชัยศรี - พระประโทน</t>
        </is>
      </c>
      <c r="C204" t="inlineStr">
        <is>
          <t>นครปฐม</t>
        </is>
      </c>
      <c r="D204" t="n">
        <v>4</v>
      </c>
      <c r="E204" t="inlineStr">
        <is>
          <t>0201</t>
        </is>
      </c>
      <c r="F204" t="inlineStr">
        <is>
          <t>47.2–47.485</t>
        </is>
      </c>
      <c r="G204" t="n">
        <v>13.808745</v>
      </c>
      <c r="H204" t="n">
        <v>100.142326</v>
      </c>
      <c r="I204" t="inlineStr">
        <is>
          <t>hods_aadt_pnt_2568.fid-6461857d_1a0f2643074_49b1</t>
        </is>
      </c>
      <c r="J204" t="inlineStr">
        <is>
          <t>นครชัยศรี - พระประโทน</t>
        </is>
      </c>
      <c r="K204" t="inlineStr">
        <is>
          <t>41+500</t>
        </is>
      </c>
      <c r="L204" t="inlineStr">
        <is>
          <t>สถานีหลัก (P)</t>
        </is>
      </c>
      <c r="M204" t="n">
        <v>1</v>
      </c>
      <c r="N204" t="n">
        <v>13.777139</v>
      </c>
      <c r="O204" t="n">
        <v>100.178157</v>
      </c>
      <c r="P204" t="n">
        <v>5.23</v>
      </c>
      <c r="Q204" t="n">
        <v>3</v>
      </c>
      <c r="R204" t="n">
        <v>3</v>
      </c>
      <c r="S204" s="3" t="n">
        <v>96217</v>
      </c>
      <c r="T204" t="n">
        <v>1</v>
      </c>
      <c r="U204" t="n">
        <v>1</v>
      </c>
      <c r="V204" t="n">
        <v>1</v>
      </c>
      <c r="W204" t="n">
        <v>0.6667</v>
      </c>
      <c r="X204" t="inlineStr">
        <is>
          <t>low</t>
        </is>
      </c>
      <c r="Y204" s="3">
        <f>Q204*1000000</f>
        <v/>
      </c>
      <c r="Z204" s="3">
        <f>365*R204*S204*T204</f>
        <v/>
      </c>
      <c r="AA204" s="4">
        <f>Y204/Z204</f>
        <v/>
      </c>
      <c r="AB204" s="4">
        <f>Q204*1000000/(365*R204*S204)</f>
        <v/>
      </c>
      <c r="AC204">
        <f>RANK(AA204,$AA$2:$AA$395,0)</f>
        <v/>
      </c>
    </row>
    <row r="205">
      <c r="A205" t="inlineStr">
        <is>
          <t>zone_369</t>
        </is>
      </c>
      <c r="B205" t="inlineStr">
        <is>
          <t>พระประโทน - สระกระเทียม</t>
        </is>
      </c>
      <c r="C205" t="inlineStr">
        <is>
          <t>นครปฐม</t>
        </is>
      </c>
      <c r="D205" t="n">
        <v>4</v>
      </c>
      <c r="E205" t="inlineStr">
        <is>
          <t>0202</t>
        </is>
      </c>
      <c r="F205" t="inlineStr">
        <is>
          <t>66.77–67.04</t>
        </is>
      </c>
      <c r="G205" t="n">
        <v>13.79654</v>
      </c>
      <c r="H205" t="n">
        <v>99.963587</v>
      </c>
      <c r="I205" t="inlineStr">
        <is>
          <t>hods_aadt_pnt_2568.fid-6461857d_1a0f2643074_49b2</t>
        </is>
      </c>
      <c r="J205" t="inlineStr">
        <is>
          <t>พระประโทน - สระกระเทียม</t>
        </is>
      </c>
      <c r="K205" t="inlineStr">
        <is>
          <t>55+087</t>
        </is>
      </c>
      <c r="L205" t="inlineStr">
        <is>
          <t>สถานีย่อย (C)</t>
        </is>
      </c>
      <c r="M205" t="n">
        <v>2</v>
      </c>
      <c r="N205" t="n">
        <v>13.810938</v>
      </c>
      <c r="O205" t="n">
        <v>100.069319</v>
      </c>
      <c r="P205" t="n">
        <v>11.53</v>
      </c>
      <c r="Q205" t="n">
        <v>3</v>
      </c>
      <c r="R205" t="n">
        <v>3</v>
      </c>
      <c r="S205" s="3" t="n">
        <v>100020</v>
      </c>
      <c r="T205" t="n">
        <v>1</v>
      </c>
      <c r="U205" t="n">
        <v>0</v>
      </c>
      <c r="V205" t="n">
        <v>2</v>
      </c>
      <c r="W205" t="n">
        <v>0.6667</v>
      </c>
      <c r="X205" t="inlineStr">
        <is>
          <t>low</t>
        </is>
      </c>
      <c r="Y205" s="3">
        <f>Q205*1000000</f>
        <v/>
      </c>
      <c r="Z205" s="3">
        <f>365*R205*S205*T205</f>
        <v/>
      </c>
      <c r="AA205" s="4">
        <f>Y205/Z205</f>
        <v/>
      </c>
      <c r="AB205" s="4">
        <f>Q205*1000000/(365*R205*S205)</f>
        <v/>
      </c>
      <c r="AC205">
        <f>RANK(AA205,$AA$2:$AA$395,0)</f>
        <v/>
      </c>
    </row>
    <row r="206">
      <c r="A206" t="inlineStr">
        <is>
          <t>zone_370</t>
        </is>
      </c>
      <c r="B206" t="inlineStr">
        <is>
          <t>พุทธมณฑลสาย4 - นครชัยศรี</t>
        </is>
      </c>
      <c r="C206" t="inlineStr">
        <is>
          <t>นครปฐม</t>
        </is>
      </c>
      <c r="D206" t="n">
        <v>338</v>
      </c>
      <c r="E206" t="inlineStr">
        <is>
          <t>0201</t>
        </is>
      </c>
      <c r="F206" t="inlineStr">
        <is>
          <t>28.332–28.4</t>
        </is>
      </c>
      <c r="G206" t="n">
        <v>13.780473</v>
      </c>
      <c r="H206" t="n">
        <v>100.234855</v>
      </c>
      <c r="I206" t="inlineStr">
        <is>
          <t>hods_aadt_pnt_2568.fid-6461857d_1a0f2643074_4c98</t>
        </is>
      </c>
      <c r="J206" t="inlineStr">
        <is>
          <t>พุทธมณฑลสาย4 - นครชัยศรี</t>
        </is>
      </c>
      <c r="K206" t="inlineStr">
        <is>
          <t>22+081</t>
        </is>
      </c>
      <c r="L206" t="inlineStr">
        <is>
          <t>สถานีย่อย (C)</t>
        </is>
      </c>
      <c r="M206" t="n">
        <v>1</v>
      </c>
      <c r="N206" t="n">
        <v>13.785611</v>
      </c>
      <c r="O206" t="n">
        <v>100.271944</v>
      </c>
      <c r="P206" t="n">
        <v>4.05</v>
      </c>
      <c r="Q206" t="n">
        <v>4</v>
      </c>
      <c r="R206" t="n">
        <v>3</v>
      </c>
      <c r="S206" s="3" t="n">
        <v>141795</v>
      </c>
      <c r="T206" t="n">
        <v>1</v>
      </c>
      <c r="U206" t="n">
        <v>0</v>
      </c>
      <c r="V206" t="n">
        <v>3</v>
      </c>
      <c r="W206" t="n">
        <v>0.75</v>
      </c>
      <c r="X206" t="inlineStr">
        <is>
          <t>low</t>
        </is>
      </c>
      <c r="Y206" s="3">
        <f>Q206*1000000</f>
        <v/>
      </c>
      <c r="Z206" s="3">
        <f>365*R206*S206*T206</f>
        <v/>
      </c>
      <c r="AA206" s="4">
        <f>Y206/Z206</f>
        <v/>
      </c>
      <c r="AB206" s="4">
        <f>Q206*1000000/(365*R206*S206)</f>
        <v/>
      </c>
      <c r="AC206">
        <f>RANK(AA206,$AA$2:$AA$395,0)</f>
        <v/>
      </c>
    </row>
    <row r="207">
      <c r="A207" t="inlineStr">
        <is>
          <t>zone_371</t>
        </is>
      </c>
      <c r="B207" t="inlineStr">
        <is>
          <t>พุทธมณฑลสาย4 - นครชัยศรี</t>
        </is>
      </c>
      <c r="C207" t="inlineStr">
        <is>
          <t>นครปฐม</t>
        </is>
      </c>
      <c r="D207" t="n">
        <v>338</v>
      </c>
      <c r="E207" t="inlineStr">
        <is>
          <t>0201</t>
        </is>
      </c>
      <c r="F207" t="inlineStr">
        <is>
          <t>25.5–27.85</t>
        </is>
      </c>
      <c r="G207" t="n">
        <v>13.781927</v>
      </c>
      <c r="H207" t="n">
        <v>100.240751</v>
      </c>
      <c r="I207" t="inlineStr">
        <is>
          <t>hods_aadt_pnt_2568.fid-6461857d_1a0f2643074_4c98</t>
        </is>
      </c>
      <c r="J207" t="inlineStr">
        <is>
          <t>พุทธมณฑลสาย4 - นครชัยศรี</t>
        </is>
      </c>
      <c r="K207" t="inlineStr">
        <is>
          <t>22+081</t>
        </is>
      </c>
      <c r="L207" t="inlineStr">
        <is>
          <t>สถานีย่อย (C)</t>
        </is>
      </c>
      <c r="M207" t="n">
        <v>1</v>
      </c>
      <c r="N207" t="n">
        <v>13.785611</v>
      </c>
      <c r="O207" t="n">
        <v>100.271944</v>
      </c>
      <c r="P207" t="n">
        <v>3.39</v>
      </c>
      <c r="Q207" t="n">
        <v>4</v>
      </c>
      <c r="R207" t="n">
        <v>3</v>
      </c>
      <c r="S207" s="3" t="n">
        <v>141795</v>
      </c>
      <c r="T207" t="n">
        <v>1</v>
      </c>
      <c r="U207" t="n">
        <v>0</v>
      </c>
      <c r="V207" t="n">
        <v>4</v>
      </c>
      <c r="W207" t="n">
        <v>1</v>
      </c>
      <c r="X207" t="inlineStr">
        <is>
          <t>medium</t>
        </is>
      </c>
      <c r="Y207" s="3">
        <f>Q207*1000000</f>
        <v/>
      </c>
      <c r="Z207" s="3">
        <f>365*R207*S207*T207</f>
        <v/>
      </c>
      <c r="AA207" s="4">
        <f>Y207/Z207</f>
        <v/>
      </c>
      <c r="AB207" s="4">
        <f>Q207*1000000/(365*R207*S207)</f>
        <v/>
      </c>
      <c r="AC207">
        <f>RANK(AA207,$AA$2:$AA$395,0)</f>
        <v/>
      </c>
    </row>
    <row r="208">
      <c r="A208" t="inlineStr">
        <is>
          <t>zone_372</t>
        </is>
      </c>
      <c r="B208" t="inlineStr">
        <is>
          <t>กำแพงแสน - ทุ่งคอก</t>
        </is>
      </c>
      <c r="C208" t="inlineStr">
        <is>
          <t>นครปฐม</t>
        </is>
      </c>
      <c r="D208" t="n">
        <v>321</v>
      </c>
      <c r="E208" t="inlineStr">
        <is>
          <t>0201</t>
        </is>
      </c>
      <c r="F208" t="inlineStr">
        <is>
          <t>34.247–34.586</t>
        </is>
      </c>
      <c r="G208" t="n">
        <v>14.083048</v>
      </c>
      <c r="H208" t="n">
        <v>99.988322</v>
      </c>
      <c r="I208" t="inlineStr">
        <is>
          <t>hods_aadt_pnt_2568.fid-6461857d_1a0f2643074_4c64</t>
        </is>
      </c>
      <c r="J208" t="inlineStr">
        <is>
          <t>กำแพงแสน - ทุ่งคอก</t>
        </is>
      </c>
      <c r="K208" t="inlineStr">
        <is>
          <t>48+551</t>
        </is>
      </c>
      <c r="L208" t="inlineStr">
        <is>
          <t>สถานีย่อย (C)</t>
        </is>
      </c>
      <c r="M208" t="n">
        <v>1</v>
      </c>
      <c r="N208" t="n">
        <v>14.182673</v>
      </c>
      <c r="O208" t="n">
        <v>99.935332</v>
      </c>
      <c r="P208" t="n">
        <v>12.46</v>
      </c>
      <c r="Q208" t="n">
        <v>3</v>
      </c>
      <c r="R208" t="n">
        <v>3</v>
      </c>
      <c r="S208" s="3" t="n">
        <v>16933</v>
      </c>
      <c r="T208" t="n">
        <v>1</v>
      </c>
      <c r="U208" t="n">
        <v>2</v>
      </c>
      <c r="V208" t="n">
        <v>4</v>
      </c>
      <c r="W208" t="n">
        <v>2</v>
      </c>
      <c r="X208" t="inlineStr">
        <is>
          <t>high</t>
        </is>
      </c>
      <c r="Y208" s="3">
        <f>Q208*1000000</f>
        <v/>
      </c>
      <c r="Z208" s="3">
        <f>365*R208*S208*T208</f>
        <v/>
      </c>
      <c r="AA208" s="4">
        <f>Y208/Z208</f>
        <v/>
      </c>
      <c r="AB208" s="4">
        <f>Q208*1000000/(365*R208*S208)</f>
        <v/>
      </c>
      <c r="AC208">
        <f>RANK(AA208,$AA$2:$AA$395,0)</f>
        <v/>
      </c>
    </row>
    <row r="209">
      <c r="A209" t="inlineStr">
        <is>
          <t>zone_373</t>
        </is>
      </c>
      <c r="B209" t="inlineStr">
        <is>
          <t>ดอนตูม - ลำลูกบัว</t>
        </is>
      </c>
      <c r="C209" t="inlineStr">
        <is>
          <t>นครปฐม</t>
        </is>
      </c>
      <c r="D209" t="n">
        <v>375</v>
      </c>
      <c r="E209" t="inlineStr">
        <is>
          <t>0101</t>
        </is>
      </c>
      <c r="F209" t="inlineStr">
        <is>
          <t>8.22–59.08</t>
        </is>
      </c>
      <c r="G209" t="n">
        <v>13.959501</v>
      </c>
      <c r="H209" t="n">
        <v>100.078517</v>
      </c>
      <c r="I209" t="inlineStr">
        <is>
          <t>hods_aadt_pnt_2568.fid-6461857d_1a0f2643074_4cd3</t>
        </is>
      </c>
      <c r="J209" t="inlineStr">
        <is>
          <t>บ้านบ่อ - พระประโทน</t>
        </is>
      </c>
      <c r="K209" t="inlineStr">
        <is>
          <t>16+521</t>
        </is>
      </c>
      <c r="L209" t="inlineStr">
        <is>
          <t>สถานีย่อย (C)</t>
        </is>
      </c>
      <c r="M209" t="n">
        <v>1</v>
      </c>
      <c r="N209" t="n">
        <v>13.628216</v>
      </c>
      <c r="O209" t="n">
        <v>100.094511</v>
      </c>
      <c r="P209" t="n">
        <v>36.88</v>
      </c>
      <c r="Q209" t="n">
        <v>3</v>
      </c>
      <c r="R209" t="n">
        <v>3</v>
      </c>
      <c r="S209" s="3" t="n">
        <v>42129</v>
      </c>
      <c r="T209" t="n">
        <v>1</v>
      </c>
      <c r="U209" t="n">
        <v>0</v>
      </c>
      <c r="V209" t="n">
        <v>0</v>
      </c>
      <c r="W209" t="n">
        <v>0</v>
      </c>
      <c r="X209" t="inlineStr">
        <is>
          <t>low</t>
        </is>
      </c>
      <c r="Y209" s="3">
        <f>Q209*1000000</f>
        <v/>
      </c>
      <c r="Z209" s="3">
        <f>365*R209*S209*T209</f>
        <v/>
      </c>
      <c r="AA209" s="4">
        <f>Y209/Z209</f>
        <v/>
      </c>
      <c r="AB209" s="4">
        <f>Q209*1000000/(365*R209*S209)</f>
        <v/>
      </c>
      <c r="AC209">
        <f>RANK(AA209,$AA$2:$AA$395,0)</f>
        <v/>
      </c>
    </row>
    <row r="210">
      <c r="A210" t="inlineStr">
        <is>
          <t>zone_374</t>
        </is>
      </c>
      <c r="B210" t="inlineStr">
        <is>
          <t>นครปฐม - ดอนตูม</t>
        </is>
      </c>
      <c r="C210" t="inlineStr">
        <is>
          <t>นครปฐม</t>
        </is>
      </c>
      <c r="D210" t="n">
        <v>375</v>
      </c>
      <c r="E210" t="inlineStr">
        <is>
          <t>0102</t>
        </is>
      </c>
      <c r="F210" t="inlineStr">
        <is>
          <t>54.652–54.732</t>
        </is>
      </c>
      <c r="G210" t="n">
        <v>13.923491</v>
      </c>
      <c r="H210" t="n">
        <v>100.065967</v>
      </c>
      <c r="I210" t="inlineStr">
        <is>
          <t>hods_aadt_pnt_2568.fid-6461857d_1a0f2643074_4cd4</t>
        </is>
      </c>
      <c r="J210" t="inlineStr">
        <is>
          <t>นครปฐม - ดอนตูม</t>
        </is>
      </c>
      <c r="K210" t="inlineStr">
        <is>
          <t>43+935</t>
        </is>
      </c>
      <c r="L210" t="inlineStr">
        <is>
          <t>สถานีย่อย (C)</t>
        </is>
      </c>
      <c r="M210" t="n">
        <v>1</v>
      </c>
      <c r="N210" t="n">
        <v>13.835641</v>
      </c>
      <c r="O210" t="n">
        <v>100.068983</v>
      </c>
      <c r="P210" t="n">
        <v>9.77</v>
      </c>
      <c r="Q210" t="n">
        <v>3</v>
      </c>
      <c r="R210" t="n">
        <v>3</v>
      </c>
      <c r="S210" s="3" t="n">
        <v>61581</v>
      </c>
      <c r="T210" t="n">
        <v>1</v>
      </c>
      <c r="U210" t="n">
        <v>1</v>
      </c>
      <c r="V210" t="n">
        <v>2</v>
      </c>
      <c r="W210" t="n">
        <v>1</v>
      </c>
      <c r="X210" t="inlineStr">
        <is>
          <t>medium</t>
        </is>
      </c>
      <c r="Y210" s="3">
        <f>Q210*1000000</f>
        <v/>
      </c>
      <c r="Z210" s="3">
        <f>365*R210*S210*T210</f>
        <v/>
      </c>
      <c r="AA210" s="4">
        <f>Y210/Z210</f>
        <v/>
      </c>
      <c r="AB210" s="4">
        <f>Q210*1000000/(365*R210*S210)</f>
        <v/>
      </c>
      <c r="AC210">
        <f>RANK(AA210,$AA$2:$AA$395,0)</f>
        <v/>
      </c>
    </row>
    <row r="211">
      <c r="A211" t="inlineStr">
        <is>
          <t>zone_375</t>
        </is>
      </c>
      <c r="B211" t="inlineStr">
        <is>
          <t>นครชัยศรี - พระประโทน</t>
        </is>
      </c>
      <c r="C211" t="inlineStr">
        <is>
          <t>นครปฐม</t>
        </is>
      </c>
      <c r="D211" t="n">
        <v>4</v>
      </c>
      <c r="E211" t="inlineStr">
        <is>
          <t>0201</t>
        </is>
      </c>
      <c r="F211" t="inlineStr">
        <is>
          <t>41.78–41.95</t>
        </is>
      </c>
      <c r="G211" t="n">
        <v>13.780384</v>
      </c>
      <c r="H211" t="n">
        <v>100.176511</v>
      </c>
      <c r="I211" t="inlineStr">
        <is>
          <t>hods_aadt_pnt_2568.fid-6461857d_1a0f2643074_49b1</t>
        </is>
      </c>
      <c r="J211" t="inlineStr">
        <is>
          <t>นครชัยศรี - พระประโทน</t>
        </is>
      </c>
      <c r="K211" t="inlineStr">
        <is>
          <t>41+500</t>
        </is>
      </c>
      <c r="L211" t="inlineStr">
        <is>
          <t>สถานีหลัก (P)</t>
        </is>
      </c>
      <c r="M211" t="n">
        <v>1</v>
      </c>
      <c r="N211" t="n">
        <v>13.777139</v>
      </c>
      <c r="O211" t="n">
        <v>100.178157</v>
      </c>
      <c r="P211" t="n">
        <v>0.4</v>
      </c>
      <c r="Q211" t="n">
        <v>3</v>
      </c>
      <c r="R211" t="n">
        <v>3</v>
      </c>
      <c r="S211" s="3" t="n">
        <v>96217</v>
      </c>
      <c r="T211" t="n">
        <v>1</v>
      </c>
      <c r="U211" t="n">
        <v>3</v>
      </c>
      <c r="V211" t="n">
        <v>12</v>
      </c>
      <c r="W211" t="n">
        <v>4.3333</v>
      </c>
      <c r="X211" t="inlineStr">
        <is>
          <t>high</t>
        </is>
      </c>
      <c r="Y211" s="3">
        <f>Q211*1000000</f>
        <v/>
      </c>
      <c r="Z211" s="3">
        <f>365*R211*S211*T211</f>
        <v/>
      </c>
      <c r="AA211" s="4">
        <f>Y211/Z211</f>
        <v/>
      </c>
      <c r="AB211" s="4">
        <f>Q211*1000000/(365*R211*S211)</f>
        <v/>
      </c>
      <c r="AC211">
        <f>RANK(AA211,$AA$2:$AA$395,0)</f>
        <v/>
      </c>
    </row>
    <row r="212">
      <c r="A212" t="inlineStr">
        <is>
          <t>zone_376</t>
        </is>
      </c>
      <c r="B212" t="inlineStr">
        <is>
          <t>กระทุ่มล้ม - พุทธมณฑล</t>
        </is>
      </c>
      <c r="C212" t="inlineStr">
        <is>
          <t>นครปฐม</t>
        </is>
      </c>
      <c r="D212" t="n">
        <v>3310</v>
      </c>
      <c r="E212" t="inlineStr">
        <is>
          <t>0100</t>
        </is>
      </c>
      <c r="F212" t="inlineStr">
        <is>
          <t>7.95–8</t>
        </is>
      </c>
      <c r="G212" t="n">
        <v>13.776416</v>
      </c>
      <c r="H212" t="n">
        <v>100.328004</v>
      </c>
      <c r="I212" t="inlineStr">
        <is>
          <t>hods_aadt_pnt_2568.fid-6461857d_1a0f2643074_523b</t>
        </is>
      </c>
      <c r="J212" t="inlineStr">
        <is>
          <t>กระทุ่มล้ม - พุทธมณฑล</t>
        </is>
      </c>
      <c r="K212" t="inlineStr">
        <is>
          <t>2+500</t>
        </is>
      </c>
      <c r="L212" t="inlineStr">
        <is>
          <t>สถานีย่อย (C)</t>
        </is>
      </c>
      <c r="M212" t="n">
        <v>1</v>
      </c>
      <c r="N212" t="n">
        <v>13.727372</v>
      </c>
      <c r="O212" t="n">
        <v>100.329856</v>
      </c>
      <c r="P212" t="n">
        <v>5.46</v>
      </c>
      <c r="Q212" t="n">
        <v>3</v>
      </c>
      <c r="R212" t="n">
        <v>3</v>
      </c>
      <c r="S212" s="3" t="n">
        <v>82371</v>
      </c>
      <c r="T212" t="n">
        <v>1</v>
      </c>
      <c r="U212" t="n">
        <v>1</v>
      </c>
      <c r="V212" t="n">
        <v>2</v>
      </c>
      <c r="W212" t="n">
        <v>1</v>
      </c>
      <c r="X212" t="inlineStr">
        <is>
          <t>medium</t>
        </is>
      </c>
      <c r="Y212" s="3">
        <f>Q212*1000000</f>
        <v/>
      </c>
      <c r="Z212" s="3">
        <f>365*R212*S212*T212</f>
        <v/>
      </c>
      <c r="AA212" s="4">
        <f>Y212/Z212</f>
        <v/>
      </c>
      <c r="AB212" s="4">
        <f>Q212*1000000/(365*R212*S212)</f>
        <v/>
      </c>
      <c r="AC212">
        <f>RANK(AA212,$AA$2:$AA$395,0)</f>
        <v/>
      </c>
    </row>
    <row r="213">
      <c r="A213" t="inlineStr">
        <is>
          <t>zone_377</t>
        </is>
      </c>
      <c r="B213" t="inlineStr">
        <is>
          <t>อ้อมใหญ่ - นครชัยศรี</t>
        </is>
      </c>
      <c r="C213" t="inlineStr">
        <is>
          <t>นครปฐม</t>
        </is>
      </c>
      <c r="D213" t="n">
        <v>4</v>
      </c>
      <c r="E213" t="inlineStr">
        <is>
          <t>0100</t>
        </is>
      </c>
      <c r="F213" t="inlineStr">
        <is>
          <t>28.039–28.135</t>
        </is>
      </c>
      <c r="G213" t="n">
        <v>13.709261</v>
      </c>
      <c r="H213" t="n">
        <v>100.271079</v>
      </c>
      <c r="I213" t="inlineStr">
        <is>
          <t>hods_aadt_pnt_2568.fid-6461857d_1a0f2643074_49af</t>
        </is>
      </c>
      <c r="J213" t="inlineStr">
        <is>
          <t>อ้อมใหญ่ - นครชัยศรี</t>
        </is>
      </c>
      <c r="K213" t="inlineStr">
        <is>
          <t>26+500</t>
        </is>
      </c>
      <c r="L213" t="inlineStr">
        <is>
          <t>สถานีย่อย (C)</t>
        </is>
      </c>
      <c r="M213" t="n">
        <v>2</v>
      </c>
      <c r="N213" t="n">
        <v>13.707862</v>
      </c>
      <c r="O213" t="n">
        <v>100.285332</v>
      </c>
      <c r="P213" t="n">
        <v>1.55</v>
      </c>
      <c r="Q213" t="n">
        <v>4</v>
      </c>
      <c r="R213" t="n">
        <v>3</v>
      </c>
      <c r="S213" s="3" t="n">
        <v>77720</v>
      </c>
      <c r="T213" t="n">
        <v>1</v>
      </c>
      <c r="U213" t="n">
        <v>0</v>
      </c>
      <c r="V213" t="n">
        <v>1</v>
      </c>
      <c r="W213" t="n">
        <v>0.25</v>
      </c>
      <c r="X213" t="inlineStr">
        <is>
          <t>low</t>
        </is>
      </c>
      <c r="Y213" s="3">
        <f>Q213*1000000</f>
        <v/>
      </c>
      <c r="Z213" s="3">
        <f>365*R213*S213*T213</f>
        <v/>
      </c>
      <c r="AA213" s="4">
        <f>Y213/Z213</f>
        <v/>
      </c>
      <c r="AB213" s="4">
        <f>Q213*1000000/(365*R213*S213)</f>
        <v/>
      </c>
      <c r="AC213">
        <f>RANK(AA213,$AA$2:$AA$395,0)</f>
        <v/>
      </c>
    </row>
    <row r="214">
      <c r="A214" t="inlineStr">
        <is>
          <t>zone_378</t>
        </is>
      </c>
      <c r="B214" t="inlineStr">
        <is>
          <t>พระประโทน - สระกระเทียม</t>
        </is>
      </c>
      <c r="C214" t="inlineStr">
        <is>
          <t>นครปฐม</t>
        </is>
      </c>
      <c r="D214" t="n">
        <v>4</v>
      </c>
      <c r="E214" t="inlineStr">
        <is>
          <t>0202</t>
        </is>
      </c>
      <c r="F214" t="inlineStr">
        <is>
          <t>65.5–65.8</t>
        </is>
      </c>
      <c r="G214" t="n">
        <v>13.798429</v>
      </c>
      <c r="H214" t="n">
        <v>99.974352</v>
      </c>
      <c r="I214" t="inlineStr">
        <is>
          <t>hods_aadt_pnt_2568.fid-6461857d_1a0f2643074_49b2</t>
        </is>
      </c>
      <c r="J214" t="inlineStr">
        <is>
          <t>พระประโทน - สระกระเทียม</t>
        </is>
      </c>
      <c r="K214" t="inlineStr">
        <is>
          <t>55+087</t>
        </is>
      </c>
      <c r="L214" t="inlineStr">
        <is>
          <t>สถานีย่อย (C)</t>
        </is>
      </c>
      <c r="M214" t="n">
        <v>2</v>
      </c>
      <c r="N214" t="n">
        <v>13.810938</v>
      </c>
      <c r="O214" t="n">
        <v>100.069319</v>
      </c>
      <c r="P214" t="n">
        <v>10.35</v>
      </c>
      <c r="Q214" t="n">
        <v>3</v>
      </c>
      <c r="R214" t="n">
        <v>3</v>
      </c>
      <c r="S214" s="3" t="n">
        <v>100020</v>
      </c>
      <c r="T214" t="n">
        <v>1</v>
      </c>
      <c r="U214" t="n">
        <v>3</v>
      </c>
      <c r="V214" t="n">
        <v>10</v>
      </c>
      <c r="W214" t="n">
        <v>3.6667</v>
      </c>
      <c r="X214" t="inlineStr">
        <is>
          <t>high</t>
        </is>
      </c>
      <c r="Y214" s="3">
        <f>Q214*1000000</f>
        <v/>
      </c>
      <c r="Z214" s="3">
        <f>365*R214*S214*T214</f>
        <v/>
      </c>
      <c r="AA214" s="4">
        <f>Y214/Z214</f>
        <v/>
      </c>
      <c r="AB214" s="4">
        <f>Q214*1000000/(365*R214*S214)</f>
        <v/>
      </c>
      <c r="AC214">
        <f>RANK(AA214,$AA$2:$AA$395,0)</f>
        <v/>
      </c>
    </row>
    <row r="215">
      <c r="A215" t="inlineStr">
        <is>
          <t>zone_379</t>
        </is>
      </c>
      <c r="B215" t="inlineStr">
        <is>
          <t>พระประโทน - สระกระเทียม</t>
        </is>
      </c>
      <c r="C215" t="inlineStr">
        <is>
          <t>นครปฐม</t>
        </is>
      </c>
      <c r="D215" t="n">
        <v>4</v>
      </c>
      <c r="E215" t="inlineStr">
        <is>
          <t>0202</t>
        </is>
      </c>
      <c r="F215" t="inlineStr">
        <is>
          <t>59.75–60</t>
        </is>
      </c>
      <c r="G215" t="n">
        <v>13.804057</v>
      </c>
      <c r="H215" t="n">
        <v>100.02861</v>
      </c>
      <c r="I215" t="inlineStr">
        <is>
          <t>hods_aadt_pnt_2568.fid-6461857d_1a0f2643074_49b2</t>
        </is>
      </c>
      <c r="J215" t="inlineStr">
        <is>
          <t>พระประโทน - สระกระเทียม</t>
        </is>
      </c>
      <c r="K215" t="inlineStr">
        <is>
          <t>55+087</t>
        </is>
      </c>
      <c r="L215" t="inlineStr">
        <is>
          <t>สถานีย่อย (C)</t>
        </is>
      </c>
      <c r="M215" t="n">
        <v>2</v>
      </c>
      <c r="N215" t="n">
        <v>13.810938</v>
      </c>
      <c r="O215" t="n">
        <v>100.069319</v>
      </c>
      <c r="P215" t="n">
        <v>4.46</v>
      </c>
      <c r="Q215" t="n">
        <v>3</v>
      </c>
      <c r="R215" t="n">
        <v>3</v>
      </c>
      <c r="S215" s="3" t="n">
        <v>100020</v>
      </c>
      <c r="T215" t="n">
        <v>1</v>
      </c>
      <c r="U215" t="n">
        <v>0</v>
      </c>
      <c r="V215" t="n">
        <v>1</v>
      </c>
      <c r="W215" t="n">
        <v>0.3333</v>
      </c>
      <c r="X215" t="inlineStr">
        <is>
          <t>low</t>
        </is>
      </c>
      <c r="Y215" s="3">
        <f>Q215*1000000</f>
        <v/>
      </c>
      <c r="Z215" s="3">
        <f>365*R215*S215*T215</f>
        <v/>
      </c>
      <c r="AA215" s="4">
        <f>Y215/Z215</f>
        <v/>
      </c>
      <c r="AB215" s="4">
        <f>Q215*1000000/(365*R215*S215)</f>
        <v/>
      </c>
      <c r="AC215">
        <f>RANK(AA215,$AA$2:$AA$395,0)</f>
        <v/>
      </c>
    </row>
    <row r="216">
      <c r="A216" t="inlineStr">
        <is>
          <t>zone_380</t>
        </is>
      </c>
      <c r="B216" t="inlineStr">
        <is>
          <t>สนามกีฬาธูปะเตมีย์ - ต่างระดับคลองหลวง</t>
        </is>
      </c>
      <c r="C216" t="inlineStr">
        <is>
          <t>ปทุมธานี</t>
        </is>
      </c>
      <c r="D216" t="n">
        <v>1</v>
      </c>
      <c r="E216" t="inlineStr">
        <is>
          <t>0201</t>
        </is>
      </c>
      <c r="F216" t="inlineStr">
        <is>
          <t>32–32.1</t>
        </is>
      </c>
      <c r="G216" t="n">
        <v>13.988484</v>
      </c>
      <c r="H216" t="n">
        <v>100.615643</v>
      </c>
      <c r="I216" t="inlineStr">
        <is>
          <t>hods_aadt_pnt_2568.fid-6461857d_1a0f2643074_494d</t>
        </is>
      </c>
      <c r="J216" t="inlineStr">
        <is>
          <t>สนามกีฬาธูปะเตมีย์ - ต่างระดับคลองหลวง</t>
        </is>
      </c>
      <c r="K216" t="inlineStr">
        <is>
          <t>35+550</t>
        </is>
      </c>
      <c r="L216" t="inlineStr">
        <is>
          <t>สถานีย่อย (C)</t>
        </is>
      </c>
      <c r="M216" t="n">
        <v>1</v>
      </c>
      <c r="N216" t="n">
        <v>14.02062</v>
      </c>
      <c r="O216" t="n">
        <v>100.615591</v>
      </c>
      <c r="P216" t="n">
        <v>3.57</v>
      </c>
      <c r="Q216" t="n">
        <v>3</v>
      </c>
      <c r="R216" t="n">
        <v>3</v>
      </c>
      <c r="S216" s="3" t="n">
        <v>204800</v>
      </c>
      <c r="T216" t="n">
        <v>1</v>
      </c>
      <c r="U216" t="n">
        <v>1</v>
      </c>
      <c r="V216" t="n">
        <v>14</v>
      </c>
      <c r="W216" t="n">
        <v>5</v>
      </c>
      <c r="X216" t="inlineStr">
        <is>
          <t>high</t>
        </is>
      </c>
      <c r="Y216" s="3">
        <f>Q216*1000000</f>
        <v/>
      </c>
      <c r="Z216" s="3">
        <f>365*R216*S216*T216</f>
        <v/>
      </c>
      <c r="AA216" s="4">
        <f>Y216/Z216</f>
        <v/>
      </c>
      <c r="AB216" s="4">
        <f>Q216*1000000/(365*R216*S216)</f>
        <v/>
      </c>
      <c r="AC216">
        <f>RANK(AA216,$AA$2:$AA$395,0)</f>
        <v/>
      </c>
    </row>
    <row r="217">
      <c r="A217" t="inlineStr">
        <is>
          <t>zone_381</t>
        </is>
      </c>
      <c r="B217" t="inlineStr">
        <is>
          <t>บางปะอิน - แขวงรามอินทรา</t>
        </is>
      </c>
      <c r="C217" t="inlineStr">
        <is>
          <t>ปทุมธานี</t>
        </is>
      </c>
      <c r="D217" t="n">
        <v>9</v>
      </c>
      <c r="E217" t="inlineStr">
        <is>
          <t>0401</t>
        </is>
      </c>
      <c r="F217" t="inlineStr">
        <is>
          <t>20–23.5</t>
        </is>
      </c>
      <c r="G217" t="n">
        <v>14.010102</v>
      </c>
      <c r="H217" t="n">
        <v>100.703647</v>
      </c>
      <c r="I217" t="inlineStr">
        <is>
          <t>hods_aadt_pnt_2568.fid-6461857d_1a0f2643074_4a01</t>
        </is>
      </c>
      <c r="J217" t="inlineStr">
        <is>
          <t>บางปะอิน - แขวงรามอินทรา</t>
        </is>
      </c>
      <c r="K217" t="inlineStr">
        <is>
          <t>1+500</t>
        </is>
      </c>
      <c r="L217" t="inlineStr">
        <is>
          <t>สถานีย่อย (C)</t>
        </is>
      </c>
      <c r="M217" t="n">
        <v>2</v>
      </c>
      <c r="N217" t="n">
        <v>14.182401</v>
      </c>
      <c r="O217" t="n">
        <v>100.640628</v>
      </c>
      <c r="P217" t="n">
        <v>20.33</v>
      </c>
      <c r="Q217" t="n">
        <v>103</v>
      </c>
      <c r="R217" t="n">
        <v>3</v>
      </c>
      <c r="S217" s="3" t="n">
        <v>160792</v>
      </c>
      <c r="T217" t="n">
        <v>1</v>
      </c>
      <c r="U217" t="n">
        <v>2</v>
      </c>
      <c r="V217" t="n">
        <v>46</v>
      </c>
      <c r="W217" t="n">
        <v>0.466</v>
      </c>
      <c r="X217" t="inlineStr">
        <is>
          <t>low</t>
        </is>
      </c>
      <c r="Y217" s="3">
        <f>Q217*1000000</f>
        <v/>
      </c>
      <c r="Z217" s="3">
        <f>365*R217*S217*T217</f>
        <v/>
      </c>
      <c r="AA217" s="4">
        <f>Y217/Z217</f>
        <v/>
      </c>
      <c r="AB217" s="4">
        <f>Q217*1000000/(365*R217*S217)</f>
        <v/>
      </c>
      <c r="AC217">
        <f>RANK(AA217,$AA$2:$AA$395,0)</f>
        <v/>
      </c>
    </row>
    <row r="218">
      <c r="A218" t="inlineStr">
        <is>
          <t>zone_382</t>
        </is>
      </c>
      <c r="B218" t="inlineStr">
        <is>
          <t>บางปะอิน - แขวงรามอินทรา</t>
        </is>
      </c>
      <c r="C218" t="inlineStr">
        <is>
          <t>ปทุมธานี</t>
        </is>
      </c>
      <c r="D218" t="n">
        <v>9</v>
      </c>
      <c r="E218" t="inlineStr">
        <is>
          <t>0401</t>
        </is>
      </c>
      <c r="F218" t="inlineStr">
        <is>
          <t>24.1–24.9</t>
        </is>
      </c>
      <c r="G218" t="n">
        <v>13.991729</v>
      </c>
      <c r="H218" t="n">
        <v>100.712032</v>
      </c>
      <c r="I218" t="inlineStr">
        <is>
          <t>hods_aadt_pnt_2568.fid-6461857d_1a0f2643074_4a01</t>
        </is>
      </c>
      <c r="J218" t="inlineStr">
        <is>
          <t>บางปะอิน - แขวงรามอินทรา</t>
        </is>
      </c>
      <c r="K218" t="inlineStr">
        <is>
          <t>1+500</t>
        </is>
      </c>
      <c r="L218" t="inlineStr">
        <is>
          <t>สถานีย่อย (C)</t>
        </is>
      </c>
      <c r="M218" t="n">
        <v>2</v>
      </c>
      <c r="N218" t="n">
        <v>14.182401</v>
      </c>
      <c r="O218" t="n">
        <v>100.640628</v>
      </c>
      <c r="P218" t="n">
        <v>22.56</v>
      </c>
      <c r="Q218" t="n">
        <v>10</v>
      </c>
      <c r="R218" t="n">
        <v>3</v>
      </c>
      <c r="S218" s="3" t="n">
        <v>160792</v>
      </c>
      <c r="T218" t="n">
        <v>1</v>
      </c>
      <c r="U218" t="n">
        <v>0</v>
      </c>
      <c r="V218" t="n">
        <v>3</v>
      </c>
      <c r="W218" t="n">
        <v>0.3</v>
      </c>
      <c r="X218" t="inlineStr">
        <is>
          <t>low</t>
        </is>
      </c>
      <c r="Y218" s="3">
        <f>Q218*1000000</f>
        <v/>
      </c>
      <c r="Z218" s="3">
        <f>365*R218*S218*T218</f>
        <v/>
      </c>
      <c r="AA218" s="4">
        <f>Y218/Z218</f>
        <v/>
      </c>
      <c r="AB218" s="4">
        <f>Q218*1000000/(365*R218*S218)</f>
        <v/>
      </c>
      <c r="AC218">
        <f>RANK(AA218,$AA$2:$AA$395,0)</f>
        <v/>
      </c>
    </row>
    <row r="219">
      <c r="A219" t="inlineStr">
        <is>
          <t>zone_383</t>
        </is>
      </c>
      <c r="B219" t="inlineStr">
        <is>
          <t>บางปะอิน - แขวงรามอินทรา</t>
        </is>
      </c>
      <c r="C219" t="inlineStr">
        <is>
          <t>ปทุมธานี</t>
        </is>
      </c>
      <c r="D219" t="n">
        <v>9</v>
      </c>
      <c r="E219" t="inlineStr">
        <is>
          <t>0401</t>
        </is>
      </c>
      <c r="F219" t="inlineStr">
        <is>
          <t>23.7–23.8</t>
        </is>
      </c>
      <c r="G219" t="n">
        <v>13.996773</v>
      </c>
      <c r="H219" t="n">
        <v>100.710026</v>
      </c>
      <c r="I219" t="inlineStr">
        <is>
          <t>hods_aadt_pnt_2568.fid-6461857d_1a0f2643074_4a01</t>
        </is>
      </c>
      <c r="J219" t="inlineStr">
        <is>
          <t>บางปะอิน - แขวงรามอินทรา</t>
        </is>
      </c>
      <c r="K219" t="inlineStr">
        <is>
          <t>1+500</t>
        </is>
      </c>
      <c r="L219" t="inlineStr">
        <is>
          <t>สถานีย่อย (C)</t>
        </is>
      </c>
      <c r="M219" t="n">
        <v>2</v>
      </c>
      <c r="N219" t="n">
        <v>14.182401</v>
      </c>
      <c r="O219" t="n">
        <v>100.640628</v>
      </c>
      <c r="P219" t="n">
        <v>21.96</v>
      </c>
      <c r="Q219" t="n">
        <v>6</v>
      </c>
      <c r="R219" t="n">
        <v>3</v>
      </c>
      <c r="S219" s="3" t="n">
        <v>160792</v>
      </c>
      <c r="T219" t="n">
        <v>1</v>
      </c>
      <c r="U219" t="n">
        <v>0</v>
      </c>
      <c r="V219" t="n">
        <v>1</v>
      </c>
      <c r="W219" t="n">
        <v>0.1667</v>
      </c>
      <c r="X219" t="inlineStr">
        <is>
          <t>low</t>
        </is>
      </c>
      <c r="Y219" s="3">
        <f>Q219*1000000</f>
        <v/>
      </c>
      <c r="Z219" s="3">
        <f>365*R219*S219*T219</f>
        <v/>
      </c>
      <c r="AA219" s="4">
        <f>Y219/Z219</f>
        <v/>
      </c>
      <c r="AB219" s="4">
        <f>Q219*1000000/(365*R219*S219)</f>
        <v/>
      </c>
      <c r="AC219">
        <f>RANK(AA219,$AA$2:$AA$395,0)</f>
        <v/>
      </c>
    </row>
    <row r="220">
      <c r="A220" t="inlineStr">
        <is>
          <t>zone_384</t>
        </is>
      </c>
      <c r="B220" t="inlineStr">
        <is>
          <t>บางปะอิน - แขวงรามอินทรา</t>
        </is>
      </c>
      <c r="C220" t="inlineStr">
        <is>
          <t>ปทุมธานี</t>
        </is>
      </c>
      <c r="D220" t="n">
        <v>9</v>
      </c>
      <c r="E220" t="inlineStr">
        <is>
          <t>0401</t>
        </is>
      </c>
      <c r="F220" t="inlineStr">
        <is>
          <t>24.4–24.8</t>
        </is>
      </c>
      <c r="G220" t="n">
        <v>13.989185</v>
      </c>
      <c r="H220" t="n">
        <v>100.712943</v>
      </c>
      <c r="I220" t="inlineStr">
        <is>
          <t>hods_aadt_pnt_2568.fid-6461857d_1a0f2643074_4a01</t>
        </is>
      </c>
      <c r="J220" t="inlineStr">
        <is>
          <t>บางปะอิน - แขวงรามอินทรา</t>
        </is>
      </c>
      <c r="K220" t="inlineStr">
        <is>
          <t>1+500</t>
        </is>
      </c>
      <c r="L220" t="inlineStr">
        <is>
          <t>สถานีย่อย (C)</t>
        </is>
      </c>
      <c r="M220" t="n">
        <v>2</v>
      </c>
      <c r="N220" t="n">
        <v>14.182401</v>
      </c>
      <c r="O220" t="n">
        <v>100.640628</v>
      </c>
      <c r="P220" t="n">
        <v>22.86</v>
      </c>
      <c r="Q220" t="n">
        <v>4</v>
      </c>
      <c r="R220" t="n">
        <v>3</v>
      </c>
      <c r="S220" s="3" t="n">
        <v>160792</v>
      </c>
      <c r="T220" t="n">
        <v>1</v>
      </c>
      <c r="U220" t="n">
        <v>0</v>
      </c>
      <c r="V220" t="n">
        <v>1</v>
      </c>
      <c r="W220" t="n">
        <v>0.25</v>
      </c>
      <c r="X220" t="inlineStr">
        <is>
          <t>low</t>
        </is>
      </c>
      <c r="Y220" s="3">
        <f>Q220*1000000</f>
        <v/>
      </c>
      <c r="Z220" s="3">
        <f>365*R220*S220*T220</f>
        <v/>
      </c>
      <c r="AA220" s="4">
        <f>Y220/Z220</f>
        <v/>
      </c>
      <c r="AB220" s="4">
        <f>Q220*1000000/(365*R220*S220)</f>
        <v/>
      </c>
      <c r="AC220">
        <f>RANK(AA220,$AA$2:$AA$395,0)</f>
        <v/>
      </c>
    </row>
    <row r="221">
      <c r="A221" t="inlineStr">
        <is>
          <t>zone_385</t>
        </is>
      </c>
      <c r="B221" t="inlineStr">
        <is>
          <t>บางปะอิน - แขวงรามอินทรา</t>
        </is>
      </c>
      <c r="C221" t="inlineStr">
        <is>
          <t>ปทุมธานี</t>
        </is>
      </c>
      <c r="D221" t="n">
        <v>9</v>
      </c>
      <c r="E221" t="inlineStr">
        <is>
          <t>0401</t>
        </is>
      </c>
      <c r="F221" t="inlineStr">
        <is>
          <t>9.25–23.1</t>
        </is>
      </c>
      <c r="G221" t="n">
        <v>14.008447</v>
      </c>
      <c r="H221" t="n">
        <v>100.704614</v>
      </c>
      <c r="I221" t="inlineStr">
        <is>
          <t>hods_aadt_pnt_2568.fid-6461857d_1a0f2643074_4a01</t>
        </is>
      </c>
      <c r="J221" t="inlineStr">
        <is>
          <t>บางปะอิน - แขวงรามอินทรา</t>
        </is>
      </c>
      <c r="K221" t="inlineStr">
        <is>
          <t>1+500</t>
        </is>
      </c>
      <c r="L221" t="inlineStr">
        <is>
          <t>สถานีย่อย (C)</t>
        </is>
      </c>
      <c r="M221" t="n">
        <v>2</v>
      </c>
      <c r="N221" t="n">
        <v>14.182401</v>
      </c>
      <c r="O221" t="n">
        <v>100.640628</v>
      </c>
      <c r="P221" t="n">
        <v>20.54</v>
      </c>
      <c r="Q221" t="n">
        <v>35</v>
      </c>
      <c r="R221" t="n">
        <v>3</v>
      </c>
      <c r="S221" s="3" t="n">
        <v>160792</v>
      </c>
      <c r="T221" t="n">
        <v>1</v>
      </c>
      <c r="U221" t="n">
        <v>1</v>
      </c>
      <c r="V221" t="n">
        <v>13</v>
      </c>
      <c r="W221" t="n">
        <v>0.4</v>
      </c>
      <c r="X221" t="inlineStr">
        <is>
          <t>low</t>
        </is>
      </c>
      <c r="Y221" s="3">
        <f>Q221*1000000</f>
        <v/>
      </c>
      <c r="Z221" s="3">
        <f>365*R221*S221*T221</f>
        <v/>
      </c>
      <c r="AA221" s="4">
        <f>Y221/Z221</f>
        <v/>
      </c>
      <c r="AB221" s="4">
        <f>Q221*1000000/(365*R221*S221)</f>
        <v/>
      </c>
      <c r="AC221">
        <f>RANK(AA221,$AA$2:$AA$395,0)</f>
        <v/>
      </c>
    </row>
    <row r="222">
      <c r="A222" t="inlineStr">
        <is>
          <t>zone_386</t>
        </is>
      </c>
      <c r="B222" t="inlineStr">
        <is>
          <t>บางปะอิน - แขวงรามอินทรา</t>
        </is>
      </c>
      <c r="C222" t="inlineStr">
        <is>
          <t>ปทุมธานี</t>
        </is>
      </c>
      <c r="D222" t="n">
        <v>9</v>
      </c>
      <c r="E222" t="inlineStr">
        <is>
          <t>0401</t>
        </is>
      </c>
      <c r="F222" t="inlineStr">
        <is>
          <t>24.1–24.2</t>
        </is>
      </c>
      <c r="G222" t="n">
        <v>13.992569</v>
      </c>
      <c r="H222" t="n">
        <v>100.711641</v>
      </c>
      <c r="I222" t="inlineStr">
        <is>
          <t>hods_aadt_pnt_2568.fid-6461857d_1a0f2643074_4a01</t>
        </is>
      </c>
      <c r="J222" t="inlineStr">
        <is>
          <t>บางปะอิน - แขวงรามอินทรา</t>
        </is>
      </c>
      <c r="K222" t="inlineStr">
        <is>
          <t>1+500</t>
        </is>
      </c>
      <c r="L222" t="inlineStr">
        <is>
          <t>สถานีย่อย (C)</t>
        </is>
      </c>
      <c r="M222" t="n">
        <v>2</v>
      </c>
      <c r="N222" t="n">
        <v>14.182401</v>
      </c>
      <c r="O222" t="n">
        <v>100.640628</v>
      </c>
      <c r="P222" t="n">
        <v>22.45</v>
      </c>
      <c r="Q222" t="n">
        <v>3</v>
      </c>
      <c r="R222" t="n">
        <v>3</v>
      </c>
      <c r="S222" s="3" t="n">
        <v>160792</v>
      </c>
      <c r="T222" t="n">
        <v>1</v>
      </c>
      <c r="U222" t="n">
        <v>0</v>
      </c>
      <c r="V222" t="n">
        <v>3</v>
      </c>
      <c r="W222" t="n">
        <v>1</v>
      </c>
      <c r="X222" t="inlineStr">
        <is>
          <t>medium</t>
        </is>
      </c>
      <c r="Y222" s="3">
        <f>Q222*1000000</f>
        <v/>
      </c>
      <c r="Z222" s="3">
        <f>365*R222*S222*T222</f>
        <v/>
      </c>
      <c r="AA222" s="4">
        <f>Y222/Z222</f>
        <v/>
      </c>
      <c r="AB222" s="4">
        <f>Q222*1000000/(365*R222*S222)</f>
        <v/>
      </c>
      <c r="AC222">
        <f>RANK(AA222,$AA$2:$AA$395,0)</f>
        <v/>
      </c>
    </row>
    <row r="223">
      <c r="A223" t="inlineStr">
        <is>
          <t>zone_387</t>
        </is>
      </c>
      <c r="B223" t="inlineStr">
        <is>
          <t>บางปะอิน - แขวงรามอินทรา</t>
        </is>
      </c>
      <c r="C223" t="inlineStr">
        <is>
          <t>ปทุมธานี</t>
        </is>
      </c>
      <c r="D223" t="n">
        <v>9</v>
      </c>
      <c r="E223" t="inlineStr">
        <is>
          <t>0401</t>
        </is>
      </c>
      <c r="F223" t="inlineStr">
        <is>
          <t>23.3–23.5</t>
        </is>
      </c>
      <c r="G223" t="n">
        <v>13.998384</v>
      </c>
      <c r="H223" t="n">
        <v>100.70908</v>
      </c>
      <c r="I223" t="inlineStr">
        <is>
          <t>hods_aadt_pnt_2568.fid-6461857d_1a0f2643074_4a01</t>
        </is>
      </c>
      <c r="J223" t="inlineStr">
        <is>
          <t>บางปะอิน - แขวงรามอินทรา</t>
        </is>
      </c>
      <c r="K223" t="inlineStr">
        <is>
          <t>1+500</t>
        </is>
      </c>
      <c r="L223" t="inlineStr">
        <is>
          <t>สถานีย่อย (C)</t>
        </is>
      </c>
      <c r="M223" t="n">
        <v>2</v>
      </c>
      <c r="N223" t="n">
        <v>14.182401</v>
      </c>
      <c r="O223" t="n">
        <v>100.640628</v>
      </c>
      <c r="P223" t="n">
        <v>21.75</v>
      </c>
      <c r="Q223" t="n">
        <v>3</v>
      </c>
      <c r="R223" t="n">
        <v>3</v>
      </c>
      <c r="S223" s="3" t="n">
        <v>160792</v>
      </c>
      <c r="T223" t="n">
        <v>1</v>
      </c>
      <c r="U223" t="n">
        <v>0</v>
      </c>
      <c r="V223" t="n">
        <v>0</v>
      </c>
      <c r="W223" t="n">
        <v>0</v>
      </c>
      <c r="X223" t="inlineStr">
        <is>
          <t>low</t>
        </is>
      </c>
      <c r="Y223" s="3">
        <f>Q223*1000000</f>
        <v/>
      </c>
      <c r="Z223" s="3">
        <f>365*R223*S223*T223</f>
        <v/>
      </c>
      <c r="AA223" s="4">
        <f>Y223/Z223</f>
        <v/>
      </c>
      <c r="AB223" s="4">
        <f>Q223*1000000/(365*R223*S223)</f>
        <v/>
      </c>
      <c r="AC223">
        <f>RANK(AA223,$AA$2:$AA$395,0)</f>
        <v/>
      </c>
    </row>
    <row r="224">
      <c r="A224" t="inlineStr">
        <is>
          <t>zone_388</t>
        </is>
      </c>
      <c r="B224" t="inlineStr">
        <is>
          <t>บางปะอิน - แขวงรามอินทรา</t>
        </is>
      </c>
      <c r="C224" t="inlineStr">
        <is>
          <t>ปทุมธานี</t>
        </is>
      </c>
      <c r="D224" t="n">
        <v>9</v>
      </c>
      <c r="E224" t="inlineStr">
        <is>
          <t>0401</t>
        </is>
      </c>
      <c r="F224" t="inlineStr">
        <is>
          <t>20.3–20.4</t>
        </is>
      </c>
      <c r="G224" t="n">
        <v>14.025324</v>
      </c>
      <c r="H224" t="n">
        <v>100.698125</v>
      </c>
      <c r="I224" t="inlineStr">
        <is>
          <t>hods_aadt_pnt_2568.fid-6461857d_1a0f2643074_4a01</t>
        </is>
      </c>
      <c r="J224" t="inlineStr">
        <is>
          <t>บางปะอิน - แขวงรามอินทรา</t>
        </is>
      </c>
      <c r="K224" t="inlineStr">
        <is>
          <t>1+500</t>
        </is>
      </c>
      <c r="L224" t="inlineStr">
        <is>
          <t>สถานีย่อย (C)</t>
        </is>
      </c>
      <c r="M224" t="n">
        <v>2</v>
      </c>
      <c r="N224" t="n">
        <v>14.182401</v>
      </c>
      <c r="O224" t="n">
        <v>100.640628</v>
      </c>
      <c r="P224" t="n">
        <v>18.53</v>
      </c>
      <c r="Q224" t="n">
        <v>3</v>
      </c>
      <c r="R224" t="n">
        <v>3</v>
      </c>
      <c r="S224" s="3" t="n">
        <v>160792</v>
      </c>
      <c r="T224" t="n">
        <v>1</v>
      </c>
      <c r="U224" t="n">
        <v>1</v>
      </c>
      <c r="V224" t="n">
        <v>3</v>
      </c>
      <c r="W224" t="n">
        <v>1.3333</v>
      </c>
      <c r="X224" t="inlineStr">
        <is>
          <t>medium</t>
        </is>
      </c>
      <c r="Y224" s="3">
        <f>Q224*1000000</f>
        <v/>
      </c>
      <c r="Z224" s="3">
        <f>365*R224*S224*T224</f>
        <v/>
      </c>
      <c r="AA224" s="4">
        <f>Y224/Z224</f>
        <v/>
      </c>
      <c r="AB224" s="4">
        <f>Q224*1000000/(365*R224*S224)</f>
        <v/>
      </c>
      <c r="AC224">
        <f>RANK(AA224,$AA$2:$AA$395,0)</f>
        <v/>
      </c>
    </row>
    <row r="225">
      <c r="A225" t="inlineStr">
        <is>
          <t>zone_389</t>
        </is>
      </c>
      <c r="B225" t="inlineStr">
        <is>
          <t>วัดนาบุญ - คลอง14</t>
        </is>
      </c>
      <c r="C225" t="inlineStr">
        <is>
          <t>ปทุมธานี</t>
        </is>
      </c>
      <c r="D225" t="n">
        <v>305</v>
      </c>
      <c r="E225" t="inlineStr">
        <is>
          <t>0201</t>
        </is>
      </c>
      <c r="F225" t="inlineStr">
        <is>
          <t>19.6–19.651</t>
        </is>
      </c>
      <c r="G225" t="n">
        <v>14.042508</v>
      </c>
      <c r="H225" t="n">
        <v>100.79416</v>
      </c>
      <c r="I225" t="inlineStr">
        <is>
          <t>hods_aadt_pnt_2568.fid-6461857d_1a0f2643074_4c36</t>
        </is>
      </c>
      <c r="J225" t="inlineStr">
        <is>
          <t>วัดนาบุญ - คลอง14</t>
        </is>
      </c>
      <c r="K225" t="inlineStr">
        <is>
          <t>25+870</t>
        </is>
      </c>
      <c r="L225" t="inlineStr">
        <is>
          <t>สถานีย่อย (C)</t>
        </is>
      </c>
      <c r="M225" t="n">
        <v>1</v>
      </c>
      <c r="N225" t="n">
        <v>14.060564</v>
      </c>
      <c r="O225" t="n">
        <v>100.846414</v>
      </c>
      <c r="P225" t="n">
        <v>5.98</v>
      </c>
      <c r="Q225" t="n">
        <v>4</v>
      </c>
      <c r="R225" t="n">
        <v>3</v>
      </c>
      <c r="S225" s="3" t="n">
        <v>28156</v>
      </c>
      <c r="T225" t="n">
        <v>1</v>
      </c>
      <c r="U225" t="n">
        <v>0</v>
      </c>
      <c r="V225" t="n">
        <v>4</v>
      </c>
      <c r="W225" t="n">
        <v>1</v>
      </c>
      <c r="X225" t="inlineStr">
        <is>
          <t>medium</t>
        </is>
      </c>
      <c r="Y225" s="3">
        <f>Q225*1000000</f>
        <v/>
      </c>
      <c r="Z225" s="3">
        <f>365*R225*S225*T225</f>
        <v/>
      </c>
      <c r="AA225" s="4">
        <f>Y225/Z225</f>
        <v/>
      </c>
      <c r="AB225" s="4">
        <f>Q225*1000000/(365*R225*S225)</f>
        <v/>
      </c>
      <c r="AC225">
        <f>RANK(AA225,$AA$2:$AA$395,0)</f>
        <v/>
      </c>
    </row>
    <row r="226">
      <c r="A226" t="inlineStr">
        <is>
          <t>zone_391</t>
        </is>
      </c>
      <c r="B226" t="inlineStr">
        <is>
          <t>บางปะอิน - แขวงรามอินทรา</t>
        </is>
      </c>
      <c r="C226" t="inlineStr">
        <is>
          <t>ปทุมธานี</t>
        </is>
      </c>
      <c r="D226" t="n">
        <v>9</v>
      </c>
      <c r="E226" t="inlineStr">
        <is>
          <t>0401</t>
        </is>
      </c>
      <c r="F226" t="inlineStr">
        <is>
          <t>15.3–17.4</t>
        </is>
      </c>
      <c r="G226" t="n">
        <v>14.062071</v>
      </c>
      <c r="H226" t="n">
        <v>100.697008</v>
      </c>
      <c r="I226" t="inlineStr">
        <is>
          <t>hods_aadt_pnt_2568.fid-6461857d_1a0f2643074_4a01</t>
        </is>
      </c>
      <c r="J226" t="inlineStr">
        <is>
          <t>บางปะอิน - แขวงรามอินทรา</t>
        </is>
      </c>
      <c r="K226" t="inlineStr">
        <is>
          <t>1+500</t>
        </is>
      </c>
      <c r="L226" t="inlineStr">
        <is>
          <t>สถานีย่อย (C)</t>
        </is>
      </c>
      <c r="M226" t="n">
        <v>2</v>
      </c>
      <c r="N226" t="n">
        <v>14.182401</v>
      </c>
      <c r="O226" t="n">
        <v>100.640628</v>
      </c>
      <c r="P226" t="n">
        <v>14.7</v>
      </c>
      <c r="Q226" t="n">
        <v>81</v>
      </c>
      <c r="R226" t="n">
        <v>3</v>
      </c>
      <c r="S226" s="3" t="n">
        <v>160792</v>
      </c>
      <c r="T226" t="n">
        <v>1</v>
      </c>
      <c r="U226" t="n">
        <v>0</v>
      </c>
      <c r="V226" t="n">
        <v>41</v>
      </c>
      <c r="W226" t="n">
        <v>0.5062</v>
      </c>
      <c r="X226" t="inlineStr">
        <is>
          <t>low</t>
        </is>
      </c>
      <c r="Y226" s="3">
        <f>Q226*1000000</f>
        <v/>
      </c>
      <c r="Z226" s="3">
        <f>365*R226*S226*T226</f>
        <v/>
      </c>
      <c r="AA226" s="4">
        <f>Y226/Z226</f>
        <v/>
      </c>
      <c r="AB226" s="4">
        <f>Q226*1000000/(365*R226*S226)</f>
        <v/>
      </c>
      <c r="AC226">
        <f>RANK(AA226,$AA$2:$AA$395,0)</f>
        <v/>
      </c>
    </row>
    <row r="227">
      <c r="A227" t="inlineStr">
        <is>
          <t>zone_392</t>
        </is>
      </c>
      <c r="B227" t="inlineStr">
        <is>
          <t>บางปะอิน - แขวงรามอินทรา</t>
        </is>
      </c>
      <c r="C227" t="inlineStr">
        <is>
          <t>ปทุมธานี</t>
        </is>
      </c>
      <c r="D227" t="n">
        <v>9</v>
      </c>
      <c r="E227" t="inlineStr">
        <is>
          <t>0401</t>
        </is>
      </c>
      <c r="F227" t="inlineStr">
        <is>
          <t>14.5–15.1</t>
        </is>
      </c>
      <c r="G227" t="n">
        <v>14.075344</v>
      </c>
      <c r="H227" t="n">
        <v>100.695671</v>
      </c>
      <c r="I227" t="inlineStr">
        <is>
          <t>hods_aadt_pnt_2568.fid-6461857d_1a0f2643074_4a01</t>
        </is>
      </c>
      <c r="J227" t="inlineStr">
        <is>
          <t>บางปะอิน - แขวงรามอินทรา</t>
        </is>
      </c>
      <c r="K227" t="inlineStr">
        <is>
          <t>1+500</t>
        </is>
      </c>
      <c r="L227" t="inlineStr">
        <is>
          <t>สถานีย่อย (C)</t>
        </is>
      </c>
      <c r="M227" t="n">
        <v>2</v>
      </c>
      <c r="N227" t="n">
        <v>14.182401</v>
      </c>
      <c r="O227" t="n">
        <v>100.640628</v>
      </c>
      <c r="P227" t="n">
        <v>13.3</v>
      </c>
      <c r="Q227" t="n">
        <v>7</v>
      </c>
      <c r="R227" t="n">
        <v>3</v>
      </c>
      <c r="S227" s="3" t="n">
        <v>160792</v>
      </c>
      <c r="T227" t="n">
        <v>1</v>
      </c>
      <c r="U227" t="n">
        <v>0</v>
      </c>
      <c r="V227" t="n">
        <v>6</v>
      </c>
      <c r="W227" t="n">
        <v>0.8571</v>
      </c>
      <c r="X227" t="inlineStr">
        <is>
          <t>low</t>
        </is>
      </c>
      <c r="Y227" s="3">
        <f>Q227*1000000</f>
        <v/>
      </c>
      <c r="Z227" s="3">
        <f>365*R227*S227*T227</f>
        <v/>
      </c>
      <c r="AA227" s="4">
        <f>Y227/Z227</f>
        <v/>
      </c>
      <c r="AB227" s="4">
        <f>Q227*1000000/(365*R227*S227)</f>
        <v/>
      </c>
      <c r="AC227">
        <f>RANK(AA227,$AA$2:$AA$395,0)</f>
        <v/>
      </c>
    </row>
    <row r="228">
      <c r="A228" t="inlineStr">
        <is>
          <t>zone_393</t>
        </is>
      </c>
      <c r="B228" t="inlineStr">
        <is>
          <t>บางปะอิน - แขวงรามอินทรา</t>
        </is>
      </c>
      <c r="C228" t="inlineStr">
        <is>
          <t>ปทุมธานี</t>
        </is>
      </c>
      <c r="D228" t="n">
        <v>9</v>
      </c>
      <c r="E228" t="inlineStr">
        <is>
          <t>0401</t>
        </is>
      </c>
      <c r="F228" t="inlineStr">
        <is>
          <t>14.9–16.4</t>
        </is>
      </c>
      <c r="G228" t="n">
        <v>14.065366</v>
      </c>
      <c r="H228" t="n">
        <v>100.696676</v>
      </c>
      <c r="I228" t="inlineStr">
        <is>
          <t>hods_aadt_pnt_2568.fid-6461857d_1a0f2643074_4a01</t>
        </is>
      </c>
      <c r="J228" t="inlineStr">
        <is>
          <t>บางปะอิน - แขวงรามอินทรา</t>
        </is>
      </c>
      <c r="K228" t="inlineStr">
        <is>
          <t>1+500</t>
        </is>
      </c>
      <c r="L228" t="inlineStr">
        <is>
          <t>สถานีย่อย (C)</t>
        </is>
      </c>
      <c r="M228" t="n">
        <v>2</v>
      </c>
      <c r="N228" t="n">
        <v>14.182401</v>
      </c>
      <c r="O228" t="n">
        <v>100.640628</v>
      </c>
      <c r="P228" t="n">
        <v>14.35</v>
      </c>
      <c r="Q228" t="n">
        <v>31</v>
      </c>
      <c r="R228" t="n">
        <v>3</v>
      </c>
      <c r="S228" s="3" t="n">
        <v>160792</v>
      </c>
      <c r="T228" t="n">
        <v>1</v>
      </c>
      <c r="U228" t="n">
        <v>0</v>
      </c>
      <c r="V228" t="n">
        <v>16</v>
      </c>
      <c r="W228" t="n">
        <v>0.5161</v>
      </c>
      <c r="X228" t="inlineStr">
        <is>
          <t>low</t>
        </is>
      </c>
      <c r="Y228" s="3">
        <f>Q228*1000000</f>
        <v/>
      </c>
      <c r="Z228" s="3">
        <f>365*R228*S228*T228</f>
        <v/>
      </c>
      <c r="AA228" s="4">
        <f>Y228/Z228</f>
        <v/>
      </c>
      <c r="AB228" s="4">
        <f>Q228*1000000/(365*R228*S228)</f>
        <v/>
      </c>
      <c r="AC228">
        <f>RANK(AA228,$AA$2:$AA$395,0)</f>
        <v/>
      </c>
    </row>
    <row r="229">
      <c r="A229" t="inlineStr">
        <is>
          <t>zone_394</t>
        </is>
      </c>
      <c r="B229" t="inlineStr">
        <is>
          <t>บางปะอิน - แขวงรามอินทรา</t>
        </is>
      </c>
      <c r="C229" t="inlineStr">
        <is>
          <t>ปทุมธานี</t>
        </is>
      </c>
      <c r="D229" t="n">
        <v>9</v>
      </c>
      <c r="E229" t="inlineStr">
        <is>
          <t>0401</t>
        </is>
      </c>
      <c r="F229" t="inlineStr">
        <is>
          <t>16.325–16.9</t>
        </is>
      </c>
      <c r="G229" t="n">
        <v>14.058092</v>
      </c>
      <c r="H229" t="n">
        <v>100.697595</v>
      </c>
      <c r="I229" t="inlineStr">
        <is>
          <t>hods_aadt_pnt_2568.fid-6461857d_1a0f2643074_4a01</t>
        </is>
      </c>
      <c r="J229" t="inlineStr">
        <is>
          <t>บางปะอิน - แขวงรามอินทรา</t>
        </is>
      </c>
      <c r="K229" t="inlineStr">
        <is>
          <t>1+500</t>
        </is>
      </c>
      <c r="L229" t="inlineStr">
        <is>
          <t>สถานีย่อย (C)</t>
        </is>
      </c>
      <c r="M229" t="n">
        <v>2</v>
      </c>
      <c r="N229" t="n">
        <v>14.182401</v>
      </c>
      <c r="O229" t="n">
        <v>100.640628</v>
      </c>
      <c r="P229" t="n">
        <v>15.13</v>
      </c>
      <c r="Q229" t="n">
        <v>3</v>
      </c>
      <c r="R229" t="n">
        <v>3</v>
      </c>
      <c r="S229" s="3" t="n">
        <v>160792</v>
      </c>
      <c r="T229" t="n">
        <v>1</v>
      </c>
      <c r="U229" t="n">
        <v>0</v>
      </c>
      <c r="V229" t="n">
        <v>1</v>
      </c>
      <c r="W229" t="n">
        <v>0.3333</v>
      </c>
      <c r="X229" t="inlineStr">
        <is>
          <t>low</t>
        </is>
      </c>
      <c r="Y229" s="3">
        <f>Q229*1000000</f>
        <v/>
      </c>
      <c r="Z229" s="3">
        <f>365*R229*S229*T229</f>
        <v/>
      </c>
      <c r="AA229" s="4">
        <f>Y229/Z229</f>
        <v/>
      </c>
      <c r="AB229" s="4">
        <f>Q229*1000000/(365*R229*S229)</f>
        <v/>
      </c>
      <c r="AC229">
        <f>RANK(AA229,$AA$2:$AA$395,0)</f>
        <v/>
      </c>
    </row>
    <row r="230">
      <c r="A230" t="inlineStr">
        <is>
          <t>zone_395</t>
        </is>
      </c>
      <c r="B230" t="inlineStr">
        <is>
          <t>บางปะอิน - แขวงรามอินทรา</t>
        </is>
      </c>
      <c r="C230" t="inlineStr">
        <is>
          <t>ปทุมธานี</t>
        </is>
      </c>
      <c r="D230" t="n">
        <v>9</v>
      </c>
      <c r="E230" t="inlineStr">
        <is>
          <t>0401</t>
        </is>
      </c>
      <c r="F230" t="inlineStr">
        <is>
          <t>17.4–17.45</t>
        </is>
      </c>
      <c r="G230" t="n">
        <v>14.051754</v>
      </c>
      <c r="H230" t="n">
        <v>100.698029</v>
      </c>
      <c r="I230" t="inlineStr">
        <is>
          <t>hods_aadt_pnt_2568.fid-6461857d_1a0f2643074_4a01</t>
        </is>
      </c>
      <c r="J230" t="inlineStr">
        <is>
          <t>บางปะอิน - แขวงรามอินทรา</t>
        </is>
      </c>
      <c r="K230" t="inlineStr">
        <is>
          <t>1+500</t>
        </is>
      </c>
      <c r="L230" t="inlineStr">
        <is>
          <t>สถานีย่อย (C)</t>
        </is>
      </c>
      <c r="M230" t="n">
        <v>2</v>
      </c>
      <c r="N230" t="n">
        <v>14.182401</v>
      </c>
      <c r="O230" t="n">
        <v>100.640628</v>
      </c>
      <c r="P230" t="n">
        <v>15.79</v>
      </c>
      <c r="Q230" t="n">
        <v>3</v>
      </c>
      <c r="R230" t="n">
        <v>3</v>
      </c>
      <c r="S230" s="3" t="n">
        <v>160792</v>
      </c>
      <c r="T230" t="n">
        <v>1</v>
      </c>
      <c r="U230" t="n">
        <v>0</v>
      </c>
      <c r="V230" t="n">
        <v>4</v>
      </c>
      <c r="W230" t="n">
        <v>1.3333</v>
      </c>
      <c r="X230" t="inlineStr">
        <is>
          <t>medium</t>
        </is>
      </c>
      <c r="Y230" s="3">
        <f>Q230*1000000</f>
        <v/>
      </c>
      <c r="Z230" s="3">
        <f>365*R230*S230*T230</f>
        <v/>
      </c>
      <c r="AA230" s="4">
        <f>Y230/Z230</f>
        <v/>
      </c>
      <c r="AB230" s="4">
        <f>Q230*1000000/(365*R230*S230)</f>
        <v/>
      </c>
      <c r="AC230">
        <f>RANK(AA230,$AA$2:$AA$395,0)</f>
        <v/>
      </c>
    </row>
    <row r="231">
      <c r="A231" t="inlineStr">
        <is>
          <t>zone_396</t>
        </is>
      </c>
      <c r="B231" t="inlineStr">
        <is>
          <t>บางปะอิน - แขวงรามอินทรา</t>
        </is>
      </c>
      <c r="C231" t="inlineStr">
        <is>
          <t>ปทุมธานี</t>
        </is>
      </c>
      <c r="D231" t="n">
        <v>9</v>
      </c>
      <c r="E231" t="inlineStr">
        <is>
          <t>0401</t>
        </is>
      </c>
      <c r="F231" t="inlineStr">
        <is>
          <t>9.2–9.6</t>
        </is>
      </c>
      <c r="G231" t="n">
        <v>14.118833</v>
      </c>
      <c r="H231" t="n">
        <v>100.676273</v>
      </c>
      <c r="I231" t="inlineStr">
        <is>
          <t>hods_aadt_pnt_2568.fid-6461857d_1a0f2643074_4a01</t>
        </is>
      </c>
      <c r="J231" t="inlineStr">
        <is>
          <t>บางปะอิน - แขวงรามอินทรา</t>
        </is>
      </c>
      <c r="K231" t="inlineStr">
        <is>
          <t>1+500</t>
        </is>
      </c>
      <c r="L231" t="inlineStr">
        <is>
          <t>สถานีย่อย (C)</t>
        </is>
      </c>
      <c r="M231" t="n">
        <v>2</v>
      </c>
      <c r="N231" t="n">
        <v>14.182401</v>
      </c>
      <c r="O231" t="n">
        <v>100.640628</v>
      </c>
      <c r="P231" t="n">
        <v>8.050000000000001</v>
      </c>
      <c r="Q231" t="n">
        <v>7</v>
      </c>
      <c r="R231" t="n">
        <v>3</v>
      </c>
      <c r="S231" s="3" t="n">
        <v>160792</v>
      </c>
      <c r="T231" t="n">
        <v>1</v>
      </c>
      <c r="U231" t="n">
        <v>0</v>
      </c>
      <c r="V231" t="n">
        <v>4</v>
      </c>
      <c r="W231" t="n">
        <v>0.5714</v>
      </c>
      <c r="X231" t="inlineStr">
        <is>
          <t>low</t>
        </is>
      </c>
      <c r="Y231" s="3">
        <f>Q231*1000000</f>
        <v/>
      </c>
      <c r="Z231" s="3">
        <f>365*R231*S231*T231</f>
        <v/>
      </c>
      <c r="AA231" s="4">
        <f>Y231/Z231</f>
        <v/>
      </c>
      <c r="AB231" s="4">
        <f>Q231*1000000/(365*R231*S231)</f>
        <v/>
      </c>
      <c r="AC231">
        <f>RANK(AA231,$AA$2:$AA$395,0)</f>
        <v/>
      </c>
    </row>
    <row r="232">
      <c r="A232" t="inlineStr">
        <is>
          <t>zone_397</t>
        </is>
      </c>
      <c r="B232" t="inlineStr">
        <is>
          <t>บางปะอิน - แขวงรามอินทรา</t>
        </is>
      </c>
      <c r="C232" t="inlineStr">
        <is>
          <t>ปทุมธานี</t>
        </is>
      </c>
      <c r="D232" t="n">
        <v>9</v>
      </c>
      <c r="E232" t="inlineStr">
        <is>
          <t>0401</t>
        </is>
      </c>
      <c r="F232" t="inlineStr">
        <is>
          <t>10.72–12.5</t>
        </is>
      </c>
      <c r="G232" t="n">
        <v>14.104676</v>
      </c>
      <c r="H232" t="n">
        <v>100.684578</v>
      </c>
      <c r="I232" t="inlineStr">
        <is>
          <t>hods_aadt_pnt_2568.fid-6461857d_1a0f2643074_4a01</t>
        </is>
      </c>
      <c r="J232" t="inlineStr">
        <is>
          <t>บางปะอิน - แขวงรามอินทรา</t>
        </is>
      </c>
      <c r="K232" t="inlineStr">
        <is>
          <t>1+500</t>
        </is>
      </c>
      <c r="L232" t="inlineStr">
        <is>
          <t>สถานีย่อย (C)</t>
        </is>
      </c>
      <c r="M232" t="n">
        <v>2</v>
      </c>
      <c r="N232" t="n">
        <v>14.182401</v>
      </c>
      <c r="O232" t="n">
        <v>100.640628</v>
      </c>
      <c r="P232" t="n">
        <v>9.859999999999999</v>
      </c>
      <c r="Q232" t="n">
        <v>15</v>
      </c>
      <c r="R232" t="n">
        <v>3</v>
      </c>
      <c r="S232" s="3" t="n">
        <v>160792</v>
      </c>
      <c r="T232" t="n">
        <v>1</v>
      </c>
      <c r="U232" t="n">
        <v>0</v>
      </c>
      <c r="V232" t="n">
        <v>11</v>
      </c>
      <c r="W232" t="n">
        <v>0.7333</v>
      </c>
      <c r="X232" t="inlineStr">
        <is>
          <t>low</t>
        </is>
      </c>
      <c r="Y232" s="3">
        <f>Q232*1000000</f>
        <v/>
      </c>
      <c r="Z232" s="3">
        <f>365*R232*S232*T232</f>
        <v/>
      </c>
      <c r="AA232" s="4">
        <f>Y232/Z232</f>
        <v/>
      </c>
      <c r="AB232" s="4">
        <f>Q232*1000000/(365*R232*S232)</f>
        <v/>
      </c>
      <c r="AC232">
        <f>RANK(AA232,$AA$2:$AA$395,0)</f>
        <v/>
      </c>
    </row>
    <row r="233">
      <c r="A233" t="inlineStr">
        <is>
          <t>zone_398</t>
        </is>
      </c>
      <c r="B233" t="inlineStr">
        <is>
          <t>บางปะอิน - แขวงรามอินทรา</t>
        </is>
      </c>
      <c r="C233" t="inlineStr">
        <is>
          <t>ปทุมธานี</t>
        </is>
      </c>
      <c r="D233" t="n">
        <v>9</v>
      </c>
      <c r="E233" t="inlineStr">
        <is>
          <t>0401</t>
        </is>
      </c>
      <c r="F233" t="inlineStr">
        <is>
          <t>12–12.2</t>
        </is>
      </c>
      <c r="G233" t="n">
        <v>14.098442</v>
      </c>
      <c r="H233" t="n">
        <v>100.687885</v>
      </c>
      <c r="I233" t="inlineStr">
        <is>
          <t>hods_aadt_pnt_2568.fid-6461857d_1a0f2643074_4a01</t>
        </is>
      </c>
      <c r="J233" t="inlineStr">
        <is>
          <t>บางปะอิน - แขวงรามอินทรา</t>
        </is>
      </c>
      <c r="K233" t="inlineStr">
        <is>
          <t>1+500</t>
        </is>
      </c>
      <c r="L233" t="inlineStr">
        <is>
          <t>สถานีย่อย (C)</t>
        </is>
      </c>
      <c r="M233" t="n">
        <v>2</v>
      </c>
      <c r="N233" t="n">
        <v>14.182401</v>
      </c>
      <c r="O233" t="n">
        <v>100.640628</v>
      </c>
      <c r="P233" t="n">
        <v>10.64</v>
      </c>
      <c r="Q233" t="n">
        <v>4</v>
      </c>
      <c r="R233" t="n">
        <v>3</v>
      </c>
      <c r="S233" s="3" t="n">
        <v>160792</v>
      </c>
      <c r="T233" t="n">
        <v>1</v>
      </c>
      <c r="U233" t="n">
        <v>0</v>
      </c>
      <c r="V233" t="n">
        <v>0</v>
      </c>
      <c r="W233" t="n">
        <v>0</v>
      </c>
      <c r="X233" t="inlineStr">
        <is>
          <t>low</t>
        </is>
      </c>
      <c r="Y233" s="3">
        <f>Q233*1000000</f>
        <v/>
      </c>
      <c r="Z233" s="3">
        <f>365*R233*S233*T233</f>
        <v/>
      </c>
      <c r="AA233" s="4">
        <f>Y233/Z233</f>
        <v/>
      </c>
      <c r="AB233" s="4">
        <f>Q233*1000000/(365*R233*S233)</f>
        <v/>
      </c>
      <c r="AC233">
        <f>RANK(AA233,$AA$2:$AA$395,0)</f>
        <v/>
      </c>
    </row>
    <row r="234">
      <c r="A234" t="inlineStr">
        <is>
          <t>zone_399</t>
        </is>
      </c>
      <c r="B234" t="inlineStr">
        <is>
          <t>บางปะอิน - แขวงรามอินทรา</t>
        </is>
      </c>
      <c r="C234" t="inlineStr">
        <is>
          <t>ปทุมธานี</t>
        </is>
      </c>
      <c r="D234" t="n">
        <v>9</v>
      </c>
      <c r="E234" t="inlineStr">
        <is>
          <t>0401</t>
        </is>
      </c>
      <c r="F234" t="inlineStr">
        <is>
          <t>10.7–10.9</t>
        </is>
      </c>
      <c r="G234" t="n">
        <v>14.107762</v>
      </c>
      <c r="H234" t="n">
        <v>100.682603</v>
      </c>
      <c r="I234" t="inlineStr">
        <is>
          <t>hods_aadt_pnt_2568.fid-6461857d_1a0f2643074_4a01</t>
        </is>
      </c>
      <c r="J234" t="inlineStr">
        <is>
          <t>บางปะอิน - แขวงรามอินทรา</t>
        </is>
      </c>
      <c r="K234" t="inlineStr">
        <is>
          <t>1+500</t>
        </is>
      </c>
      <c r="L234" t="inlineStr">
        <is>
          <t>สถานีย่อย (C)</t>
        </is>
      </c>
      <c r="M234" t="n">
        <v>2</v>
      </c>
      <c r="N234" t="n">
        <v>14.182401</v>
      </c>
      <c r="O234" t="n">
        <v>100.640628</v>
      </c>
      <c r="P234" t="n">
        <v>9.449999999999999</v>
      </c>
      <c r="Q234" t="n">
        <v>3</v>
      </c>
      <c r="R234" t="n">
        <v>3</v>
      </c>
      <c r="S234" s="3" t="n">
        <v>160792</v>
      </c>
      <c r="T234" t="n">
        <v>1</v>
      </c>
      <c r="U234" t="n">
        <v>0</v>
      </c>
      <c r="V234" t="n">
        <v>0</v>
      </c>
      <c r="W234" t="n">
        <v>0</v>
      </c>
      <c r="X234" t="inlineStr">
        <is>
          <t>low</t>
        </is>
      </c>
      <c r="Y234" s="3">
        <f>Q234*1000000</f>
        <v/>
      </c>
      <c r="Z234" s="3">
        <f>365*R234*S234*T234</f>
        <v/>
      </c>
      <c r="AA234" s="4">
        <f>Y234/Z234</f>
        <v/>
      </c>
      <c r="AB234" s="4">
        <f>Q234*1000000/(365*R234*S234)</f>
        <v/>
      </c>
      <c r="AC234">
        <f>RANK(AA234,$AA$2:$AA$395,0)</f>
        <v/>
      </c>
    </row>
    <row r="235">
      <c r="A235" t="inlineStr">
        <is>
          <t>zone_400</t>
        </is>
      </c>
      <c r="B235" t="inlineStr">
        <is>
          <t>สะพานคลองเปรม - สะพานข้ามแม่น้ำเจ้าพระยาปทุมธานี</t>
        </is>
      </c>
      <c r="C235" t="inlineStr">
        <is>
          <t>ปทุมธานี</t>
        </is>
      </c>
      <c r="D235" t="n">
        <v>346</v>
      </c>
      <c r="E235" t="inlineStr">
        <is>
          <t>0101</t>
        </is>
      </c>
      <c r="F235" t="inlineStr">
        <is>
          <t>2.5–2.5</t>
        </is>
      </c>
      <c r="G235" t="n">
        <v>13.984586</v>
      </c>
      <c r="H235" t="n">
        <v>100.592854</v>
      </c>
      <c r="I235" t="inlineStr">
        <is>
          <t>hods_aadt_pnt_2568.fid-6461857d_1a0f2643074_4ca7</t>
        </is>
      </c>
      <c r="J235" t="inlineStr">
        <is>
          <t>ต่างระดับรังสิต - แยกบางพูน</t>
        </is>
      </c>
      <c r="K235" t="inlineStr">
        <is>
          <t>1+800</t>
        </is>
      </c>
      <c r="L235" t="inlineStr">
        <is>
          <t>สถานีย่อย (C)</t>
        </is>
      </c>
      <c r="M235" t="n">
        <v>1</v>
      </c>
      <c r="N235" t="n">
        <v>13.986021</v>
      </c>
      <c r="O235" t="n">
        <v>100.601724</v>
      </c>
      <c r="P235" t="n">
        <v>0.97</v>
      </c>
      <c r="Q235" t="n">
        <v>3</v>
      </c>
      <c r="R235" t="n">
        <v>3</v>
      </c>
      <c r="S235" s="3" t="n">
        <v>169276</v>
      </c>
      <c r="T235" t="n">
        <v>1</v>
      </c>
      <c r="U235" t="n">
        <v>1</v>
      </c>
      <c r="V235" t="n">
        <v>0</v>
      </c>
      <c r="W235" t="n">
        <v>0.3333</v>
      </c>
      <c r="X235" t="inlineStr">
        <is>
          <t>low</t>
        </is>
      </c>
      <c r="Y235" s="3">
        <f>Q235*1000000</f>
        <v/>
      </c>
      <c r="Z235" s="3">
        <f>365*R235*S235*T235</f>
        <v/>
      </c>
      <c r="AA235" s="4">
        <f>Y235/Z235</f>
        <v/>
      </c>
      <c r="AB235" s="4">
        <f>Q235*1000000/(365*R235*S235)</f>
        <v/>
      </c>
      <c r="AC235">
        <f>RANK(AA235,$AA$2:$AA$395,0)</f>
        <v/>
      </c>
    </row>
    <row r="236">
      <c r="A236" t="inlineStr">
        <is>
          <t>zone_401</t>
        </is>
      </c>
      <c r="B236" t="inlineStr">
        <is>
          <t>สะพานคลองเปรม - สะพานข้ามแม่น้ำเจ้าพระยาปทุมธานี</t>
        </is>
      </c>
      <c r="C236" t="inlineStr">
        <is>
          <t>ปทุมธานี</t>
        </is>
      </c>
      <c r="D236" t="n">
        <v>346</v>
      </c>
      <c r="E236" t="inlineStr">
        <is>
          <t>0101</t>
        </is>
      </c>
      <c r="F236" t="inlineStr">
        <is>
          <t>2.5–2.5</t>
        </is>
      </c>
      <c r="G236" t="n">
        <v>13.984586</v>
      </c>
      <c r="H236" t="n">
        <v>100.592854</v>
      </c>
      <c r="I236" t="inlineStr">
        <is>
          <t>hods_aadt_pnt_2568.fid-6461857d_1a0f2643074_4ca7</t>
        </is>
      </c>
      <c r="J236" t="inlineStr">
        <is>
          <t>ต่างระดับรังสิต - แยกบางพูน</t>
        </is>
      </c>
      <c r="K236" t="inlineStr">
        <is>
          <t>1+800</t>
        </is>
      </c>
      <c r="L236" t="inlineStr">
        <is>
          <t>สถานีย่อย (C)</t>
        </is>
      </c>
      <c r="M236" t="n">
        <v>1</v>
      </c>
      <c r="N236" t="n">
        <v>13.986021</v>
      </c>
      <c r="O236" t="n">
        <v>100.601724</v>
      </c>
      <c r="P236" t="n">
        <v>0.97</v>
      </c>
      <c r="Q236" t="n">
        <v>4</v>
      </c>
      <c r="R236" t="n">
        <v>3</v>
      </c>
      <c r="S236" s="3" t="n">
        <v>169276</v>
      </c>
      <c r="T236" t="n">
        <v>1</v>
      </c>
      <c r="U236" t="n">
        <v>0</v>
      </c>
      <c r="V236" t="n">
        <v>3</v>
      </c>
      <c r="W236" t="n">
        <v>0.75</v>
      </c>
      <c r="X236" t="inlineStr">
        <is>
          <t>low</t>
        </is>
      </c>
      <c r="Y236" s="3">
        <f>Q236*1000000</f>
        <v/>
      </c>
      <c r="Z236" s="3">
        <f>365*R236*S236*T236</f>
        <v/>
      </c>
      <c r="AA236" s="4">
        <f>Y236/Z236</f>
        <v/>
      </c>
      <c r="AB236" s="4">
        <f>Q236*1000000/(365*R236*S236)</f>
        <v/>
      </c>
      <c r="AC236">
        <f>RANK(AA236,$AA$2:$AA$395,0)</f>
        <v/>
      </c>
    </row>
    <row r="237">
      <c r="A237" t="inlineStr">
        <is>
          <t>zone_402</t>
        </is>
      </c>
      <c r="B237" t="inlineStr">
        <is>
          <t>บางปะอิน - แขวงรามอินทรา</t>
        </is>
      </c>
      <c r="C237" t="inlineStr">
        <is>
          <t>ปทุมธานี</t>
        </is>
      </c>
      <c r="D237" t="n">
        <v>9</v>
      </c>
      <c r="E237" t="inlineStr">
        <is>
          <t>0401</t>
        </is>
      </c>
      <c r="F237" t="inlineStr">
        <is>
          <t>4.86–7.8</t>
        </is>
      </c>
      <c r="G237" t="n">
        <v>14.143577</v>
      </c>
      <c r="H237" t="n">
        <v>100.662577</v>
      </c>
      <c r="I237" t="inlineStr">
        <is>
          <t>hods_aadt_pnt_2568.fid-6461857d_1a0f2643074_4a01</t>
        </is>
      </c>
      <c r="J237" t="inlineStr">
        <is>
          <t>บางปะอิน - แขวงรามอินทรา</t>
        </is>
      </c>
      <c r="K237" t="inlineStr">
        <is>
          <t>1+500</t>
        </is>
      </c>
      <c r="L237" t="inlineStr">
        <is>
          <t>สถานีย่อย (C)</t>
        </is>
      </c>
      <c r="M237" t="n">
        <v>2</v>
      </c>
      <c r="N237" t="n">
        <v>14.182401</v>
      </c>
      <c r="O237" t="n">
        <v>100.640628</v>
      </c>
      <c r="P237" t="n">
        <v>4.92</v>
      </c>
      <c r="Q237" t="n">
        <v>45</v>
      </c>
      <c r="R237" t="n">
        <v>3</v>
      </c>
      <c r="S237" s="3" t="n">
        <v>160792</v>
      </c>
      <c r="T237" t="n">
        <v>1</v>
      </c>
      <c r="U237" t="n">
        <v>0</v>
      </c>
      <c r="V237" t="n">
        <v>36</v>
      </c>
      <c r="W237" t="n">
        <v>0.8</v>
      </c>
      <c r="X237" t="inlineStr">
        <is>
          <t>low</t>
        </is>
      </c>
      <c r="Y237" s="3">
        <f>Q237*1000000</f>
        <v/>
      </c>
      <c r="Z237" s="3">
        <f>365*R237*S237*T237</f>
        <v/>
      </c>
      <c r="AA237" s="4">
        <f>Y237/Z237</f>
        <v/>
      </c>
      <c r="AB237" s="4">
        <f>Q237*1000000/(365*R237*S237)</f>
        <v/>
      </c>
      <c r="AC237">
        <f>RANK(AA237,$AA$2:$AA$395,0)</f>
        <v/>
      </c>
    </row>
    <row r="238">
      <c r="A238" t="inlineStr">
        <is>
          <t>zone_403</t>
        </is>
      </c>
      <c r="B238" t="inlineStr">
        <is>
          <t>บางปะอิน - แขวงรามอินทรา</t>
        </is>
      </c>
      <c r="C238" t="inlineStr">
        <is>
          <t>ปทุมธานี</t>
        </is>
      </c>
      <c r="D238" t="n">
        <v>9</v>
      </c>
      <c r="E238" t="inlineStr">
        <is>
          <t>0401</t>
        </is>
      </c>
      <c r="F238" t="inlineStr">
        <is>
          <t>7.5–7.8</t>
        </is>
      </c>
      <c r="G238" t="n">
        <v>14.134047</v>
      </c>
      <c r="H238" t="n">
        <v>100.668182</v>
      </c>
      <c r="I238" t="inlineStr">
        <is>
          <t>hods_aadt_pnt_2568.fid-6461857d_1a0f2643074_4a01</t>
        </is>
      </c>
      <c r="J238" t="inlineStr">
        <is>
          <t>บางปะอิน - แขวงรามอินทรา</t>
        </is>
      </c>
      <c r="K238" t="inlineStr">
        <is>
          <t>1+500</t>
        </is>
      </c>
      <c r="L238" t="inlineStr">
        <is>
          <t>สถานีย่อย (C)</t>
        </is>
      </c>
      <c r="M238" t="n">
        <v>2</v>
      </c>
      <c r="N238" t="n">
        <v>14.182401</v>
      </c>
      <c r="O238" t="n">
        <v>100.640628</v>
      </c>
      <c r="P238" t="n">
        <v>6.14</v>
      </c>
      <c r="Q238" t="n">
        <v>6</v>
      </c>
      <c r="R238" t="n">
        <v>3</v>
      </c>
      <c r="S238" s="3" t="n">
        <v>160792</v>
      </c>
      <c r="T238" t="n">
        <v>1</v>
      </c>
      <c r="U238" t="n">
        <v>3</v>
      </c>
      <c r="V238" t="n">
        <v>2</v>
      </c>
      <c r="W238" t="n">
        <v>0.5</v>
      </c>
      <c r="X238" t="inlineStr">
        <is>
          <t>low</t>
        </is>
      </c>
      <c r="Y238" s="3">
        <f>Q238*1000000</f>
        <v/>
      </c>
      <c r="Z238" s="3">
        <f>365*R238*S238*T238</f>
        <v/>
      </c>
      <c r="AA238" s="4">
        <f>Y238/Z238</f>
        <v/>
      </c>
      <c r="AB238" s="4">
        <f>Q238*1000000/(365*R238*S238)</f>
        <v/>
      </c>
      <c r="AC238">
        <f>RANK(AA238,$AA$2:$AA$395,0)</f>
        <v/>
      </c>
    </row>
    <row r="239">
      <c r="A239" t="inlineStr">
        <is>
          <t>zone_404</t>
        </is>
      </c>
      <c r="B239" t="inlineStr">
        <is>
          <t>บางปะอิน - แขวงรามอินทรา</t>
        </is>
      </c>
      <c r="C239" t="inlineStr">
        <is>
          <t>ปทุมธานี</t>
        </is>
      </c>
      <c r="D239" t="n">
        <v>9</v>
      </c>
      <c r="E239" t="inlineStr">
        <is>
          <t>0401</t>
        </is>
      </c>
      <c r="F239" t="inlineStr">
        <is>
          <t>18.1–20.1</t>
        </is>
      </c>
      <c r="G239" t="n">
        <v>14.036266</v>
      </c>
      <c r="H239" t="n">
        <v>100.698098</v>
      </c>
      <c r="I239" t="inlineStr">
        <is>
          <t>hods_aadt_pnt_2568.fid-6461857d_1a0f2643074_4a01</t>
        </is>
      </c>
      <c r="J239" t="inlineStr">
        <is>
          <t>บางปะอิน - แขวงรามอินทรา</t>
        </is>
      </c>
      <c r="K239" t="inlineStr">
        <is>
          <t>1+500</t>
        </is>
      </c>
      <c r="L239" t="inlineStr">
        <is>
          <t>สถานีย่อย (C)</t>
        </is>
      </c>
      <c r="M239" t="n">
        <v>2</v>
      </c>
      <c r="N239" t="n">
        <v>14.182401</v>
      </c>
      <c r="O239" t="n">
        <v>100.640628</v>
      </c>
      <c r="P239" t="n">
        <v>17.39</v>
      </c>
      <c r="Q239" t="n">
        <v>39</v>
      </c>
      <c r="R239" t="n">
        <v>3</v>
      </c>
      <c r="S239" s="3" t="n">
        <v>160792</v>
      </c>
      <c r="T239" t="n">
        <v>1</v>
      </c>
      <c r="U239" t="n">
        <v>0</v>
      </c>
      <c r="V239" t="n">
        <v>12</v>
      </c>
      <c r="W239" t="n">
        <v>0.3077</v>
      </c>
      <c r="X239" t="inlineStr">
        <is>
          <t>low</t>
        </is>
      </c>
      <c r="Y239" s="3">
        <f>Q239*1000000</f>
        <v/>
      </c>
      <c r="Z239" s="3">
        <f>365*R239*S239*T239</f>
        <v/>
      </c>
      <c r="AA239" s="4">
        <f>Y239/Z239</f>
        <v/>
      </c>
      <c r="AB239" s="4">
        <f>Q239*1000000/(365*R239*S239)</f>
        <v/>
      </c>
      <c r="AC239">
        <f>RANK(AA239,$AA$2:$AA$395,0)</f>
        <v/>
      </c>
    </row>
    <row r="240">
      <c r="A240" t="inlineStr">
        <is>
          <t>zone_405</t>
        </is>
      </c>
      <c r="B240" t="inlineStr">
        <is>
          <t>บางปะอิน - แขวงรามอินทรา</t>
        </is>
      </c>
      <c r="C240" t="inlineStr">
        <is>
          <t>ปทุมธานี</t>
        </is>
      </c>
      <c r="D240" t="n">
        <v>9</v>
      </c>
      <c r="E240" t="inlineStr">
        <is>
          <t>0401</t>
        </is>
      </c>
      <c r="F240" t="inlineStr">
        <is>
          <t>17.7–17.9</t>
        </is>
      </c>
      <c r="G240" t="n">
        <v>14.048116</v>
      </c>
      <c r="H240" t="n">
        <v>100.698277</v>
      </c>
      <c r="I240" t="inlineStr">
        <is>
          <t>hods_aadt_pnt_2568.fid-6461857d_1a0f2643074_4a01</t>
        </is>
      </c>
      <c r="J240" t="inlineStr">
        <is>
          <t>บางปะอิน - แขวงรามอินทรา</t>
        </is>
      </c>
      <c r="K240" t="inlineStr">
        <is>
          <t>1+500</t>
        </is>
      </c>
      <c r="L240" t="inlineStr">
        <is>
          <t>สถานีย่อย (C)</t>
        </is>
      </c>
      <c r="M240" t="n">
        <v>2</v>
      </c>
      <c r="N240" t="n">
        <v>14.182401</v>
      </c>
      <c r="O240" t="n">
        <v>100.640628</v>
      </c>
      <c r="P240" t="n">
        <v>16.17</v>
      </c>
      <c r="Q240" t="n">
        <v>8</v>
      </c>
      <c r="R240" t="n">
        <v>3</v>
      </c>
      <c r="S240" s="3" t="n">
        <v>160792</v>
      </c>
      <c r="T240" t="n">
        <v>1</v>
      </c>
      <c r="U240" t="n">
        <v>0</v>
      </c>
      <c r="V240" t="n">
        <v>2</v>
      </c>
      <c r="W240" t="n">
        <v>0.25</v>
      </c>
      <c r="X240" t="inlineStr">
        <is>
          <t>low</t>
        </is>
      </c>
      <c r="Y240" s="3">
        <f>Q240*1000000</f>
        <v/>
      </c>
      <c r="Z240" s="3">
        <f>365*R240*S240*T240</f>
        <v/>
      </c>
      <c r="AA240" s="4">
        <f>Y240/Z240</f>
        <v/>
      </c>
      <c r="AB240" s="4">
        <f>Q240*1000000/(365*R240*S240)</f>
        <v/>
      </c>
      <c r="AC240">
        <f>RANK(AA240,$AA$2:$AA$395,0)</f>
        <v/>
      </c>
    </row>
    <row r="241">
      <c r="A241" t="inlineStr">
        <is>
          <t>zone_406</t>
        </is>
      </c>
      <c r="B241" t="inlineStr">
        <is>
          <t>บางปะอิน - แขวงรามอินทรา</t>
        </is>
      </c>
      <c r="C241" t="inlineStr">
        <is>
          <t>ปทุมธานี</t>
        </is>
      </c>
      <c r="D241" t="n">
        <v>9</v>
      </c>
      <c r="E241" t="inlineStr">
        <is>
          <t>0401</t>
        </is>
      </c>
      <c r="F241" t="inlineStr">
        <is>
          <t>18.2–18.5</t>
        </is>
      </c>
      <c r="G241" t="n">
        <v>14.043522</v>
      </c>
      <c r="H241" t="n">
        <v>100.698555</v>
      </c>
      <c r="I241" t="inlineStr">
        <is>
          <t>hods_aadt_pnt_2568.fid-6461857d_1a0f2643074_4a01</t>
        </is>
      </c>
      <c r="J241" t="inlineStr">
        <is>
          <t>บางปะอิน - แขวงรามอินทรา</t>
        </is>
      </c>
      <c r="K241" t="inlineStr">
        <is>
          <t>1+500</t>
        </is>
      </c>
      <c r="L241" t="inlineStr">
        <is>
          <t>สถานีย่อย (C)</t>
        </is>
      </c>
      <c r="M241" t="n">
        <v>2</v>
      </c>
      <c r="N241" t="n">
        <v>14.182401</v>
      </c>
      <c r="O241" t="n">
        <v>100.640628</v>
      </c>
      <c r="P241" t="n">
        <v>16.66</v>
      </c>
      <c r="Q241" t="n">
        <v>4</v>
      </c>
      <c r="R241" t="n">
        <v>3</v>
      </c>
      <c r="S241" s="3" t="n">
        <v>160792</v>
      </c>
      <c r="T241" t="n">
        <v>1</v>
      </c>
      <c r="U241" t="n">
        <v>0</v>
      </c>
      <c r="V241" t="n">
        <v>0</v>
      </c>
      <c r="W241" t="n">
        <v>0</v>
      </c>
      <c r="X241" t="inlineStr">
        <is>
          <t>low</t>
        </is>
      </c>
      <c r="Y241" s="3">
        <f>Q241*1000000</f>
        <v/>
      </c>
      <c r="Z241" s="3">
        <f>365*R241*S241*T241</f>
        <v/>
      </c>
      <c r="AA241" s="4">
        <f>Y241/Z241</f>
        <v/>
      </c>
      <c r="AB241" s="4">
        <f>Q241*1000000/(365*R241*S241)</f>
        <v/>
      </c>
      <c r="AC241">
        <f>RANK(AA241,$AA$2:$AA$395,0)</f>
        <v/>
      </c>
    </row>
    <row r="242">
      <c r="A242" t="inlineStr">
        <is>
          <t>zone_407</t>
        </is>
      </c>
      <c r="B242" t="inlineStr">
        <is>
          <t>บางปะอิน - แขวงรามอินทรา</t>
        </is>
      </c>
      <c r="C242" t="inlineStr">
        <is>
          <t>ปทุมธานี</t>
        </is>
      </c>
      <c r="D242" t="n">
        <v>9</v>
      </c>
      <c r="E242" t="inlineStr">
        <is>
          <t>0401</t>
        </is>
      </c>
      <c r="F242" t="inlineStr">
        <is>
          <t>19.1–19.2</t>
        </is>
      </c>
      <c r="G242" t="n">
        <v>14.036248</v>
      </c>
      <c r="H242" t="n">
        <v>100.698548</v>
      </c>
      <c r="I242" t="inlineStr">
        <is>
          <t>hods_aadt_pnt_2568.fid-6461857d_1a0f2643074_4a01</t>
        </is>
      </c>
      <c r="J242" t="inlineStr">
        <is>
          <t>บางปะอิน - แขวงรามอินทรา</t>
        </is>
      </c>
      <c r="K242" t="inlineStr">
        <is>
          <t>1+500</t>
        </is>
      </c>
      <c r="L242" t="inlineStr">
        <is>
          <t>สถานีย่อย (C)</t>
        </is>
      </c>
      <c r="M242" t="n">
        <v>2</v>
      </c>
      <c r="N242" t="n">
        <v>14.182401</v>
      </c>
      <c r="O242" t="n">
        <v>100.640628</v>
      </c>
      <c r="P242" t="n">
        <v>17.41</v>
      </c>
      <c r="Q242" t="n">
        <v>3</v>
      </c>
      <c r="R242" t="n">
        <v>3</v>
      </c>
      <c r="S242" s="3" t="n">
        <v>160792</v>
      </c>
      <c r="T242" t="n">
        <v>1</v>
      </c>
      <c r="U242" t="n">
        <v>0</v>
      </c>
      <c r="V242" t="n">
        <v>1</v>
      </c>
      <c r="W242" t="n">
        <v>0.3333</v>
      </c>
      <c r="X242" t="inlineStr">
        <is>
          <t>low</t>
        </is>
      </c>
      <c r="Y242" s="3">
        <f>Q242*1000000</f>
        <v/>
      </c>
      <c r="Z242" s="3">
        <f>365*R242*S242*T242</f>
        <v/>
      </c>
      <c r="AA242" s="4">
        <f>Y242/Z242</f>
        <v/>
      </c>
      <c r="AB242" s="4">
        <f>Q242*1000000/(365*R242*S242)</f>
        <v/>
      </c>
      <c r="AC242">
        <f>RANK(AA242,$AA$2:$AA$395,0)</f>
        <v/>
      </c>
    </row>
    <row r="243">
      <c r="A243" t="inlineStr">
        <is>
          <t>zone_408</t>
        </is>
      </c>
      <c r="B243" t="inlineStr">
        <is>
          <t>ธัญบุรี - คลองระพีพัฒน์</t>
        </is>
      </c>
      <c r="C243" t="inlineStr">
        <is>
          <t>ปทุมธานี</t>
        </is>
      </c>
      <c r="D243" t="n">
        <v>352</v>
      </c>
      <c r="E243" t="inlineStr">
        <is>
          <t>0100</t>
        </is>
      </c>
      <c r="F243" t="inlineStr">
        <is>
          <t>4.42–4.6</t>
        </is>
      </c>
      <c r="G243" t="n">
        <v>14.050259</v>
      </c>
      <c r="H243" t="n">
        <v>100.747921</v>
      </c>
      <c r="I243" t="inlineStr">
        <is>
          <t>hods_aadt_pnt_2568.fid-6461857d_1a0f2643074_4cbe</t>
        </is>
      </c>
      <c r="J243" t="inlineStr">
        <is>
          <t>ธัญบุรี - คลองระพีพัฒน์</t>
        </is>
      </c>
      <c r="K243" t="inlineStr">
        <is>
          <t>3+600</t>
        </is>
      </c>
      <c r="L243" t="inlineStr">
        <is>
          <t>สถานีย่อย (C)</t>
        </is>
      </c>
      <c r="M243" t="n">
        <v>1</v>
      </c>
      <c r="N243" t="n">
        <v>14.042282</v>
      </c>
      <c r="O243" t="n">
        <v>100.749126</v>
      </c>
      <c r="P243" t="n">
        <v>0.9</v>
      </c>
      <c r="Q243" t="n">
        <v>3</v>
      </c>
      <c r="R243" t="n">
        <v>3</v>
      </c>
      <c r="S243" s="3" t="n">
        <v>21755</v>
      </c>
      <c r="T243" t="n">
        <v>1</v>
      </c>
      <c r="U243" t="n">
        <v>0</v>
      </c>
      <c r="V243" t="n">
        <v>0</v>
      </c>
      <c r="W243" t="n">
        <v>0</v>
      </c>
      <c r="X243" t="inlineStr">
        <is>
          <t>low</t>
        </is>
      </c>
      <c r="Y243" s="3">
        <f>Q243*1000000</f>
        <v/>
      </c>
      <c r="Z243" s="3">
        <f>365*R243*S243*T243</f>
        <v/>
      </c>
      <c r="AA243" s="4">
        <f>Y243/Z243</f>
        <v/>
      </c>
      <c r="AB243" s="4">
        <f>Q243*1000000/(365*R243*S243)</f>
        <v/>
      </c>
      <c r="AC243">
        <f>RANK(AA243,$AA$2:$AA$395,0)</f>
        <v/>
      </c>
    </row>
    <row r="244">
      <c r="A244" t="inlineStr">
        <is>
          <t>zone_411</t>
        </is>
      </c>
      <c r="B244" t="inlineStr">
        <is>
          <t>บางปะอิน - แขวงรามอินทรา</t>
        </is>
      </c>
      <c r="C244" t="inlineStr">
        <is>
          <t>ปทุมธานี</t>
        </is>
      </c>
      <c r="D244" t="n">
        <v>9</v>
      </c>
      <c r="E244" t="inlineStr">
        <is>
          <t>0401</t>
        </is>
      </c>
      <c r="F244" t="inlineStr">
        <is>
          <t>4.3–4.65</t>
        </is>
      </c>
      <c r="G244" t="n">
        <v>14.158556</v>
      </c>
      <c r="H244" t="n">
        <v>100.653922</v>
      </c>
      <c r="I244" t="inlineStr">
        <is>
          <t>hods_aadt_pnt_2568.fid-6461857d_1a0f2643074_4a01</t>
        </is>
      </c>
      <c r="J244" t="inlineStr">
        <is>
          <t>บางปะอิน - แขวงรามอินทรา</t>
        </is>
      </c>
      <c r="K244" t="inlineStr">
        <is>
          <t>1+500</t>
        </is>
      </c>
      <c r="L244" t="inlineStr">
        <is>
          <t>สถานีย่อย (C)</t>
        </is>
      </c>
      <c r="M244" t="n">
        <v>2</v>
      </c>
      <c r="N244" t="n">
        <v>14.182401</v>
      </c>
      <c r="O244" t="n">
        <v>100.640628</v>
      </c>
      <c r="P244" t="n">
        <v>3.01</v>
      </c>
      <c r="Q244" t="n">
        <v>6</v>
      </c>
      <c r="R244" t="n">
        <v>3</v>
      </c>
      <c r="S244" s="3" t="n">
        <v>160792</v>
      </c>
      <c r="T244" t="n">
        <v>1</v>
      </c>
      <c r="U244" t="n">
        <v>0</v>
      </c>
      <c r="V244" t="n">
        <v>3</v>
      </c>
      <c r="W244" t="n">
        <v>0.5</v>
      </c>
      <c r="X244" t="inlineStr">
        <is>
          <t>low</t>
        </is>
      </c>
      <c r="Y244" s="3">
        <f>Q244*1000000</f>
        <v/>
      </c>
      <c r="Z244" s="3">
        <f>365*R244*S244*T244</f>
        <v/>
      </c>
      <c r="AA244" s="4">
        <f>Y244/Z244</f>
        <v/>
      </c>
      <c r="AB244" s="4">
        <f>Q244*1000000/(365*R244*S244)</f>
        <v/>
      </c>
      <c r="AC244">
        <f>RANK(AA244,$AA$2:$AA$395,0)</f>
        <v/>
      </c>
    </row>
    <row r="245">
      <c r="A245" t="inlineStr">
        <is>
          <t>zone_412</t>
        </is>
      </c>
      <c r="B245" t="inlineStr">
        <is>
          <t>บางปะอิน - แขวงรามอินทรา</t>
        </is>
      </c>
      <c r="C245" t="inlineStr">
        <is>
          <t>ปทุมธานี</t>
        </is>
      </c>
      <c r="D245" t="n">
        <v>9</v>
      </c>
      <c r="E245" t="inlineStr">
        <is>
          <t>0401</t>
        </is>
      </c>
      <c r="F245" t="inlineStr">
        <is>
          <t>12.5–12.7</t>
        </is>
      </c>
      <c r="G245" t="n">
        <v>14.094269</v>
      </c>
      <c r="H245" t="n">
        <v>100.690218</v>
      </c>
      <c r="I245" t="inlineStr">
        <is>
          <t>hods_aadt_pnt_2568.fid-6461857d_1a0f2643074_4a01</t>
        </is>
      </c>
      <c r="J245" t="inlineStr">
        <is>
          <t>บางปะอิน - แขวงรามอินทรา</t>
        </is>
      </c>
      <c r="K245" t="inlineStr">
        <is>
          <t>1+500</t>
        </is>
      </c>
      <c r="L245" t="inlineStr">
        <is>
          <t>สถานีย่อย (C)</t>
        </is>
      </c>
      <c r="M245" t="n">
        <v>2</v>
      </c>
      <c r="N245" t="n">
        <v>14.182401</v>
      </c>
      <c r="O245" t="n">
        <v>100.640628</v>
      </c>
      <c r="P245" t="n">
        <v>11.16</v>
      </c>
      <c r="Q245" t="n">
        <v>6</v>
      </c>
      <c r="R245" t="n">
        <v>3</v>
      </c>
      <c r="S245" s="3" t="n">
        <v>160792</v>
      </c>
      <c r="T245" t="n">
        <v>1</v>
      </c>
      <c r="U245" t="n">
        <v>0</v>
      </c>
      <c r="V245" t="n">
        <v>3</v>
      </c>
      <c r="W245" t="n">
        <v>0.5</v>
      </c>
      <c r="X245" t="inlineStr">
        <is>
          <t>low</t>
        </is>
      </c>
      <c r="Y245" s="3">
        <f>Q245*1000000</f>
        <v/>
      </c>
      <c r="Z245" s="3">
        <f>365*R245*S245*T245</f>
        <v/>
      </c>
      <c r="AA245" s="4">
        <f>Y245/Z245</f>
        <v/>
      </c>
      <c r="AB245" s="4">
        <f>Q245*1000000/(365*R245*S245)</f>
        <v/>
      </c>
      <c r="AC245">
        <f>RANK(AA245,$AA$2:$AA$395,0)</f>
        <v/>
      </c>
    </row>
    <row r="246">
      <c r="A246" t="inlineStr">
        <is>
          <t>zone_413</t>
        </is>
      </c>
      <c r="B246" t="inlineStr">
        <is>
          <t>บางปะอิน - แขวงรามอินทรา</t>
        </is>
      </c>
      <c r="C246" t="inlineStr">
        <is>
          <t>ปทุมธานี</t>
        </is>
      </c>
      <c r="D246" t="n">
        <v>9</v>
      </c>
      <c r="E246" t="inlineStr">
        <is>
          <t>0401</t>
        </is>
      </c>
      <c r="F246" t="inlineStr">
        <is>
          <t>13–13.2</t>
        </is>
      </c>
      <c r="G246" t="n">
        <v>14.091146</v>
      </c>
      <c r="H246" t="n">
        <v>100.69222</v>
      </c>
      <c r="I246" t="inlineStr">
        <is>
          <t>hods_aadt_pnt_2568.fid-6461857d_1a0f2643074_4a01</t>
        </is>
      </c>
      <c r="J246" t="inlineStr">
        <is>
          <t>บางปะอิน - แขวงรามอินทรา</t>
        </is>
      </c>
      <c r="K246" t="inlineStr">
        <is>
          <t>1+500</t>
        </is>
      </c>
      <c r="L246" t="inlineStr">
        <is>
          <t>สถานีย่อย (C)</t>
        </is>
      </c>
      <c r="M246" t="n">
        <v>2</v>
      </c>
      <c r="N246" t="n">
        <v>14.182401</v>
      </c>
      <c r="O246" t="n">
        <v>100.640628</v>
      </c>
      <c r="P246" t="n">
        <v>11.57</v>
      </c>
      <c r="Q246" t="n">
        <v>5</v>
      </c>
      <c r="R246" t="n">
        <v>3</v>
      </c>
      <c r="S246" s="3" t="n">
        <v>160792</v>
      </c>
      <c r="T246" t="n">
        <v>1</v>
      </c>
      <c r="U246" t="n">
        <v>0</v>
      </c>
      <c r="V246" t="n">
        <v>2</v>
      </c>
      <c r="W246" t="n">
        <v>0.4</v>
      </c>
      <c r="X246" t="inlineStr">
        <is>
          <t>low</t>
        </is>
      </c>
      <c r="Y246" s="3">
        <f>Q246*1000000</f>
        <v/>
      </c>
      <c r="Z246" s="3">
        <f>365*R246*S246*T246</f>
        <v/>
      </c>
      <c r="AA246" s="4">
        <f>Y246/Z246</f>
        <v/>
      </c>
      <c r="AB246" s="4">
        <f>Q246*1000000/(365*R246*S246)</f>
        <v/>
      </c>
      <c r="AC246">
        <f>RANK(AA246,$AA$2:$AA$395,0)</f>
        <v/>
      </c>
    </row>
    <row r="247">
      <c r="A247" t="inlineStr">
        <is>
          <t>zone_414</t>
        </is>
      </c>
      <c r="B247" t="inlineStr">
        <is>
          <t>บางปะอิน - แขวงรามอินทรา</t>
        </is>
      </c>
      <c r="C247" t="inlineStr">
        <is>
          <t>ปทุมธานี</t>
        </is>
      </c>
      <c r="D247" t="n">
        <v>9</v>
      </c>
      <c r="E247" t="inlineStr">
        <is>
          <t>0401</t>
        </is>
      </c>
      <c r="F247" t="inlineStr">
        <is>
          <t>12.7–13</t>
        </is>
      </c>
      <c r="G247" t="n">
        <v>14.091893</v>
      </c>
      <c r="H247" t="n">
        <v>100.691562</v>
      </c>
      <c r="I247" t="inlineStr">
        <is>
          <t>hods_aadt_pnt_2568.fid-6461857d_1a0f2643074_4a01</t>
        </is>
      </c>
      <c r="J247" t="inlineStr">
        <is>
          <t>บางปะอิน - แขวงรามอินทรา</t>
        </is>
      </c>
      <c r="K247" t="inlineStr">
        <is>
          <t>1+500</t>
        </is>
      </c>
      <c r="L247" t="inlineStr">
        <is>
          <t>สถานีย่อย (C)</t>
        </is>
      </c>
      <c r="M247" t="n">
        <v>2</v>
      </c>
      <c r="N247" t="n">
        <v>14.182401</v>
      </c>
      <c r="O247" t="n">
        <v>100.640628</v>
      </c>
      <c r="P247" t="n">
        <v>11.47</v>
      </c>
      <c r="Q247" t="n">
        <v>5</v>
      </c>
      <c r="R247" t="n">
        <v>3</v>
      </c>
      <c r="S247" s="3" t="n">
        <v>160792</v>
      </c>
      <c r="T247" t="n">
        <v>1</v>
      </c>
      <c r="U247" t="n">
        <v>0</v>
      </c>
      <c r="V247" t="n">
        <v>3</v>
      </c>
      <c r="W247" t="n">
        <v>0.6</v>
      </c>
      <c r="X247" t="inlineStr">
        <is>
          <t>low</t>
        </is>
      </c>
      <c r="Y247" s="3">
        <f>Q247*1000000</f>
        <v/>
      </c>
      <c r="Z247" s="3">
        <f>365*R247*S247*T247</f>
        <v/>
      </c>
      <c r="AA247" s="4">
        <f>Y247/Z247</f>
        <v/>
      </c>
      <c r="AB247" s="4">
        <f>Q247*1000000/(365*R247*S247)</f>
        <v/>
      </c>
      <c r="AC247">
        <f>RANK(AA247,$AA$2:$AA$395,0)</f>
        <v/>
      </c>
    </row>
    <row r="248">
      <c r="A248" t="inlineStr">
        <is>
          <t>zone_415</t>
        </is>
      </c>
      <c r="B248" t="inlineStr">
        <is>
          <t>สนามกีฬาธูปะเตมีย์ - ต่างระดับคลองหลวง</t>
        </is>
      </c>
      <c r="C248" t="inlineStr">
        <is>
          <t>ปทุมธานี</t>
        </is>
      </c>
      <c r="D248" t="n">
        <v>1</v>
      </c>
      <c r="E248" t="inlineStr">
        <is>
          <t>0201</t>
        </is>
      </c>
      <c r="F248" t="inlineStr">
        <is>
          <t>28.35–28.5</t>
        </is>
      </c>
      <c r="G248" t="n">
        <v>13.9563</v>
      </c>
      <c r="H248" t="n">
        <v>100.621048</v>
      </c>
      <c r="I248" t="inlineStr">
        <is>
          <t>hods_aadt_pnt_2568.fid-6461857d_1a0f2643074_494d</t>
        </is>
      </c>
      <c r="J248" t="inlineStr">
        <is>
          <t>สนามกีฬาธูปะเตมีย์ - ต่างระดับคลองหลวง</t>
        </is>
      </c>
      <c r="K248" t="inlineStr">
        <is>
          <t>35+550</t>
        </is>
      </c>
      <c r="L248" t="inlineStr">
        <is>
          <t>สถานีย่อย (C)</t>
        </is>
      </c>
      <c r="M248" t="n">
        <v>1</v>
      </c>
      <c r="N248" t="n">
        <v>14.02062</v>
      </c>
      <c r="O248" t="n">
        <v>100.615591</v>
      </c>
      <c r="P248" t="n">
        <v>7.18</v>
      </c>
      <c r="Q248" t="n">
        <v>3</v>
      </c>
      <c r="R248" t="n">
        <v>3</v>
      </c>
      <c r="S248" s="3" t="n">
        <v>204800</v>
      </c>
      <c r="T248" t="n">
        <v>1</v>
      </c>
      <c r="U248" t="n">
        <v>0</v>
      </c>
      <c r="V248" t="n">
        <v>12</v>
      </c>
      <c r="W248" t="n">
        <v>4</v>
      </c>
      <c r="X248" t="inlineStr">
        <is>
          <t>high</t>
        </is>
      </c>
      <c r="Y248" s="3">
        <f>Q248*1000000</f>
        <v/>
      </c>
      <c r="Z248" s="3">
        <f>365*R248*S248*T248</f>
        <v/>
      </c>
      <c r="AA248" s="4">
        <f>Y248/Z248</f>
        <v/>
      </c>
      <c r="AB248" s="4">
        <f>Q248*1000000/(365*R248*S248)</f>
        <v/>
      </c>
      <c r="AC248">
        <f>RANK(AA248,$AA$2:$AA$395,0)</f>
        <v/>
      </c>
    </row>
    <row r="249">
      <c r="A249" t="inlineStr">
        <is>
          <t>zone_416</t>
        </is>
      </c>
      <c r="B249" t="inlineStr">
        <is>
          <t>บางปะอิน - แขวงรามอินทรา</t>
        </is>
      </c>
      <c r="C249" t="inlineStr">
        <is>
          <t>ปทุมธานี</t>
        </is>
      </c>
      <c r="D249" t="n">
        <v>9</v>
      </c>
      <c r="E249" t="inlineStr">
        <is>
          <t>0401</t>
        </is>
      </c>
      <c r="F249" t="inlineStr">
        <is>
          <t>8.3–8.55</t>
        </is>
      </c>
      <c r="G249" t="n">
        <v>14.127563</v>
      </c>
      <c r="H249" t="n">
        <v>100.671395</v>
      </c>
      <c r="I249" t="inlineStr">
        <is>
          <t>hods_aadt_pnt_2568.fid-6461857d_1a0f2643074_4a01</t>
        </is>
      </c>
      <c r="J249" t="inlineStr">
        <is>
          <t>บางปะอิน - แขวงรามอินทรา</t>
        </is>
      </c>
      <c r="K249" t="inlineStr">
        <is>
          <t>1+500</t>
        </is>
      </c>
      <c r="L249" t="inlineStr">
        <is>
          <t>สถานีย่อย (C)</t>
        </is>
      </c>
      <c r="M249" t="n">
        <v>2</v>
      </c>
      <c r="N249" t="n">
        <v>14.182401</v>
      </c>
      <c r="O249" t="n">
        <v>100.640628</v>
      </c>
      <c r="P249" t="n">
        <v>6.94</v>
      </c>
      <c r="Q249" t="n">
        <v>5</v>
      </c>
      <c r="R249" t="n">
        <v>3</v>
      </c>
      <c r="S249" s="3" t="n">
        <v>160792</v>
      </c>
      <c r="T249" t="n">
        <v>1</v>
      </c>
      <c r="U249" t="n">
        <v>1</v>
      </c>
      <c r="V249" t="n">
        <v>1</v>
      </c>
      <c r="W249" t="n">
        <v>0.4</v>
      </c>
      <c r="X249" t="inlineStr">
        <is>
          <t>low</t>
        </is>
      </c>
      <c r="Y249" s="3">
        <f>Q249*1000000</f>
        <v/>
      </c>
      <c r="Z249" s="3">
        <f>365*R249*S249*T249</f>
        <v/>
      </c>
      <c r="AA249" s="4">
        <f>Y249/Z249</f>
        <v/>
      </c>
      <c r="AB249" s="4">
        <f>Q249*1000000/(365*R249*S249)</f>
        <v/>
      </c>
      <c r="AC249">
        <f>RANK(AA249,$AA$2:$AA$395,0)</f>
        <v/>
      </c>
    </row>
    <row r="250">
      <c r="A250" t="inlineStr">
        <is>
          <t>zone_417</t>
        </is>
      </c>
      <c r="B250" t="inlineStr">
        <is>
          <t>ปทุมธานี - ท้ายเกาะ</t>
        </is>
      </c>
      <c r="C250" t="inlineStr">
        <is>
          <t>ปทุมธานี</t>
        </is>
      </c>
      <c r="D250" t="n">
        <v>3111</v>
      </c>
      <c r="E250" t="inlineStr">
        <is>
          <t>0100</t>
        </is>
      </c>
      <c r="F250" t="inlineStr">
        <is>
          <t>1.104–1.17</t>
        </is>
      </c>
      <c r="G250" t="n">
        <v>14.029688</v>
      </c>
      <c r="H250" t="n">
        <v>100.525348</v>
      </c>
      <c r="I250" t="inlineStr">
        <is>
          <t>hods_aadt_pnt_2568.fid-6461857d_1a0f2643074_516c</t>
        </is>
      </c>
      <c r="J250" t="inlineStr">
        <is>
          <t>ปทุมธานี - ท้ายเกาะ</t>
        </is>
      </c>
      <c r="K250" t="inlineStr">
        <is>
          <t>6+369</t>
        </is>
      </c>
      <c r="L250" t="inlineStr">
        <is>
          <t>สถานีย่อย (C)</t>
        </is>
      </c>
      <c r="M250" t="n">
        <v>2</v>
      </c>
      <c r="N250" t="n">
        <v>14.074838</v>
      </c>
      <c r="O250" t="n">
        <v>100.521007</v>
      </c>
      <c r="P250" t="n">
        <v>5.04</v>
      </c>
      <c r="Q250" t="n">
        <v>3</v>
      </c>
      <c r="R250" t="n">
        <v>3</v>
      </c>
      <c r="S250" s="3" t="n">
        <v>50460</v>
      </c>
      <c r="T250" t="n">
        <v>1</v>
      </c>
      <c r="U250" t="n">
        <v>0</v>
      </c>
      <c r="V250" t="n">
        <v>0</v>
      </c>
      <c r="W250" t="n">
        <v>0</v>
      </c>
      <c r="X250" t="inlineStr">
        <is>
          <t>low</t>
        </is>
      </c>
      <c r="Y250" s="3">
        <f>Q250*1000000</f>
        <v/>
      </c>
      <c r="Z250" s="3">
        <f>365*R250*S250*T250</f>
        <v/>
      </c>
      <c r="AA250" s="4">
        <f>Y250/Z250</f>
        <v/>
      </c>
      <c r="AB250" s="4">
        <f>Q250*1000000/(365*R250*S250)</f>
        <v/>
      </c>
      <c r="AC250">
        <f>RANK(AA250,$AA$2:$AA$395,0)</f>
        <v/>
      </c>
    </row>
    <row r="251">
      <c r="A251" t="inlineStr">
        <is>
          <t>zone_418</t>
        </is>
      </c>
      <c r="B251" t="inlineStr">
        <is>
          <t>ต่างระดับคลองหลวง - ประตูน้ำพระอินทร์</t>
        </is>
      </c>
      <c r="C251" t="inlineStr">
        <is>
          <t>ปทุมธานี</t>
        </is>
      </c>
      <c r="D251" t="n">
        <v>1</v>
      </c>
      <c r="E251" t="inlineStr">
        <is>
          <t>0202</t>
        </is>
      </c>
      <c r="F251" t="inlineStr">
        <is>
          <t>45.63–45.95</t>
        </is>
      </c>
      <c r="G251" t="n">
        <v>14.113013</v>
      </c>
      <c r="H251" t="n">
        <v>100.618821</v>
      </c>
      <c r="I251" t="inlineStr">
        <is>
          <t>hods_aadt_pnt_2568.fid-6461857d_1a0f2643074_494e</t>
        </is>
      </c>
      <c r="J251" t="inlineStr">
        <is>
          <t>ต่างระดับคลองหลวง - ประตูน้ำพระอินทร์</t>
        </is>
      </c>
      <c r="K251" t="inlineStr">
        <is>
          <t>48+100</t>
        </is>
      </c>
      <c r="L251" t="inlineStr">
        <is>
          <t>สถานีย่อย (C)</t>
        </is>
      </c>
      <c r="M251" t="n">
        <v>1</v>
      </c>
      <c r="N251" t="n">
        <v>14.134467</v>
      </c>
      <c r="O251" t="n">
        <v>100.618415</v>
      </c>
      <c r="P251" t="n">
        <v>2.39</v>
      </c>
      <c r="Q251" t="n">
        <v>5</v>
      </c>
      <c r="R251" t="n">
        <v>3</v>
      </c>
      <c r="S251" s="3" t="n">
        <v>231957</v>
      </c>
      <c r="T251" t="n">
        <v>1</v>
      </c>
      <c r="U251" t="n">
        <v>2</v>
      </c>
      <c r="V251" t="n">
        <v>1</v>
      </c>
      <c r="W251" t="n">
        <v>0.6</v>
      </c>
      <c r="X251" t="inlineStr">
        <is>
          <t>low</t>
        </is>
      </c>
      <c r="Y251" s="3">
        <f>Q251*1000000</f>
        <v/>
      </c>
      <c r="Z251" s="3">
        <f>365*R251*S251*T251</f>
        <v/>
      </c>
      <c r="AA251" s="4">
        <f>Y251/Z251</f>
        <v/>
      </c>
      <c r="AB251" s="4">
        <f>Q251*1000000/(365*R251*S251)</f>
        <v/>
      </c>
      <c r="AC251">
        <f>RANK(AA251,$AA$2:$AA$395,0)</f>
        <v/>
      </c>
    </row>
    <row r="252">
      <c r="A252" t="inlineStr">
        <is>
          <t>zone_419</t>
        </is>
      </c>
      <c r="B252" t="inlineStr">
        <is>
          <t>ต่างระดับคลองหลวง - ประตูน้ำพระอินทร์</t>
        </is>
      </c>
      <c r="C252" t="inlineStr">
        <is>
          <t>ปทุมธานี</t>
        </is>
      </c>
      <c r="D252" t="n">
        <v>1</v>
      </c>
      <c r="E252" t="inlineStr">
        <is>
          <t>0202</t>
        </is>
      </c>
      <c r="F252" t="inlineStr">
        <is>
          <t>43.05–43.2</t>
        </is>
      </c>
      <c r="G252" t="n">
        <v>14.088903</v>
      </c>
      <c r="H252" t="n">
        <v>100.618375</v>
      </c>
      <c r="I252" t="inlineStr">
        <is>
          <t>hods_aadt_pnt_2568.fid-6461857d_1a0f2643074_494e</t>
        </is>
      </c>
      <c r="J252" t="inlineStr">
        <is>
          <t>ต่างระดับคลองหลวง - ประตูน้ำพระอินทร์</t>
        </is>
      </c>
      <c r="K252" t="inlineStr">
        <is>
          <t>48+100</t>
        </is>
      </c>
      <c r="L252" t="inlineStr">
        <is>
          <t>สถานีย่อย (C)</t>
        </is>
      </c>
      <c r="M252" t="n">
        <v>1</v>
      </c>
      <c r="N252" t="n">
        <v>14.134467</v>
      </c>
      <c r="O252" t="n">
        <v>100.618415</v>
      </c>
      <c r="P252" t="n">
        <v>5.07</v>
      </c>
      <c r="Q252" t="n">
        <v>3</v>
      </c>
      <c r="R252" t="n">
        <v>3</v>
      </c>
      <c r="S252" s="3" t="n">
        <v>231957</v>
      </c>
      <c r="T252" t="n">
        <v>1</v>
      </c>
      <c r="U252" t="n">
        <v>2</v>
      </c>
      <c r="V252" t="n">
        <v>1</v>
      </c>
      <c r="W252" t="n">
        <v>1</v>
      </c>
      <c r="X252" t="inlineStr">
        <is>
          <t>medium</t>
        </is>
      </c>
      <c r="Y252" s="3">
        <f>Q252*1000000</f>
        <v/>
      </c>
      <c r="Z252" s="3">
        <f>365*R252*S252*T252</f>
        <v/>
      </c>
      <c r="AA252" s="4">
        <f>Y252/Z252</f>
        <v/>
      </c>
      <c r="AB252" s="4">
        <f>Q252*1000000/(365*R252*S252)</f>
        <v/>
      </c>
      <c r="AC252">
        <f>RANK(AA252,$AA$2:$AA$395,0)</f>
        <v/>
      </c>
    </row>
    <row r="253">
      <c r="A253" t="inlineStr">
        <is>
          <t>zone_420</t>
        </is>
      </c>
      <c r="B253" t="inlineStr">
        <is>
          <t>ต่างระดับคลองหลวง - ประตูน้ำพระอินทร์</t>
        </is>
      </c>
      <c r="C253" t="inlineStr">
        <is>
          <t>ปทุมธานี</t>
        </is>
      </c>
      <c r="D253" t="n">
        <v>1</v>
      </c>
      <c r="E253" t="inlineStr">
        <is>
          <t>0202</t>
        </is>
      </c>
      <c r="F253" t="inlineStr">
        <is>
          <t>43.5–43.6</t>
        </is>
      </c>
      <c r="G253" t="n">
        <v>14.093421</v>
      </c>
      <c r="H253" t="n">
        <v>100.618352</v>
      </c>
      <c r="I253" t="inlineStr">
        <is>
          <t>hods_aadt_pnt_2568.fid-6461857d_1a0f2643074_494e</t>
        </is>
      </c>
      <c r="J253" t="inlineStr">
        <is>
          <t>ต่างระดับคลองหลวง - ประตูน้ำพระอินทร์</t>
        </is>
      </c>
      <c r="K253" t="inlineStr">
        <is>
          <t>48+100</t>
        </is>
      </c>
      <c r="L253" t="inlineStr">
        <is>
          <t>สถานีย่อย (C)</t>
        </is>
      </c>
      <c r="M253" t="n">
        <v>1</v>
      </c>
      <c r="N253" t="n">
        <v>14.134467</v>
      </c>
      <c r="O253" t="n">
        <v>100.618415</v>
      </c>
      <c r="P253" t="n">
        <v>4.56</v>
      </c>
      <c r="Q253" t="n">
        <v>3</v>
      </c>
      <c r="R253" t="n">
        <v>3</v>
      </c>
      <c r="S253" s="3" t="n">
        <v>231957</v>
      </c>
      <c r="T253" t="n">
        <v>1</v>
      </c>
      <c r="U253" t="n">
        <v>1</v>
      </c>
      <c r="V253" t="n">
        <v>0</v>
      </c>
      <c r="W253" t="n">
        <v>0.3333</v>
      </c>
      <c r="X253" t="inlineStr">
        <is>
          <t>low</t>
        </is>
      </c>
      <c r="Y253" s="3">
        <f>Q253*1000000</f>
        <v/>
      </c>
      <c r="Z253" s="3">
        <f>365*R253*S253*T253</f>
        <v/>
      </c>
      <c r="AA253" s="4">
        <f>Y253/Z253</f>
        <v/>
      </c>
      <c r="AB253" s="4">
        <f>Q253*1000000/(365*R253*S253)</f>
        <v/>
      </c>
      <c r="AC253">
        <f>RANK(AA253,$AA$2:$AA$395,0)</f>
        <v/>
      </c>
    </row>
    <row r="254">
      <c r="A254" t="inlineStr">
        <is>
          <t>zone_421</t>
        </is>
      </c>
      <c r="B254" t="inlineStr">
        <is>
          <t>ต่างระดับรังสิต - วัดนาบุญ</t>
        </is>
      </c>
      <c r="C254" t="inlineStr">
        <is>
          <t>ปทุมธานี</t>
        </is>
      </c>
      <c r="D254" t="n">
        <v>305</v>
      </c>
      <c r="E254" t="inlineStr">
        <is>
          <t>0100</t>
        </is>
      </c>
      <c r="F254" t="inlineStr">
        <is>
          <t>7.2–7.909</t>
        </is>
      </c>
      <c r="G254" t="n">
        <v>13.999927</v>
      </c>
      <c r="H254" t="n">
        <v>100.686045</v>
      </c>
      <c r="I254" t="inlineStr">
        <is>
          <t>hods_aadt_pnt_2568.fid-6461857d_1a0f2643074_4c35</t>
        </is>
      </c>
      <c r="J254" t="inlineStr">
        <is>
          <t>ต่างระดับรังสิต - วัดนาบุญ</t>
        </is>
      </c>
      <c r="K254" t="inlineStr">
        <is>
          <t>4+550</t>
        </is>
      </c>
      <c r="L254" t="inlineStr">
        <is>
          <t>สถานีย่อย (C)</t>
        </is>
      </c>
      <c r="M254" t="n">
        <v>1</v>
      </c>
      <c r="N254" t="n">
        <v>13.993764</v>
      </c>
      <c r="O254" t="n">
        <v>100.657058</v>
      </c>
      <c r="P254" t="n">
        <v>3.2</v>
      </c>
      <c r="Q254" t="n">
        <v>5</v>
      </c>
      <c r="R254" t="n">
        <v>3</v>
      </c>
      <c r="S254" s="3" t="n">
        <v>127131</v>
      </c>
      <c r="T254" t="n">
        <v>1</v>
      </c>
      <c r="U254" t="n">
        <v>0</v>
      </c>
      <c r="V254" t="n">
        <v>4</v>
      </c>
      <c r="W254" t="n">
        <v>0.8</v>
      </c>
      <c r="X254" t="inlineStr">
        <is>
          <t>low</t>
        </is>
      </c>
      <c r="Y254" s="3">
        <f>Q254*1000000</f>
        <v/>
      </c>
      <c r="Z254" s="3">
        <f>365*R254*S254*T254</f>
        <v/>
      </c>
      <c r="AA254" s="4">
        <f>Y254/Z254</f>
        <v/>
      </c>
      <c r="AB254" s="4">
        <f>Q254*1000000/(365*R254*S254)</f>
        <v/>
      </c>
      <c r="AC254">
        <f>RANK(AA254,$AA$2:$AA$395,0)</f>
        <v/>
      </c>
    </row>
    <row r="255">
      <c r="A255" t="inlineStr">
        <is>
          <t>zone_422</t>
        </is>
      </c>
      <c r="B255" t="inlineStr">
        <is>
          <t>คลองบางไผ่ - คลองบางหลวง</t>
        </is>
      </c>
      <c r="C255" t="inlineStr">
        <is>
          <t>ปทุมธานี</t>
        </is>
      </c>
      <c r="D255" t="n">
        <v>9</v>
      </c>
      <c r="E255" t="inlineStr">
        <is>
          <t>0202</t>
        </is>
      </c>
      <c r="F255" t="inlineStr">
        <is>
          <t>57.533–57.666</t>
        </is>
      </c>
      <c r="G255" t="n">
        <v>14.002793</v>
      </c>
      <c r="H255" t="n">
        <v>100.450966</v>
      </c>
      <c r="I255" t="inlineStr">
        <is>
          <t>hods_aadt_pnt_2568.fid-6461857d_1a0f2643074_49fe</t>
        </is>
      </c>
      <c r="J255" t="inlineStr">
        <is>
          <t>คลองบางไผ่ - คลองบางหลวง</t>
        </is>
      </c>
      <c r="K255" t="inlineStr">
        <is>
          <t>47+744</t>
        </is>
      </c>
      <c r="L255" t="inlineStr">
        <is>
          <t>สถานีย่อย (C)</t>
        </is>
      </c>
      <c r="M255" t="n">
        <v>1</v>
      </c>
      <c r="N255" t="n">
        <v>13.926805</v>
      </c>
      <c r="O255" t="n">
        <v>100.413771</v>
      </c>
      <c r="P255" t="n">
        <v>9.35</v>
      </c>
      <c r="Q255" t="n">
        <v>3</v>
      </c>
      <c r="R255" t="n">
        <v>3</v>
      </c>
      <c r="S255" s="3" t="n">
        <v>155949</v>
      </c>
      <c r="T255" t="n">
        <v>1</v>
      </c>
      <c r="U255" t="n">
        <v>0</v>
      </c>
      <c r="V255" t="n">
        <v>0</v>
      </c>
      <c r="W255" t="n">
        <v>0</v>
      </c>
      <c r="X255" t="inlineStr">
        <is>
          <t>low</t>
        </is>
      </c>
      <c r="Y255" s="3">
        <f>Q255*1000000</f>
        <v/>
      </c>
      <c r="Z255" s="3">
        <f>365*R255*S255*T255</f>
        <v/>
      </c>
      <c r="AA255" s="4">
        <f>Y255/Z255</f>
        <v/>
      </c>
      <c r="AB255" s="4">
        <f>Q255*1000000/(365*R255*S255)</f>
        <v/>
      </c>
      <c r="AC255">
        <f>RANK(AA255,$AA$2:$AA$395,0)</f>
        <v/>
      </c>
    </row>
    <row r="256">
      <c r="A256" t="inlineStr">
        <is>
          <t>zone_424</t>
        </is>
      </c>
      <c r="B256" t="inlineStr">
        <is>
          <t>บางปะอิน - แขวงรามอินทรา</t>
        </is>
      </c>
      <c r="C256" t="inlineStr">
        <is>
          <t>ปทุมธานี</t>
        </is>
      </c>
      <c r="D256" t="n">
        <v>9</v>
      </c>
      <c r="E256" t="inlineStr">
        <is>
          <t>0401</t>
        </is>
      </c>
      <c r="F256" t="inlineStr">
        <is>
          <t>9.9–10</t>
        </is>
      </c>
      <c r="G256" t="n">
        <v>14.115117</v>
      </c>
      <c r="H256" t="n">
        <v>100.678629</v>
      </c>
      <c r="I256" t="inlineStr">
        <is>
          <t>hods_aadt_pnt_2568.fid-6461857d_1a0f2643074_4a01</t>
        </is>
      </c>
      <c r="J256" t="inlineStr">
        <is>
          <t>บางปะอิน - แขวงรามอินทรา</t>
        </is>
      </c>
      <c r="K256" t="inlineStr">
        <is>
          <t>1+500</t>
        </is>
      </c>
      <c r="L256" t="inlineStr">
        <is>
          <t>สถานีย่อย (C)</t>
        </is>
      </c>
      <c r="M256" t="n">
        <v>2</v>
      </c>
      <c r="N256" t="n">
        <v>14.182401</v>
      </c>
      <c r="O256" t="n">
        <v>100.640628</v>
      </c>
      <c r="P256" t="n">
        <v>8.529999999999999</v>
      </c>
      <c r="Q256" t="n">
        <v>4</v>
      </c>
      <c r="R256" t="n">
        <v>3</v>
      </c>
      <c r="S256" s="3" t="n">
        <v>160792</v>
      </c>
      <c r="T256" t="n">
        <v>1</v>
      </c>
      <c r="U256" t="n">
        <v>0</v>
      </c>
      <c r="V256" t="n">
        <v>1</v>
      </c>
      <c r="W256" t="n">
        <v>0.25</v>
      </c>
      <c r="X256" t="inlineStr">
        <is>
          <t>low</t>
        </is>
      </c>
      <c r="Y256" s="3">
        <f>Q256*1000000</f>
        <v/>
      </c>
      <c r="Z256" s="3">
        <f>365*R256*S256*T256</f>
        <v/>
      </c>
      <c r="AA256" s="4">
        <f>Y256/Z256</f>
        <v/>
      </c>
      <c r="AB256" s="4">
        <f>Q256*1000000/(365*R256*S256)</f>
        <v/>
      </c>
      <c r="AC256">
        <f>RANK(AA256,$AA$2:$AA$395,0)</f>
        <v/>
      </c>
    </row>
    <row r="257">
      <c r="A257" t="inlineStr">
        <is>
          <t>zone_425</t>
        </is>
      </c>
      <c r="B257" t="inlineStr">
        <is>
          <t>บางปะอิน - แขวงรามอินทรา</t>
        </is>
      </c>
      <c r="C257" t="inlineStr">
        <is>
          <t>ปทุมธานี</t>
        </is>
      </c>
      <c r="D257" t="n">
        <v>9</v>
      </c>
      <c r="E257" t="inlineStr">
        <is>
          <t>0401</t>
        </is>
      </c>
      <c r="F257" t="inlineStr">
        <is>
          <t>10.2–10.5</t>
        </is>
      </c>
      <c r="G257" t="n">
        <v>14.112497</v>
      </c>
      <c r="H257" t="n">
        <v>100.679901</v>
      </c>
      <c r="I257" t="inlineStr">
        <is>
          <t>hods_aadt_pnt_2568.fid-6461857d_1a0f2643074_4a01</t>
        </is>
      </c>
      <c r="J257" t="inlineStr">
        <is>
          <t>บางปะอิน - แขวงรามอินทรา</t>
        </is>
      </c>
      <c r="K257" t="inlineStr">
        <is>
          <t>1+500</t>
        </is>
      </c>
      <c r="L257" t="inlineStr">
        <is>
          <t>สถานีย่อย (C)</t>
        </is>
      </c>
      <c r="M257" t="n">
        <v>2</v>
      </c>
      <c r="N257" t="n">
        <v>14.182401</v>
      </c>
      <c r="O257" t="n">
        <v>100.640628</v>
      </c>
      <c r="P257" t="n">
        <v>8.85</v>
      </c>
      <c r="Q257" t="n">
        <v>5</v>
      </c>
      <c r="R257" t="n">
        <v>3</v>
      </c>
      <c r="S257" s="3" t="n">
        <v>160792</v>
      </c>
      <c r="T257" t="n">
        <v>1</v>
      </c>
      <c r="U257" t="n">
        <v>0</v>
      </c>
      <c r="V257" t="n">
        <v>4</v>
      </c>
      <c r="W257" t="n">
        <v>0.8</v>
      </c>
      <c r="X257" t="inlineStr">
        <is>
          <t>low</t>
        </is>
      </c>
      <c r="Y257" s="3">
        <f>Q257*1000000</f>
        <v/>
      </c>
      <c r="Z257" s="3">
        <f>365*R257*S257*T257</f>
        <v/>
      </c>
      <c r="AA257" s="4">
        <f>Y257/Z257</f>
        <v/>
      </c>
      <c r="AB257" s="4">
        <f>Q257*1000000/(365*R257*S257)</f>
        <v/>
      </c>
      <c r="AC257">
        <f>RANK(AA257,$AA$2:$AA$395,0)</f>
        <v/>
      </c>
    </row>
    <row r="258">
      <c r="A258" t="inlineStr">
        <is>
          <t>zone_426</t>
        </is>
      </c>
      <c r="B258" t="inlineStr">
        <is>
          <t>บางปะอิน - แขวงรามอินทรา</t>
        </is>
      </c>
      <c r="C258" t="inlineStr">
        <is>
          <t>ปทุมธานี</t>
        </is>
      </c>
      <c r="D258" t="n">
        <v>9</v>
      </c>
      <c r="E258" t="inlineStr">
        <is>
          <t>0401</t>
        </is>
      </c>
      <c r="F258" t="inlineStr">
        <is>
          <t>10–10.4</t>
        </is>
      </c>
      <c r="G258" t="n">
        <v>14.113271</v>
      </c>
      <c r="H258" t="n">
        <v>100.67946</v>
      </c>
      <c r="I258" t="inlineStr">
        <is>
          <t>hods_aadt_pnt_2568.fid-6461857d_1a0f2643074_4a01</t>
        </is>
      </c>
      <c r="J258" t="inlineStr">
        <is>
          <t>บางปะอิน - แขวงรามอินทรา</t>
        </is>
      </c>
      <c r="K258" t="inlineStr">
        <is>
          <t>1+500</t>
        </is>
      </c>
      <c r="L258" t="inlineStr">
        <is>
          <t>สถานีย่อย (C)</t>
        </is>
      </c>
      <c r="M258" t="n">
        <v>2</v>
      </c>
      <c r="N258" t="n">
        <v>14.182401</v>
      </c>
      <c r="O258" t="n">
        <v>100.640628</v>
      </c>
      <c r="P258" t="n">
        <v>8.75</v>
      </c>
      <c r="Q258" t="n">
        <v>4</v>
      </c>
      <c r="R258" t="n">
        <v>3</v>
      </c>
      <c r="S258" s="3" t="n">
        <v>160792</v>
      </c>
      <c r="T258" t="n">
        <v>1</v>
      </c>
      <c r="U258" t="n">
        <v>0</v>
      </c>
      <c r="V258" t="n">
        <v>2</v>
      </c>
      <c r="W258" t="n">
        <v>0.5</v>
      </c>
      <c r="X258" t="inlineStr">
        <is>
          <t>low</t>
        </is>
      </c>
      <c r="Y258" s="3">
        <f>Q258*1000000</f>
        <v/>
      </c>
      <c r="Z258" s="3">
        <f>365*R258*S258*T258</f>
        <v/>
      </c>
      <c r="AA258" s="4">
        <f>Y258/Z258</f>
        <v/>
      </c>
      <c r="AB258" s="4">
        <f>Q258*1000000/(365*R258*S258)</f>
        <v/>
      </c>
      <c r="AC258">
        <f>RANK(AA258,$AA$2:$AA$395,0)</f>
        <v/>
      </c>
    </row>
    <row r="259">
      <c r="A259" t="inlineStr">
        <is>
          <t>zone_427</t>
        </is>
      </c>
      <c r="B259" t="inlineStr">
        <is>
          <t>บางปะอิน - แขวงรามอินทรา</t>
        </is>
      </c>
      <c r="C259" t="inlineStr">
        <is>
          <t>ปทุมธานี</t>
        </is>
      </c>
      <c r="D259" t="n">
        <v>9</v>
      </c>
      <c r="E259" t="inlineStr">
        <is>
          <t>0401</t>
        </is>
      </c>
      <c r="F259" t="inlineStr">
        <is>
          <t>14.2–14.3</t>
        </is>
      </c>
      <c r="G259" t="n">
        <v>14.080761</v>
      </c>
      <c r="H259" t="n">
        <v>100.695306</v>
      </c>
      <c r="I259" t="inlineStr">
        <is>
          <t>hods_aadt_pnt_2568.fid-6461857d_1a0f2643074_4a01</t>
        </is>
      </c>
      <c r="J259" t="inlineStr">
        <is>
          <t>บางปะอิน - แขวงรามอินทรา</t>
        </is>
      </c>
      <c r="K259" t="inlineStr">
        <is>
          <t>1+500</t>
        </is>
      </c>
      <c r="L259" t="inlineStr">
        <is>
          <t>สถานีย่อย (C)</t>
        </is>
      </c>
      <c r="M259" t="n">
        <v>2</v>
      </c>
      <c r="N259" t="n">
        <v>14.182401</v>
      </c>
      <c r="O259" t="n">
        <v>100.640628</v>
      </c>
      <c r="P259" t="n">
        <v>12.75</v>
      </c>
      <c r="Q259" t="n">
        <v>4</v>
      </c>
      <c r="R259" t="n">
        <v>3</v>
      </c>
      <c r="S259" s="3" t="n">
        <v>160792</v>
      </c>
      <c r="T259" t="n">
        <v>1</v>
      </c>
      <c r="U259" t="n">
        <v>0</v>
      </c>
      <c r="V259" t="n">
        <v>1</v>
      </c>
      <c r="W259" t="n">
        <v>0.25</v>
      </c>
      <c r="X259" t="inlineStr">
        <is>
          <t>low</t>
        </is>
      </c>
      <c r="Y259" s="3">
        <f>Q259*1000000</f>
        <v/>
      </c>
      <c r="Z259" s="3">
        <f>365*R259*S259*T259</f>
        <v/>
      </c>
      <c r="AA259" s="4">
        <f>Y259/Z259</f>
        <v/>
      </c>
      <c r="AB259" s="4">
        <f>Q259*1000000/(365*R259*S259)</f>
        <v/>
      </c>
      <c r="AC259">
        <f>RANK(AA259,$AA$2:$AA$395,0)</f>
        <v/>
      </c>
    </row>
    <row r="260">
      <c r="A260" t="inlineStr">
        <is>
          <t>zone_428</t>
        </is>
      </c>
      <c r="B260" t="inlineStr">
        <is>
          <t>คลองบางไผ่ - คลองบางหลวง</t>
        </is>
      </c>
      <c r="C260" t="inlineStr">
        <is>
          <t>ปทุมธานี</t>
        </is>
      </c>
      <c r="D260" t="n">
        <v>9</v>
      </c>
      <c r="E260" t="inlineStr">
        <is>
          <t>0202</t>
        </is>
      </c>
      <c r="F260" t="inlineStr">
        <is>
          <t>52.8–55.1</t>
        </is>
      </c>
      <c r="G260" t="n">
        <v>13.98402</v>
      </c>
      <c r="H260" t="n">
        <v>100.441434</v>
      </c>
      <c r="I260" t="inlineStr">
        <is>
          <t>hods_aadt_pnt_2568.fid-6461857d_1a0f2643074_49fe</t>
        </is>
      </c>
      <c r="J260" t="inlineStr">
        <is>
          <t>คลองบางไผ่ - คลองบางหลวง</t>
        </is>
      </c>
      <c r="K260" t="inlineStr">
        <is>
          <t>47+744</t>
        </is>
      </c>
      <c r="L260" t="inlineStr">
        <is>
          <t>สถานีย่อย (C)</t>
        </is>
      </c>
      <c r="M260" t="n">
        <v>1</v>
      </c>
      <c r="N260" t="n">
        <v>13.926805</v>
      </c>
      <c r="O260" t="n">
        <v>100.413771</v>
      </c>
      <c r="P260" t="n">
        <v>7.03</v>
      </c>
      <c r="Q260" t="n">
        <v>5</v>
      </c>
      <c r="R260" t="n">
        <v>3</v>
      </c>
      <c r="S260" s="3" t="n">
        <v>155949</v>
      </c>
      <c r="T260" t="n">
        <v>1</v>
      </c>
      <c r="U260" t="n">
        <v>1</v>
      </c>
      <c r="V260" t="n">
        <v>1</v>
      </c>
      <c r="W260" t="n">
        <v>0.4</v>
      </c>
      <c r="X260" t="inlineStr">
        <is>
          <t>low</t>
        </is>
      </c>
      <c r="Y260" s="3">
        <f>Q260*1000000</f>
        <v/>
      </c>
      <c r="Z260" s="3">
        <f>365*R260*S260*T260</f>
        <v/>
      </c>
      <c r="AA260" s="4">
        <f>Y260/Z260</f>
        <v/>
      </c>
      <c r="AB260" s="4">
        <f>Q260*1000000/(365*R260*S260)</f>
        <v/>
      </c>
      <c r="AC260">
        <f>RANK(AA260,$AA$2:$AA$395,0)</f>
        <v/>
      </c>
    </row>
    <row r="261">
      <c r="A261" t="inlineStr">
        <is>
          <t>zone_429</t>
        </is>
      </c>
      <c r="B261" t="inlineStr">
        <is>
          <t>สนามกีฬาธูปะเตมีย์ - ต่างระดับคลองหลวง</t>
        </is>
      </c>
      <c r="C261" t="inlineStr">
        <is>
          <t>ปทุมธานี</t>
        </is>
      </c>
      <c r="D261" t="n">
        <v>1</v>
      </c>
      <c r="E261" t="inlineStr">
        <is>
          <t>0201</t>
        </is>
      </c>
      <c r="F261" t="inlineStr">
        <is>
          <t>37.2–37.368</t>
        </is>
      </c>
      <c r="G261" t="n">
        <v>14.036553</v>
      </c>
      <c r="H261" t="n">
        <v>100.61601</v>
      </c>
      <c r="I261" t="inlineStr">
        <is>
          <t>hods_aadt_pnt_2568.fid-6461857d_1a0f2643074_494d</t>
        </is>
      </c>
      <c r="J261" t="inlineStr">
        <is>
          <t>สนามกีฬาธูปะเตมีย์ - ต่างระดับคลองหลวง</t>
        </is>
      </c>
      <c r="K261" t="inlineStr">
        <is>
          <t>35+550</t>
        </is>
      </c>
      <c r="L261" t="inlineStr">
        <is>
          <t>สถานีย่อย (C)</t>
        </is>
      </c>
      <c r="M261" t="n">
        <v>1</v>
      </c>
      <c r="N261" t="n">
        <v>14.02062</v>
      </c>
      <c r="O261" t="n">
        <v>100.615591</v>
      </c>
      <c r="P261" t="n">
        <v>1.77</v>
      </c>
      <c r="Q261" t="n">
        <v>4</v>
      </c>
      <c r="R261" t="n">
        <v>3</v>
      </c>
      <c r="S261" s="3" t="n">
        <v>204800</v>
      </c>
      <c r="T261" t="n">
        <v>1</v>
      </c>
      <c r="U261" t="n">
        <v>1</v>
      </c>
      <c r="V261" t="n">
        <v>3</v>
      </c>
      <c r="W261" t="n">
        <v>1</v>
      </c>
      <c r="X261" t="inlineStr">
        <is>
          <t>medium</t>
        </is>
      </c>
      <c r="Y261" s="3">
        <f>Q261*1000000</f>
        <v/>
      </c>
      <c r="Z261" s="3">
        <f>365*R261*S261*T261</f>
        <v/>
      </c>
      <c r="AA261" s="4">
        <f>Y261/Z261</f>
        <v/>
      </c>
      <c r="AB261" s="4">
        <f>Q261*1000000/(365*R261*S261)</f>
        <v/>
      </c>
      <c r="AC261">
        <f>RANK(AA261,$AA$2:$AA$395,0)</f>
        <v/>
      </c>
    </row>
    <row r="262">
      <c r="A262" t="inlineStr">
        <is>
          <t>zone_434</t>
        </is>
      </c>
      <c r="B262" t="inlineStr">
        <is>
          <t>แยกบ้านกลาง - ต่างระดับลาดหลุมแก้ว</t>
        </is>
      </c>
      <c r="C262" t="inlineStr">
        <is>
          <t>ปทุมธานี</t>
        </is>
      </c>
      <c r="D262" t="n">
        <v>346</v>
      </c>
      <c r="E262" t="inlineStr">
        <is>
          <t>0202</t>
        </is>
      </c>
      <c r="F262" t="inlineStr">
        <is>
          <t>19.7–61.9</t>
        </is>
      </c>
      <c r="G262" t="n">
        <v>14.049061</v>
      </c>
      <c r="H262" t="n">
        <v>100.461014</v>
      </c>
      <c r="I262" t="inlineStr">
        <is>
          <t>hods_aadt_pnt_2568.fid-6461857d_1a0f2643074_4caa</t>
        </is>
      </c>
      <c r="J262" t="inlineStr">
        <is>
          <t>แยกนพวงศ์ - บางเลน</t>
        </is>
      </c>
      <c r="K262" t="inlineStr">
        <is>
          <t>34+560</t>
        </is>
      </c>
      <c r="L262" t="inlineStr">
        <is>
          <t>สถานีย่อย (C)</t>
        </is>
      </c>
      <c r="M262" t="n">
        <v>1</v>
      </c>
      <c r="N262" t="n">
        <v>14.027358</v>
      </c>
      <c r="O262" t="n">
        <v>100.33554</v>
      </c>
      <c r="P262" t="n">
        <v>13.75</v>
      </c>
      <c r="Q262" t="n">
        <v>5</v>
      </c>
      <c r="R262" t="n">
        <v>3</v>
      </c>
      <c r="S262" s="3" t="n">
        <v>31405</v>
      </c>
      <c r="T262" t="n">
        <v>1</v>
      </c>
      <c r="U262" t="n">
        <v>1</v>
      </c>
      <c r="V262" t="n">
        <v>3</v>
      </c>
      <c r="W262" t="n">
        <v>0.8</v>
      </c>
      <c r="X262" t="inlineStr">
        <is>
          <t>low</t>
        </is>
      </c>
      <c r="Y262" s="3">
        <f>Q262*1000000</f>
        <v/>
      </c>
      <c r="Z262" s="3">
        <f>365*R262*S262*T262</f>
        <v/>
      </c>
      <c r="AA262" s="4">
        <f>Y262/Z262</f>
        <v/>
      </c>
      <c r="AB262" s="4">
        <f>Q262*1000000/(365*R262*S262)</f>
        <v/>
      </c>
      <c r="AC262">
        <f>RANK(AA262,$AA$2:$AA$395,0)</f>
        <v/>
      </c>
    </row>
    <row r="263">
      <c r="A263" t="inlineStr">
        <is>
          <t>zone_435</t>
        </is>
      </c>
      <c r="B263" t="inlineStr">
        <is>
          <t>สนามกีฬาธูปะเตมีย์ - ต่างระดับคลองหลวง</t>
        </is>
      </c>
      <c r="C263" t="inlineStr">
        <is>
          <t>ปทุมธานี</t>
        </is>
      </c>
      <c r="D263" t="n">
        <v>1</v>
      </c>
      <c r="E263" t="inlineStr">
        <is>
          <t>0201</t>
        </is>
      </c>
      <c r="F263" t="inlineStr">
        <is>
          <t>30.4–30.5</t>
        </is>
      </c>
      <c r="G263" t="n">
        <v>13.975052</v>
      </c>
      <c r="H263" t="n">
        <v>100.617829</v>
      </c>
      <c r="I263" t="inlineStr">
        <is>
          <t>hods_aadt_pnt_2568.fid-6461857d_1a0f2643074_494d</t>
        </is>
      </c>
      <c r="J263" t="inlineStr">
        <is>
          <t>สนามกีฬาธูปะเตมีย์ - ต่างระดับคลองหลวง</t>
        </is>
      </c>
      <c r="K263" t="inlineStr">
        <is>
          <t>35+550</t>
        </is>
      </c>
      <c r="L263" t="inlineStr">
        <is>
          <t>สถานีย่อย (C)</t>
        </is>
      </c>
      <c r="M263" t="n">
        <v>1</v>
      </c>
      <c r="N263" t="n">
        <v>14.02062</v>
      </c>
      <c r="O263" t="n">
        <v>100.615591</v>
      </c>
      <c r="P263" t="n">
        <v>5.07</v>
      </c>
      <c r="Q263" t="n">
        <v>3</v>
      </c>
      <c r="R263" t="n">
        <v>3</v>
      </c>
      <c r="S263" s="3" t="n">
        <v>204800</v>
      </c>
      <c r="T263" t="n">
        <v>1</v>
      </c>
      <c r="U263" t="n">
        <v>2</v>
      </c>
      <c r="V263" t="n">
        <v>0</v>
      </c>
      <c r="W263" t="n">
        <v>0.6667</v>
      </c>
      <c r="X263" t="inlineStr">
        <is>
          <t>low</t>
        </is>
      </c>
      <c r="Y263" s="3">
        <f>Q263*1000000</f>
        <v/>
      </c>
      <c r="Z263" s="3">
        <f>365*R263*S263*T263</f>
        <v/>
      </c>
      <c r="AA263" s="4">
        <f>Y263/Z263</f>
        <v/>
      </c>
      <c r="AB263" s="4">
        <f>Q263*1000000/(365*R263*S263)</f>
        <v/>
      </c>
      <c r="AC263">
        <f>RANK(AA263,$AA$2:$AA$395,0)</f>
        <v/>
      </c>
    </row>
    <row r="264">
      <c r="A264" t="inlineStr">
        <is>
          <t>zone_437</t>
        </is>
      </c>
      <c r="B264" t="inlineStr">
        <is>
          <t>ลำลูกกา - คลอง16</t>
        </is>
      </c>
      <c r="C264" t="inlineStr">
        <is>
          <t>ปทุมธานี</t>
        </is>
      </c>
      <c r="D264" t="n">
        <v>3312</v>
      </c>
      <c r="E264" t="inlineStr">
        <is>
          <t>0200</t>
        </is>
      </c>
      <c r="F264" t="inlineStr">
        <is>
          <t>28.14–28.14</t>
        </is>
      </c>
      <c r="G264" t="n">
        <v>13.957677</v>
      </c>
      <c r="H264" t="n">
        <v>100.85991</v>
      </c>
      <c r="I264" t="inlineStr">
        <is>
          <t>hods_aadt_pnt_2568.fid-6461857d_1a0f2643074_523d</t>
        </is>
      </c>
      <c r="J264" t="inlineStr">
        <is>
          <t>ลำลูกกา - คลอง16</t>
        </is>
      </c>
      <c r="K264" t="inlineStr">
        <is>
          <t>14+300</t>
        </is>
      </c>
      <c r="L264" t="inlineStr">
        <is>
          <t>สถานีย่อย (C)</t>
        </is>
      </c>
      <c r="M264" t="n">
        <v>1</v>
      </c>
      <c r="N264" t="n">
        <v>13.934504</v>
      </c>
      <c r="O264" t="n">
        <v>100.735241</v>
      </c>
      <c r="P264" t="n">
        <v>13.7</v>
      </c>
      <c r="Q264" t="n">
        <v>8</v>
      </c>
      <c r="R264" t="n">
        <v>3</v>
      </c>
      <c r="S264" s="3" t="n">
        <v>52975</v>
      </c>
      <c r="T264" t="n">
        <v>1</v>
      </c>
      <c r="U264" t="n">
        <v>1</v>
      </c>
      <c r="V264" t="n">
        <v>11</v>
      </c>
      <c r="W264" t="n">
        <v>1.5</v>
      </c>
      <c r="X264" t="inlineStr">
        <is>
          <t>medium</t>
        </is>
      </c>
      <c r="Y264" s="3">
        <f>Q264*1000000</f>
        <v/>
      </c>
      <c r="Z264" s="3">
        <f>365*R264*S264*T264</f>
        <v/>
      </c>
      <c r="AA264" s="4">
        <f>Y264/Z264</f>
        <v/>
      </c>
      <c r="AB264" s="4">
        <f>Q264*1000000/(365*R264*S264)</f>
        <v/>
      </c>
      <c r="AC264">
        <f>RANK(AA264,$AA$2:$AA$395,0)</f>
        <v/>
      </c>
    </row>
    <row r="265">
      <c r="A265" t="inlineStr">
        <is>
          <t>zone_440</t>
        </is>
      </c>
      <c r="B265" t="inlineStr">
        <is>
          <t>วัดนาบุญ - คลอง14</t>
        </is>
      </c>
      <c r="C265" t="inlineStr">
        <is>
          <t>ปทุมธานี</t>
        </is>
      </c>
      <c r="D265" t="n">
        <v>305</v>
      </c>
      <c r="E265" t="inlineStr">
        <is>
          <t>0201</t>
        </is>
      </c>
      <c r="F265" t="inlineStr">
        <is>
          <t>15.4–15.8</t>
        </is>
      </c>
      <c r="G265" t="n">
        <v>14.030546</v>
      </c>
      <c r="H265" t="n">
        <v>100.759233</v>
      </c>
      <c r="I265" t="inlineStr">
        <is>
          <t>hods_aadt_pnt_2568.fid-6461857d_1a0f2643074_4c36</t>
        </is>
      </c>
      <c r="J265" t="inlineStr">
        <is>
          <t>วัดนาบุญ - คลอง14</t>
        </is>
      </c>
      <c r="K265" t="inlineStr">
        <is>
          <t>25+870</t>
        </is>
      </c>
      <c r="L265" t="inlineStr">
        <is>
          <t>สถานีย่อย (C)</t>
        </is>
      </c>
      <c r="M265" t="n">
        <v>1</v>
      </c>
      <c r="N265" t="n">
        <v>14.060564</v>
      </c>
      <c r="O265" t="n">
        <v>100.846414</v>
      </c>
      <c r="P265" t="n">
        <v>9.98</v>
      </c>
      <c r="Q265" t="n">
        <v>5</v>
      </c>
      <c r="R265" t="n">
        <v>3</v>
      </c>
      <c r="S265" s="3" t="n">
        <v>28156</v>
      </c>
      <c r="T265" t="n">
        <v>1</v>
      </c>
      <c r="U265" t="n">
        <v>0</v>
      </c>
      <c r="V265" t="n">
        <v>4</v>
      </c>
      <c r="W265" t="n">
        <v>0.8</v>
      </c>
      <c r="X265" t="inlineStr">
        <is>
          <t>low</t>
        </is>
      </c>
      <c r="Y265" s="3">
        <f>Q265*1000000</f>
        <v/>
      </c>
      <c r="Z265" s="3">
        <f>365*R265*S265*T265</f>
        <v/>
      </c>
      <c r="AA265" s="4">
        <f>Y265/Z265</f>
        <v/>
      </c>
      <c r="AB265" s="4">
        <f>Q265*1000000/(365*R265*S265)</f>
        <v/>
      </c>
      <c r="AC265">
        <f>RANK(AA265,$AA$2:$AA$395,0)</f>
        <v/>
      </c>
    </row>
    <row r="266">
      <c r="A266" t="inlineStr">
        <is>
          <t>zone_441</t>
        </is>
      </c>
      <c r="B266" t="inlineStr">
        <is>
          <t>บางบัวทอง - ลาดบัวหลวง</t>
        </is>
      </c>
      <c r="C266" t="inlineStr">
        <is>
          <t>ปทุมธานี</t>
        </is>
      </c>
      <c r="D266" t="n">
        <v>340</v>
      </c>
      <c r="E266" t="inlineStr">
        <is>
          <t>0100</t>
        </is>
      </c>
      <c r="F266" t="inlineStr">
        <is>
          <t>11.29–11.37</t>
        </is>
      </c>
      <c r="G266" t="n">
        <v>14.023364</v>
      </c>
      <c r="H266" t="n">
        <v>100.356699</v>
      </c>
      <c r="I266" t="inlineStr">
        <is>
          <t>hods_aadt_pnt_2568.fid-6461857d_1a0f2643074_4c99</t>
        </is>
      </c>
      <c r="J266" t="inlineStr">
        <is>
          <t>บางบัวทอง - ลาดบัวหลวง</t>
        </is>
      </c>
      <c r="K266" t="inlineStr">
        <is>
          <t>7+941</t>
        </is>
      </c>
      <c r="L266" t="inlineStr">
        <is>
          <t>สถานีย่อย (C)</t>
        </is>
      </c>
      <c r="M266" t="n">
        <v>1</v>
      </c>
      <c r="N266" t="n">
        <v>13.99766</v>
      </c>
      <c r="O266" t="n">
        <v>100.374957</v>
      </c>
      <c r="P266" t="n">
        <v>3.47</v>
      </c>
      <c r="Q266" t="n">
        <v>3</v>
      </c>
      <c r="R266" t="n">
        <v>3</v>
      </c>
      <c r="S266" s="3" t="n">
        <v>45289</v>
      </c>
      <c r="T266" t="n">
        <v>1</v>
      </c>
      <c r="U266" t="n">
        <v>2</v>
      </c>
      <c r="V266" t="n">
        <v>2</v>
      </c>
      <c r="W266" t="n">
        <v>1.3333</v>
      </c>
      <c r="X266" t="inlineStr">
        <is>
          <t>medium</t>
        </is>
      </c>
      <c r="Y266" s="3">
        <f>Q266*1000000</f>
        <v/>
      </c>
      <c r="Z266" s="3">
        <f>365*R266*S266*T266</f>
        <v/>
      </c>
      <c r="AA266" s="4">
        <f>Y266/Z266</f>
        <v/>
      </c>
      <c r="AB266" s="4">
        <f>Q266*1000000/(365*R266*S266)</f>
        <v/>
      </c>
      <c r="AC266">
        <f>RANK(AA266,$AA$2:$AA$395,0)</f>
        <v/>
      </c>
    </row>
    <row r="267">
      <c r="A267" t="inlineStr">
        <is>
          <t>zone_442</t>
        </is>
      </c>
      <c r="B267" t="inlineStr">
        <is>
          <t>ลำลูกกา - คลอง16</t>
        </is>
      </c>
      <c r="C267" t="inlineStr">
        <is>
          <t>ปทุมธานี</t>
        </is>
      </c>
      <c r="D267" t="n">
        <v>3312</v>
      </c>
      <c r="E267" t="inlineStr">
        <is>
          <t>0200</t>
        </is>
      </c>
      <c r="F267" t="inlineStr">
        <is>
          <t>17.7–17.95</t>
        </is>
      </c>
      <c r="G267" t="n">
        <v>13.940922</v>
      </c>
      <c r="H267" t="n">
        <v>100.766551</v>
      </c>
      <c r="I267" t="inlineStr">
        <is>
          <t>hods_aadt_pnt_2568.fid-6461857d_1a0f2643074_523d</t>
        </is>
      </c>
      <c r="J267" t="inlineStr">
        <is>
          <t>ลำลูกกา - คลอง16</t>
        </is>
      </c>
      <c r="K267" t="inlineStr">
        <is>
          <t>14+300</t>
        </is>
      </c>
      <c r="L267" t="inlineStr">
        <is>
          <t>สถานีย่อย (C)</t>
        </is>
      </c>
      <c r="M267" t="n">
        <v>1</v>
      </c>
      <c r="N267" t="n">
        <v>13.934504</v>
      </c>
      <c r="O267" t="n">
        <v>100.735241</v>
      </c>
      <c r="P267" t="n">
        <v>3.45</v>
      </c>
      <c r="Q267" t="n">
        <v>4</v>
      </c>
      <c r="R267" t="n">
        <v>3</v>
      </c>
      <c r="S267" s="3" t="n">
        <v>52975</v>
      </c>
      <c r="T267" t="n">
        <v>1</v>
      </c>
      <c r="U267" t="n">
        <v>1</v>
      </c>
      <c r="V267" t="n">
        <v>3</v>
      </c>
      <c r="W267" t="n">
        <v>1</v>
      </c>
      <c r="X267" t="inlineStr">
        <is>
          <t>medium</t>
        </is>
      </c>
      <c r="Y267" s="3">
        <f>Q267*1000000</f>
        <v/>
      </c>
      <c r="Z267" s="3">
        <f>365*R267*S267*T267</f>
        <v/>
      </c>
      <c r="AA267" s="4">
        <f>Y267/Z267</f>
        <v/>
      </c>
      <c r="AB267" s="4">
        <f>Q267*1000000/(365*R267*S267)</f>
        <v/>
      </c>
      <c r="AC267">
        <f>RANK(AA267,$AA$2:$AA$395,0)</f>
        <v/>
      </c>
    </row>
    <row r="268">
      <c r="A268" t="inlineStr">
        <is>
          <t>zone_445</t>
        </is>
      </c>
      <c r="B268" t="inlineStr">
        <is>
          <t>สนามกีฬาธูปะเตมีย์ - ต่างระดับคลองหลวง</t>
        </is>
      </c>
      <c r="C268" t="inlineStr">
        <is>
          <t>ปทุมธานี</t>
        </is>
      </c>
      <c r="D268" t="n">
        <v>1</v>
      </c>
      <c r="E268" t="inlineStr">
        <is>
          <t>0201</t>
        </is>
      </c>
      <c r="F268" t="inlineStr">
        <is>
          <t>31.06–31.224</t>
        </is>
      </c>
      <c r="G268" t="n">
        <v>13.981523</v>
      </c>
      <c r="H268" t="n">
        <v>100.616735</v>
      </c>
      <c r="I268" t="inlineStr">
        <is>
          <t>hods_aadt_pnt_2568.fid-6461857d_1a0f2643074_494d</t>
        </is>
      </c>
      <c r="J268" t="inlineStr">
        <is>
          <t>สนามกีฬาธูปะเตมีย์ - ต่างระดับคลองหลวง</t>
        </is>
      </c>
      <c r="K268" t="inlineStr">
        <is>
          <t>35+550</t>
        </is>
      </c>
      <c r="L268" t="inlineStr">
        <is>
          <t>สถานีย่อย (C)</t>
        </is>
      </c>
      <c r="M268" t="n">
        <v>1</v>
      </c>
      <c r="N268" t="n">
        <v>14.02062</v>
      </c>
      <c r="O268" t="n">
        <v>100.615591</v>
      </c>
      <c r="P268" t="n">
        <v>4.35</v>
      </c>
      <c r="Q268" t="n">
        <v>3</v>
      </c>
      <c r="R268" t="n">
        <v>3</v>
      </c>
      <c r="S268" s="3" t="n">
        <v>204800</v>
      </c>
      <c r="T268" t="n">
        <v>1</v>
      </c>
      <c r="U268" t="n">
        <v>0</v>
      </c>
      <c r="V268" t="n">
        <v>0</v>
      </c>
      <c r="W268" t="n">
        <v>0</v>
      </c>
      <c r="X268" t="inlineStr">
        <is>
          <t>low</t>
        </is>
      </c>
      <c r="Y268" s="3">
        <f>Q268*1000000</f>
        <v/>
      </c>
      <c r="Z268" s="3">
        <f>365*R268*S268*T268</f>
        <v/>
      </c>
      <c r="AA268" s="4">
        <f>Y268/Z268</f>
        <v/>
      </c>
      <c r="AB268" s="4">
        <f>Q268*1000000/(365*R268*S268)</f>
        <v/>
      </c>
      <c r="AC268">
        <f>RANK(AA268,$AA$2:$AA$395,0)</f>
        <v/>
      </c>
    </row>
    <row r="269">
      <c r="A269" t="inlineStr">
        <is>
          <t>zone_446</t>
        </is>
      </c>
      <c r="B269" t="inlineStr">
        <is>
          <t>วัดนาบุญ - คลอง14</t>
        </is>
      </c>
      <c r="C269" t="inlineStr">
        <is>
          <t>ปทุมธานี</t>
        </is>
      </c>
      <c r="D269" t="n">
        <v>305</v>
      </c>
      <c r="E269" t="inlineStr">
        <is>
          <t>0201</t>
        </is>
      </c>
      <c r="F269" t="inlineStr">
        <is>
          <t>29–29.2</t>
        </is>
      </c>
      <c r="G269" t="n">
        <v>14.070032</v>
      </c>
      <c r="H269" t="n">
        <v>100.873528</v>
      </c>
      <c r="I269" t="inlineStr">
        <is>
          <t>hods_aadt_pnt_2568.fid-6461857d_1a0f2643074_4c36</t>
        </is>
      </c>
      <c r="J269" t="inlineStr">
        <is>
          <t>วัดนาบุญ - คลอง14</t>
        </is>
      </c>
      <c r="K269" t="inlineStr">
        <is>
          <t>25+870</t>
        </is>
      </c>
      <c r="L269" t="inlineStr">
        <is>
          <t>สถานีย่อย (C)</t>
        </is>
      </c>
      <c r="M269" t="n">
        <v>1</v>
      </c>
      <c r="N269" t="n">
        <v>14.060564</v>
      </c>
      <c r="O269" t="n">
        <v>100.846414</v>
      </c>
      <c r="P269" t="n">
        <v>3.11</v>
      </c>
      <c r="Q269" t="n">
        <v>3</v>
      </c>
      <c r="R269" t="n">
        <v>3</v>
      </c>
      <c r="S269" s="3" t="n">
        <v>28156</v>
      </c>
      <c r="T269" t="n">
        <v>1</v>
      </c>
      <c r="U269" t="n">
        <v>2</v>
      </c>
      <c r="V269" t="n">
        <v>1</v>
      </c>
      <c r="W269" t="n">
        <v>1</v>
      </c>
      <c r="X269" t="inlineStr">
        <is>
          <t>medium</t>
        </is>
      </c>
      <c r="Y269" s="3">
        <f>Q269*1000000</f>
        <v/>
      </c>
      <c r="Z269" s="3">
        <f>365*R269*S269*T269</f>
        <v/>
      </c>
      <c r="AA269" s="4">
        <f>Y269/Z269</f>
        <v/>
      </c>
      <c r="AB269" s="4">
        <f>Q269*1000000/(365*R269*S269)</f>
        <v/>
      </c>
      <c r="AC269">
        <f>RANK(AA269,$AA$2:$AA$395,0)</f>
        <v/>
      </c>
    </row>
    <row r="270">
      <c r="A270" t="inlineStr">
        <is>
          <t>zone_449</t>
        </is>
      </c>
      <c r="B270" t="inlineStr">
        <is>
          <t>ทางเข้าท่าอากาศยานสุวรรณภูมิ - บางวัว</t>
        </is>
      </c>
      <c r="C270" t="inlineStr">
        <is>
          <t>สมุทรปราการ</t>
        </is>
      </c>
      <c r="D270" t="n">
        <v>34</v>
      </c>
      <c r="E270" t="inlineStr">
        <is>
          <t>0102</t>
        </is>
      </c>
      <c r="F270" t="inlineStr">
        <is>
          <t>15–15.3</t>
        </is>
      </c>
      <c r="G270" t="n">
        <v>13.621347</v>
      </c>
      <c r="H270" t="n">
        <v>100.73632</v>
      </c>
      <c r="I270" t="inlineStr">
        <is>
          <t>hods_aadt_pnt_2568.fid-6461857d_1a0f2643074_4a94</t>
        </is>
      </c>
      <c r="J270" t="inlineStr">
        <is>
          <t>ทางเข้าท่าอากาศยานสุวรรณภูมิ - บางวัว</t>
        </is>
      </c>
      <c r="K270" t="inlineStr">
        <is>
          <t>15+100</t>
        </is>
      </c>
      <c r="L270" t="inlineStr">
        <is>
          <t>สถานีย่อย (C)</t>
        </is>
      </c>
      <c r="M270" t="n">
        <v>1</v>
      </c>
      <c r="N270" t="n">
        <v>13.621503</v>
      </c>
      <c r="O270" t="n">
        <v>100.736011</v>
      </c>
      <c r="P270" t="n">
        <v>0.04</v>
      </c>
      <c r="Q270" t="n">
        <v>5</v>
      </c>
      <c r="R270" t="n">
        <v>3</v>
      </c>
      <c r="S270" s="3" t="n">
        <v>250222</v>
      </c>
      <c r="T270" t="n">
        <v>1</v>
      </c>
      <c r="U270" t="n">
        <v>0</v>
      </c>
      <c r="V270" t="n">
        <v>2</v>
      </c>
      <c r="W270" t="n">
        <v>0.4</v>
      </c>
      <c r="X270" t="inlineStr">
        <is>
          <t>low</t>
        </is>
      </c>
      <c r="Y270" s="3">
        <f>Q270*1000000</f>
        <v/>
      </c>
      <c r="Z270" s="3">
        <f>365*R270*S270*T270</f>
        <v/>
      </c>
      <c r="AA270" s="4">
        <f>Y270/Z270</f>
        <v/>
      </c>
      <c r="AB270" s="4">
        <f>Q270*1000000/(365*R270*S270)</f>
        <v/>
      </c>
      <c r="AC270">
        <f>RANK(AA270,$AA$2:$AA$395,0)</f>
        <v/>
      </c>
    </row>
    <row r="271">
      <c r="A271" t="inlineStr">
        <is>
          <t>zone_450</t>
        </is>
      </c>
      <c r="B271" t="inlineStr">
        <is>
          <t>แขวงคลองสองต้นนุ่น - พิมพา</t>
        </is>
      </c>
      <c r="C271" t="inlineStr">
        <is>
          <t>สมุทรปราการ</t>
        </is>
      </c>
      <c r="D271" t="n">
        <v>7</v>
      </c>
      <c r="E271" t="inlineStr">
        <is>
          <t>0103</t>
        </is>
      </c>
      <c r="F271" t="inlineStr">
        <is>
          <t>32.1–34.2</t>
        </is>
      </c>
      <c r="G271" t="n">
        <v>13.635995</v>
      </c>
      <c r="H271" t="n">
        <v>100.896886</v>
      </c>
      <c r="I271" t="inlineStr">
        <is>
          <t>hods_aadt_pnt_2568.fid-6461857d_1a0f2643074_49ef</t>
        </is>
      </c>
      <c r="J271" t="inlineStr">
        <is>
          <t>แขวงคลองสองต้นนุ่น - พิมพา</t>
        </is>
      </c>
      <c r="K271" t="inlineStr">
        <is>
          <t>17+000</t>
        </is>
      </c>
      <c r="L271" t="inlineStr">
        <is>
          <t>สถานีย่อย (C)</t>
        </is>
      </c>
      <c r="M271" t="n">
        <v>2</v>
      </c>
      <c r="N271" t="n">
        <v>13.7334</v>
      </c>
      <c r="O271" t="n">
        <v>100.795133</v>
      </c>
      <c r="P271" t="n">
        <v>15.43</v>
      </c>
      <c r="Q271" t="n">
        <v>32</v>
      </c>
      <c r="R271" t="n">
        <v>3</v>
      </c>
      <c r="S271" s="3" t="n">
        <v>262343</v>
      </c>
      <c r="T271" t="n">
        <v>1</v>
      </c>
      <c r="U271" t="n">
        <v>0</v>
      </c>
      <c r="V271" t="n">
        <v>12</v>
      </c>
      <c r="W271" t="n">
        <v>0.375</v>
      </c>
      <c r="X271" t="inlineStr">
        <is>
          <t>low</t>
        </is>
      </c>
      <c r="Y271" s="3">
        <f>Q271*1000000</f>
        <v/>
      </c>
      <c r="Z271" s="3">
        <f>365*R271*S271*T271</f>
        <v/>
      </c>
      <c r="AA271" s="4">
        <f>Y271/Z271</f>
        <v/>
      </c>
      <c r="AB271" s="4">
        <f>Q271*1000000/(365*R271*S271)</f>
        <v/>
      </c>
      <c r="AC271">
        <f>RANK(AA271,$AA$2:$AA$395,0)</f>
        <v/>
      </c>
    </row>
    <row r="272">
      <c r="A272" t="inlineStr">
        <is>
          <t>zone_451</t>
        </is>
      </c>
      <c r="B272" t="inlineStr">
        <is>
          <t>แขวงคลองสองต้นนุ่น - พิมพา</t>
        </is>
      </c>
      <c r="C272" t="inlineStr">
        <is>
          <t>สมุทรปราการ</t>
        </is>
      </c>
      <c r="D272" t="n">
        <v>7</v>
      </c>
      <c r="E272" t="inlineStr">
        <is>
          <t>0103</t>
        </is>
      </c>
      <c r="F272" t="inlineStr">
        <is>
          <t>34.5–35.3</t>
        </is>
      </c>
      <c r="G272" t="n">
        <v>13.628492</v>
      </c>
      <c r="H272" t="n">
        <v>100.908284</v>
      </c>
      <c r="I272" t="inlineStr">
        <is>
          <t>hods_aadt_pnt_2568.fid-6461857d_1a0f2643074_49ef</t>
        </is>
      </c>
      <c r="J272" t="inlineStr">
        <is>
          <t>แขวงคลองสองต้นนุ่น - พิมพา</t>
        </is>
      </c>
      <c r="K272" t="inlineStr">
        <is>
          <t>17+000</t>
        </is>
      </c>
      <c r="L272" t="inlineStr">
        <is>
          <t>สถานีย่อย (C)</t>
        </is>
      </c>
      <c r="M272" t="n">
        <v>2</v>
      </c>
      <c r="N272" t="n">
        <v>13.7334</v>
      </c>
      <c r="O272" t="n">
        <v>100.795133</v>
      </c>
      <c r="P272" t="n">
        <v>16.9</v>
      </c>
      <c r="Q272" t="n">
        <v>19</v>
      </c>
      <c r="R272" t="n">
        <v>3</v>
      </c>
      <c r="S272" s="3" t="n">
        <v>262343</v>
      </c>
      <c r="T272" t="n">
        <v>1</v>
      </c>
      <c r="U272" t="n">
        <v>0</v>
      </c>
      <c r="V272" t="n">
        <v>5</v>
      </c>
      <c r="W272" t="n">
        <v>0.2632</v>
      </c>
      <c r="X272" t="inlineStr">
        <is>
          <t>low</t>
        </is>
      </c>
      <c r="Y272" s="3">
        <f>Q272*1000000</f>
        <v/>
      </c>
      <c r="Z272" s="3">
        <f>365*R272*S272*T272</f>
        <v/>
      </c>
      <c r="AA272" s="4">
        <f>Y272/Z272</f>
        <v/>
      </c>
      <c r="AB272" s="4">
        <f>Q272*1000000/(365*R272*S272)</f>
        <v/>
      </c>
      <c r="AC272">
        <f>RANK(AA272,$AA$2:$AA$395,0)</f>
        <v/>
      </c>
    </row>
    <row r="273">
      <c r="A273" t="inlineStr">
        <is>
          <t>zone_452</t>
        </is>
      </c>
      <c r="B273" t="inlineStr">
        <is>
          <t>แขวงคลองสองต้นนุ่น - พิมพา</t>
        </is>
      </c>
      <c r="C273" t="inlineStr">
        <is>
          <t>สมุทรปราการ</t>
        </is>
      </c>
      <c r="D273" t="n">
        <v>7</v>
      </c>
      <c r="E273" t="inlineStr">
        <is>
          <t>0103</t>
        </is>
      </c>
      <c r="F273" t="inlineStr">
        <is>
          <t>31.6–32</t>
        </is>
      </c>
      <c r="G273" t="n">
        <v>13.643234</v>
      </c>
      <c r="H273" t="n">
        <v>100.885316</v>
      </c>
      <c r="I273" t="inlineStr">
        <is>
          <t>hods_aadt_pnt_2568.fid-6461857d_1a0f2643074_49ef</t>
        </is>
      </c>
      <c r="J273" t="inlineStr">
        <is>
          <t>แขวงคลองสองต้นนุ่น - พิมพา</t>
        </is>
      </c>
      <c r="K273" t="inlineStr">
        <is>
          <t>17+000</t>
        </is>
      </c>
      <c r="L273" t="inlineStr">
        <is>
          <t>สถานีย่อย (C)</t>
        </is>
      </c>
      <c r="M273" t="n">
        <v>2</v>
      </c>
      <c r="N273" t="n">
        <v>13.7334</v>
      </c>
      <c r="O273" t="n">
        <v>100.795133</v>
      </c>
      <c r="P273" t="n">
        <v>13.98</v>
      </c>
      <c r="Q273" t="n">
        <v>10</v>
      </c>
      <c r="R273" t="n">
        <v>3</v>
      </c>
      <c r="S273" s="3" t="n">
        <v>262343</v>
      </c>
      <c r="T273" t="n">
        <v>1</v>
      </c>
      <c r="U273" t="n">
        <v>0</v>
      </c>
      <c r="V273" t="n">
        <v>1</v>
      </c>
      <c r="W273" t="n">
        <v>0.1</v>
      </c>
      <c r="X273" t="inlineStr">
        <is>
          <t>low</t>
        </is>
      </c>
      <c r="Y273" s="3">
        <f>Q273*1000000</f>
        <v/>
      </c>
      <c r="Z273" s="3">
        <f>365*R273*S273*T273</f>
        <v/>
      </c>
      <c r="AA273" s="4">
        <f>Y273/Z273</f>
        <v/>
      </c>
      <c r="AB273" s="4">
        <f>Q273*1000000/(365*R273*S273)</f>
        <v/>
      </c>
      <c r="AC273">
        <f>RANK(AA273,$AA$2:$AA$395,0)</f>
        <v/>
      </c>
    </row>
    <row r="274">
      <c r="A274" t="inlineStr">
        <is>
          <t>zone_453</t>
        </is>
      </c>
      <c r="B274" t="inlineStr">
        <is>
          <t>แขวงคลองสองต้นนุ่น - พิมพา</t>
        </is>
      </c>
      <c r="C274" t="inlineStr">
        <is>
          <t>สมุทรปราการ</t>
        </is>
      </c>
      <c r="D274" t="n">
        <v>7</v>
      </c>
      <c r="E274" t="inlineStr">
        <is>
          <t>0103</t>
        </is>
      </c>
      <c r="F274" t="inlineStr">
        <is>
          <t>31.9–32.2</t>
        </is>
      </c>
      <c r="G274" t="n">
        <v>13.642711</v>
      </c>
      <c r="H274" t="n">
        <v>100.886132</v>
      </c>
      <c r="I274" t="inlineStr">
        <is>
          <t>hods_aadt_pnt_2568.fid-6461857d_1a0f2643074_49ef</t>
        </is>
      </c>
      <c r="J274" t="inlineStr">
        <is>
          <t>แขวงคลองสองต้นนุ่น - พิมพา</t>
        </is>
      </c>
      <c r="K274" t="inlineStr">
        <is>
          <t>17+000</t>
        </is>
      </c>
      <c r="L274" t="inlineStr">
        <is>
          <t>สถานีย่อย (C)</t>
        </is>
      </c>
      <c r="M274" t="n">
        <v>2</v>
      </c>
      <c r="N274" t="n">
        <v>13.7334</v>
      </c>
      <c r="O274" t="n">
        <v>100.795133</v>
      </c>
      <c r="P274" t="n">
        <v>14.08</v>
      </c>
      <c r="Q274" t="n">
        <v>4</v>
      </c>
      <c r="R274" t="n">
        <v>3</v>
      </c>
      <c r="S274" s="3" t="n">
        <v>262343</v>
      </c>
      <c r="T274" t="n">
        <v>1</v>
      </c>
      <c r="U274" t="n">
        <v>0</v>
      </c>
      <c r="V274" t="n">
        <v>0</v>
      </c>
      <c r="W274" t="n">
        <v>0</v>
      </c>
      <c r="X274" t="inlineStr">
        <is>
          <t>low</t>
        </is>
      </c>
      <c r="Y274" s="3">
        <f>Q274*1000000</f>
        <v/>
      </c>
      <c r="Z274" s="3">
        <f>365*R274*S274*T274</f>
        <v/>
      </c>
      <c r="AA274" s="4">
        <f>Y274/Z274</f>
        <v/>
      </c>
      <c r="AB274" s="4">
        <f>Q274*1000000/(365*R274*S274)</f>
        <v/>
      </c>
      <c r="AC274">
        <f>RANK(AA274,$AA$2:$AA$395,0)</f>
        <v/>
      </c>
    </row>
    <row r="275">
      <c r="A275" t="inlineStr">
        <is>
          <t>zone_454</t>
        </is>
      </c>
      <c r="B275" t="inlineStr">
        <is>
          <t>แขวงคลองสองต้นนุ่น - พิมพา</t>
        </is>
      </c>
      <c r="C275" t="inlineStr">
        <is>
          <t>สมุทรปราการ</t>
        </is>
      </c>
      <c r="D275" t="n">
        <v>7</v>
      </c>
      <c r="E275" t="inlineStr">
        <is>
          <t>0103</t>
        </is>
      </c>
      <c r="F275" t="inlineStr">
        <is>
          <t>33.3–33.4</t>
        </is>
      </c>
      <c r="G275" t="n">
        <v>13.635852</v>
      </c>
      <c r="H275" t="n">
        <v>100.896816</v>
      </c>
      <c r="I275" t="inlineStr">
        <is>
          <t>hods_aadt_pnt_2568.fid-6461857d_1a0f2643074_49ef</t>
        </is>
      </c>
      <c r="J275" t="inlineStr">
        <is>
          <t>แขวงคลองสองต้นนุ่น - พิมพา</t>
        </is>
      </c>
      <c r="K275" t="inlineStr">
        <is>
          <t>17+000</t>
        </is>
      </c>
      <c r="L275" t="inlineStr">
        <is>
          <t>สถานีย่อย (C)</t>
        </is>
      </c>
      <c r="M275" t="n">
        <v>2</v>
      </c>
      <c r="N275" t="n">
        <v>13.7334</v>
      </c>
      <c r="O275" t="n">
        <v>100.795133</v>
      </c>
      <c r="P275" t="n">
        <v>15.44</v>
      </c>
      <c r="Q275" t="n">
        <v>5</v>
      </c>
      <c r="R275" t="n">
        <v>3</v>
      </c>
      <c r="S275" s="3" t="n">
        <v>262343</v>
      </c>
      <c r="T275" t="n">
        <v>1</v>
      </c>
      <c r="U275" t="n">
        <v>0</v>
      </c>
      <c r="V275" t="n">
        <v>8</v>
      </c>
      <c r="W275" t="n">
        <v>1.6</v>
      </c>
      <c r="X275" t="inlineStr">
        <is>
          <t>medium</t>
        </is>
      </c>
      <c r="Y275" s="3">
        <f>Q275*1000000</f>
        <v/>
      </c>
      <c r="Z275" s="3">
        <f>365*R275*S275*T275</f>
        <v/>
      </c>
      <c r="AA275" s="4">
        <f>Y275/Z275</f>
        <v/>
      </c>
      <c r="AB275" s="4">
        <f>Q275*1000000/(365*R275*S275)</f>
        <v/>
      </c>
      <c r="AC275">
        <f>RANK(AA275,$AA$2:$AA$395,0)</f>
        <v/>
      </c>
    </row>
    <row r="276">
      <c r="A276" t="inlineStr">
        <is>
          <t>zone_455</t>
        </is>
      </c>
      <c r="B276" t="inlineStr">
        <is>
          <t>แขวงคลองสองต้นนุ่น - พิมพา</t>
        </is>
      </c>
      <c r="C276" t="inlineStr">
        <is>
          <t>สมุทรปราการ</t>
        </is>
      </c>
      <c r="D276" t="n">
        <v>7</v>
      </c>
      <c r="E276" t="inlineStr">
        <is>
          <t>0103</t>
        </is>
      </c>
      <c r="F276" t="inlineStr">
        <is>
          <t>32.5–32.6</t>
        </is>
      </c>
      <c r="G276" t="n">
        <v>13.639789</v>
      </c>
      <c r="H276" t="n">
        <v>100.890634</v>
      </c>
      <c r="I276" t="inlineStr">
        <is>
          <t>hods_aadt_pnt_2568.fid-6461857d_1a0f2643074_49ef</t>
        </is>
      </c>
      <c r="J276" t="inlineStr">
        <is>
          <t>แขวงคลองสองต้นนุ่น - พิมพา</t>
        </is>
      </c>
      <c r="K276" t="inlineStr">
        <is>
          <t>17+000</t>
        </is>
      </c>
      <c r="L276" t="inlineStr">
        <is>
          <t>สถานีย่อย (C)</t>
        </is>
      </c>
      <c r="M276" t="n">
        <v>2</v>
      </c>
      <c r="N276" t="n">
        <v>13.7334</v>
      </c>
      <c r="O276" t="n">
        <v>100.795133</v>
      </c>
      <c r="P276" t="n">
        <v>14.66</v>
      </c>
      <c r="Q276" t="n">
        <v>4</v>
      </c>
      <c r="R276" t="n">
        <v>3</v>
      </c>
      <c r="S276" s="3" t="n">
        <v>262343</v>
      </c>
      <c r="T276" t="n">
        <v>1</v>
      </c>
      <c r="U276" t="n">
        <v>0</v>
      </c>
      <c r="V276" t="n">
        <v>3</v>
      </c>
      <c r="W276" t="n">
        <v>0.75</v>
      </c>
      <c r="X276" t="inlineStr">
        <is>
          <t>low</t>
        </is>
      </c>
      <c r="Y276" s="3">
        <f>Q276*1000000</f>
        <v/>
      </c>
      <c r="Z276" s="3">
        <f>365*R276*S276*T276</f>
        <v/>
      </c>
      <c r="AA276" s="4">
        <f>Y276/Z276</f>
        <v/>
      </c>
      <c r="AB276" s="4">
        <f>Q276*1000000/(365*R276*S276)</f>
        <v/>
      </c>
      <c r="AC276">
        <f>RANK(AA276,$AA$2:$AA$395,0)</f>
        <v/>
      </c>
    </row>
    <row r="277">
      <c r="A277" t="inlineStr">
        <is>
          <t>zone_456</t>
        </is>
      </c>
      <c r="B277" t="inlineStr">
        <is>
          <t>แขวงคลองสองต้นนุ่น - พิมพา</t>
        </is>
      </c>
      <c r="C277" t="inlineStr">
        <is>
          <t>สมุทรปราการ</t>
        </is>
      </c>
      <c r="D277" t="n">
        <v>7</v>
      </c>
      <c r="E277" t="inlineStr">
        <is>
          <t>0103</t>
        </is>
      </c>
      <c r="F277" t="inlineStr">
        <is>
          <t>34.7–34.9</t>
        </is>
      </c>
      <c r="G277" t="n">
        <v>13.629187</v>
      </c>
      <c r="H277" t="n">
        <v>100.907647</v>
      </c>
      <c r="I277" t="inlineStr">
        <is>
          <t>hods_aadt_pnt_2568.fid-6461857d_1a0f2643074_49ef</t>
        </is>
      </c>
      <c r="J277" t="inlineStr">
        <is>
          <t>แขวงคลองสองต้นนุ่น - พิมพา</t>
        </is>
      </c>
      <c r="K277" t="inlineStr">
        <is>
          <t>17+000</t>
        </is>
      </c>
      <c r="L277" t="inlineStr">
        <is>
          <t>สถานีย่อย (C)</t>
        </is>
      </c>
      <c r="M277" t="n">
        <v>2</v>
      </c>
      <c r="N277" t="n">
        <v>13.7334</v>
      </c>
      <c r="O277" t="n">
        <v>100.795133</v>
      </c>
      <c r="P277" t="n">
        <v>16.79</v>
      </c>
      <c r="Q277" t="n">
        <v>3</v>
      </c>
      <c r="R277" t="n">
        <v>3</v>
      </c>
      <c r="S277" s="3" t="n">
        <v>262343</v>
      </c>
      <c r="T277" t="n">
        <v>1</v>
      </c>
      <c r="U277" t="n">
        <v>0</v>
      </c>
      <c r="V277" t="n">
        <v>3</v>
      </c>
      <c r="W277" t="n">
        <v>1</v>
      </c>
      <c r="X277" t="inlineStr">
        <is>
          <t>medium</t>
        </is>
      </c>
      <c r="Y277" s="3">
        <f>Q277*1000000</f>
        <v/>
      </c>
      <c r="Z277" s="3">
        <f>365*R277*S277*T277</f>
        <v/>
      </c>
      <c r="AA277" s="4">
        <f>Y277/Z277</f>
        <v/>
      </c>
      <c r="AB277" s="4">
        <f>Q277*1000000/(365*R277*S277)</f>
        <v/>
      </c>
      <c r="AC277">
        <f>RANK(AA277,$AA$2:$AA$395,0)</f>
        <v/>
      </c>
    </row>
    <row r="278">
      <c r="A278" t="inlineStr">
        <is>
          <t>zone_457</t>
        </is>
      </c>
      <c r="B278" t="inlineStr">
        <is>
          <t>แขวงคลองสองต้นนุ่น - พิมพา</t>
        </is>
      </c>
      <c r="C278" t="inlineStr">
        <is>
          <t>สมุทรปราการ</t>
        </is>
      </c>
      <c r="D278" t="n">
        <v>7</v>
      </c>
      <c r="E278" t="inlineStr">
        <is>
          <t>0103</t>
        </is>
      </c>
      <c r="F278" t="inlineStr">
        <is>
          <t>34–34.4</t>
        </is>
      </c>
      <c r="G278" t="n">
        <v>13.631922</v>
      </c>
      <c r="H278" t="n">
        <v>100.902934</v>
      </c>
      <c r="I278" t="inlineStr">
        <is>
          <t>hods_aadt_pnt_2568.fid-6461857d_1a0f2643074_49ef</t>
        </is>
      </c>
      <c r="J278" t="inlineStr">
        <is>
          <t>แขวงคลองสองต้นนุ่น - พิมพา</t>
        </is>
      </c>
      <c r="K278" t="inlineStr">
        <is>
          <t>17+000</t>
        </is>
      </c>
      <c r="L278" t="inlineStr">
        <is>
          <t>สถานีย่อย (C)</t>
        </is>
      </c>
      <c r="M278" t="n">
        <v>2</v>
      </c>
      <c r="N278" t="n">
        <v>13.7334</v>
      </c>
      <c r="O278" t="n">
        <v>100.795133</v>
      </c>
      <c r="P278" t="n">
        <v>16.22</v>
      </c>
      <c r="Q278" t="n">
        <v>7</v>
      </c>
      <c r="R278" t="n">
        <v>3</v>
      </c>
      <c r="S278" s="3" t="n">
        <v>262343</v>
      </c>
      <c r="T278" t="n">
        <v>1</v>
      </c>
      <c r="U278" t="n">
        <v>0</v>
      </c>
      <c r="V278" t="n">
        <v>2</v>
      </c>
      <c r="W278" t="n">
        <v>0.2857</v>
      </c>
      <c r="X278" t="inlineStr">
        <is>
          <t>low</t>
        </is>
      </c>
      <c r="Y278" s="3">
        <f>Q278*1000000</f>
        <v/>
      </c>
      <c r="Z278" s="3">
        <f>365*R278*S278*T278</f>
        <v/>
      </c>
      <c r="AA278" s="4">
        <f>Y278/Z278</f>
        <v/>
      </c>
      <c r="AB278" s="4">
        <f>Q278*1000000/(365*R278*S278)</f>
        <v/>
      </c>
      <c r="AC278">
        <f>RANK(AA278,$AA$2:$AA$395,0)</f>
        <v/>
      </c>
    </row>
    <row r="279">
      <c r="A279" t="inlineStr">
        <is>
          <t>zone_459</t>
        </is>
      </c>
      <c r="B279" t="inlineStr">
        <is>
          <t>แขวงคลองสองต้นนุ่น - พิมพา</t>
        </is>
      </c>
      <c r="C279" t="inlineStr">
        <is>
          <t>สมุทรปราการ</t>
        </is>
      </c>
      <c r="D279" t="n">
        <v>7</v>
      </c>
      <c r="E279" t="inlineStr">
        <is>
          <t>0103</t>
        </is>
      </c>
      <c r="F279" t="inlineStr">
        <is>
          <t>24.4–25.1</t>
        </is>
      </c>
      <c r="G279" t="n">
        <v>13.682154</v>
      </c>
      <c r="H279" t="n">
        <v>100.833981</v>
      </c>
      <c r="I279" t="inlineStr">
        <is>
          <t>hods_aadt_pnt_2568.fid-6461857d_1a0f2643074_49ef</t>
        </is>
      </c>
      <c r="J279" t="inlineStr">
        <is>
          <t>แขวงคลองสองต้นนุ่น - พิมพา</t>
        </is>
      </c>
      <c r="K279" t="inlineStr">
        <is>
          <t>17+000</t>
        </is>
      </c>
      <c r="L279" t="inlineStr">
        <is>
          <t>สถานีย่อย (C)</t>
        </is>
      </c>
      <c r="M279" t="n">
        <v>2</v>
      </c>
      <c r="N279" t="n">
        <v>13.7334</v>
      </c>
      <c r="O279" t="n">
        <v>100.795133</v>
      </c>
      <c r="P279" t="n">
        <v>7.08</v>
      </c>
      <c r="Q279" t="n">
        <v>15</v>
      </c>
      <c r="R279" t="n">
        <v>3</v>
      </c>
      <c r="S279" s="3" t="n">
        <v>262343</v>
      </c>
      <c r="T279" t="n">
        <v>1</v>
      </c>
      <c r="U279" t="n">
        <v>0</v>
      </c>
      <c r="V279" t="n">
        <v>1</v>
      </c>
      <c r="W279" t="n">
        <v>0.0667</v>
      </c>
      <c r="X279" t="inlineStr">
        <is>
          <t>low</t>
        </is>
      </c>
      <c r="Y279" s="3">
        <f>Q279*1000000</f>
        <v/>
      </c>
      <c r="Z279" s="3">
        <f>365*R279*S279*T279</f>
        <v/>
      </c>
      <c r="AA279" s="4">
        <f>Y279/Z279</f>
        <v/>
      </c>
      <c r="AB279" s="4">
        <f>Q279*1000000/(365*R279*S279)</f>
        <v/>
      </c>
      <c r="AC279">
        <f>RANK(AA279,$AA$2:$AA$395,0)</f>
        <v/>
      </c>
    </row>
    <row r="280">
      <c r="A280" t="inlineStr">
        <is>
          <t>zone_460</t>
        </is>
      </c>
      <c r="B280" t="inlineStr">
        <is>
          <t>แขวงคลองสองต้นนุ่น - พิมพา</t>
        </is>
      </c>
      <c r="C280" t="inlineStr">
        <is>
          <t>สมุทรปราการ</t>
        </is>
      </c>
      <c r="D280" t="n">
        <v>7</v>
      </c>
      <c r="E280" t="inlineStr">
        <is>
          <t>0103</t>
        </is>
      </c>
      <c r="F280" t="inlineStr">
        <is>
          <t>25.4–31.1</t>
        </is>
      </c>
      <c r="G280" t="n">
        <v>13.665002</v>
      </c>
      <c r="H280" t="n">
        <v>100.851728</v>
      </c>
      <c r="I280" t="inlineStr">
        <is>
          <t>hods_aadt_pnt_2568.fid-6461857d_1a0f2643074_49ef</t>
        </is>
      </c>
      <c r="J280" t="inlineStr">
        <is>
          <t>แขวงคลองสองต้นนุ่น - พิมพา</t>
        </is>
      </c>
      <c r="K280" t="inlineStr">
        <is>
          <t>17+000</t>
        </is>
      </c>
      <c r="L280" t="inlineStr">
        <is>
          <t>สถานีย่อย (C)</t>
        </is>
      </c>
      <c r="M280" t="n">
        <v>2</v>
      </c>
      <c r="N280" t="n">
        <v>13.7334</v>
      </c>
      <c r="O280" t="n">
        <v>100.795133</v>
      </c>
      <c r="P280" t="n">
        <v>9.76</v>
      </c>
      <c r="Q280" t="n">
        <v>317</v>
      </c>
      <c r="R280" t="n">
        <v>3</v>
      </c>
      <c r="S280" s="3" t="n">
        <v>262343</v>
      </c>
      <c r="T280" t="n">
        <v>1</v>
      </c>
      <c r="U280" t="n">
        <v>1</v>
      </c>
      <c r="V280" t="n">
        <v>42</v>
      </c>
      <c r="W280" t="n">
        <v>0.1356</v>
      </c>
      <c r="X280" t="inlineStr">
        <is>
          <t>low</t>
        </is>
      </c>
      <c r="Y280" s="3">
        <f>Q280*1000000</f>
        <v/>
      </c>
      <c r="Z280" s="3">
        <f>365*R280*S280*T280</f>
        <v/>
      </c>
      <c r="AA280" s="4">
        <f>Y280/Z280</f>
        <v/>
      </c>
      <c r="AB280" s="4">
        <f>Q280*1000000/(365*R280*S280)</f>
        <v/>
      </c>
      <c r="AC280">
        <f>RANK(AA280,$AA$2:$AA$395,0)</f>
        <v/>
      </c>
    </row>
    <row r="281">
      <c r="A281" t="inlineStr">
        <is>
          <t>zone_461</t>
        </is>
      </c>
      <c r="B281" t="inlineStr">
        <is>
          <t>แขวงคลองสองต้นนุ่น - พิมพา</t>
        </is>
      </c>
      <c r="C281" t="inlineStr">
        <is>
          <t>สมุทรปราการ</t>
        </is>
      </c>
      <c r="D281" t="n">
        <v>7</v>
      </c>
      <c r="E281" t="inlineStr">
        <is>
          <t>0103</t>
        </is>
      </c>
      <c r="F281" t="inlineStr">
        <is>
          <t>26.3–28</t>
        </is>
      </c>
      <c r="G281" t="n">
        <v>13.666321</v>
      </c>
      <c r="H281" t="n">
        <v>100.849355</v>
      </c>
      <c r="I281" t="inlineStr">
        <is>
          <t>hods_aadt_pnt_2568.fid-6461857d_1a0f2643074_49ef</t>
        </is>
      </c>
      <c r="J281" t="inlineStr">
        <is>
          <t>แขวงคลองสองต้นนุ่น - พิมพา</t>
        </is>
      </c>
      <c r="K281" t="inlineStr">
        <is>
          <t>17+000</t>
        </is>
      </c>
      <c r="L281" t="inlineStr">
        <is>
          <t>สถานีย่อย (C)</t>
        </is>
      </c>
      <c r="M281" t="n">
        <v>2</v>
      </c>
      <c r="N281" t="n">
        <v>13.7334</v>
      </c>
      <c r="O281" t="n">
        <v>100.795133</v>
      </c>
      <c r="P281" t="n">
        <v>9.48</v>
      </c>
      <c r="Q281" t="n">
        <v>77</v>
      </c>
      <c r="R281" t="n">
        <v>3</v>
      </c>
      <c r="S281" s="3" t="n">
        <v>262343</v>
      </c>
      <c r="T281" t="n">
        <v>1</v>
      </c>
      <c r="U281" t="n">
        <v>0</v>
      </c>
      <c r="V281" t="n">
        <v>15</v>
      </c>
      <c r="W281" t="n">
        <v>0.1948</v>
      </c>
      <c r="X281" t="inlineStr">
        <is>
          <t>low</t>
        </is>
      </c>
      <c r="Y281" s="3">
        <f>Q281*1000000</f>
        <v/>
      </c>
      <c r="Z281" s="3">
        <f>365*R281*S281*T281</f>
        <v/>
      </c>
      <c r="AA281" s="4">
        <f>Y281/Z281</f>
        <v/>
      </c>
      <c r="AB281" s="4">
        <f>Q281*1000000/(365*R281*S281)</f>
        <v/>
      </c>
      <c r="AC281">
        <f>RANK(AA281,$AA$2:$AA$395,0)</f>
        <v/>
      </c>
    </row>
    <row r="282">
      <c r="A282" t="inlineStr">
        <is>
          <t>zone_462</t>
        </is>
      </c>
      <c r="B282" t="inlineStr">
        <is>
          <t>แขวงคลองสองต้นนุ่น - พิมพา</t>
        </is>
      </c>
      <c r="C282" t="inlineStr">
        <is>
          <t>สมุทรปราการ</t>
        </is>
      </c>
      <c r="D282" t="n">
        <v>7</v>
      </c>
      <c r="E282" t="inlineStr">
        <is>
          <t>0103</t>
        </is>
      </c>
      <c r="F282" t="inlineStr">
        <is>
          <t>29.6–29.8</t>
        </is>
      </c>
      <c r="G282" t="n">
        <v>13.654062</v>
      </c>
      <c r="H282" t="n">
        <v>100.868461</v>
      </c>
      <c r="I282" t="inlineStr">
        <is>
          <t>hods_aadt_pnt_2568.fid-6461857d_1a0f2643074_49ef</t>
        </is>
      </c>
      <c r="J282" t="inlineStr">
        <is>
          <t>แขวงคลองสองต้นนุ่น - พิมพา</t>
        </is>
      </c>
      <c r="K282" t="inlineStr">
        <is>
          <t>17+000</t>
        </is>
      </c>
      <c r="L282" t="inlineStr">
        <is>
          <t>สถานีย่อย (C)</t>
        </is>
      </c>
      <c r="M282" t="n">
        <v>2</v>
      </c>
      <c r="N282" t="n">
        <v>13.7334</v>
      </c>
      <c r="O282" t="n">
        <v>100.795133</v>
      </c>
      <c r="P282" t="n">
        <v>11.86</v>
      </c>
      <c r="Q282" t="n">
        <v>4</v>
      </c>
      <c r="R282" t="n">
        <v>3</v>
      </c>
      <c r="S282" s="3" t="n">
        <v>262343</v>
      </c>
      <c r="T282" t="n">
        <v>1</v>
      </c>
      <c r="U282" t="n">
        <v>0</v>
      </c>
      <c r="V282" t="n">
        <v>2</v>
      </c>
      <c r="W282" t="n">
        <v>0.5</v>
      </c>
      <c r="X282" t="inlineStr">
        <is>
          <t>low</t>
        </is>
      </c>
      <c r="Y282" s="3">
        <f>Q282*1000000</f>
        <v/>
      </c>
      <c r="Z282" s="3">
        <f>365*R282*S282*T282</f>
        <v/>
      </c>
      <c r="AA282" s="4">
        <f>Y282/Z282</f>
        <v/>
      </c>
      <c r="AB282" s="4">
        <f>Q282*1000000/(365*R282*S282)</f>
        <v/>
      </c>
      <c r="AC282">
        <f>RANK(AA282,$AA$2:$AA$395,0)</f>
        <v/>
      </c>
    </row>
    <row r="283">
      <c r="A283" t="inlineStr">
        <is>
          <t>zone_463</t>
        </is>
      </c>
      <c r="B283" t="inlineStr">
        <is>
          <t>แขวงคลองสองต้นนุ่น - พิมพา</t>
        </is>
      </c>
      <c r="C283" t="inlineStr">
        <is>
          <t>สมุทรปราการ</t>
        </is>
      </c>
      <c r="D283" t="n">
        <v>7</v>
      </c>
      <c r="E283" t="inlineStr">
        <is>
          <t>0103</t>
        </is>
      </c>
      <c r="F283" t="inlineStr">
        <is>
          <t>25.5–26</t>
        </is>
      </c>
      <c r="G283" t="n">
        <v>13.672743</v>
      </c>
      <c r="H283" t="n">
        <v>100.839395</v>
      </c>
      <c r="I283" t="inlineStr">
        <is>
          <t>hods_aadt_pnt_2568.fid-6461857d_1a0f2643074_49ef</t>
        </is>
      </c>
      <c r="J283" t="inlineStr">
        <is>
          <t>แขวงคลองสองต้นนุ่น - พิมพา</t>
        </is>
      </c>
      <c r="K283" t="inlineStr">
        <is>
          <t>17+000</t>
        </is>
      </c>
      <c r="L283" t="inlineStr">
        <is>
          <t>สถานีย่อย (C)</t>
        </is>
      </c>
      <c r="M283" t="n">
        <v>2</v>
      </c>
      <c r="N283" t="n">
        <v>13.7334</v>
      </c>
      <c r="O283" t="n">
        <v>100.795133</v>
      </c>
      <c r="P283" t="n">
        <v>8.27</v>
      </c>
      <c r="Q283" t="n">
        <v>11</v>
      </c>
      <c r="R283" t="n">
        <v>3</v>
      </c>
      <c r="S283" s="3" t="n">
        <v>262343</v>
      </c>
      <c r="T283" t="n">
        <v>1</v>
      </c>
      <c r="U283" t="n">
        <v>0</v>
      </c>
      <c r="V283" t="n">
        <v>0</v>
      </c>
      <c r="W283" t="n">
        <v>0</v>
      </c>
      <c r="X283" t="inlineStr">
        <is>
          <t>low</t>
        </is>
      </c>
      <c r="Y283" s="3">
        <f>Q283*1000000</f>
        <v/>
      </c>
      <c r="Z283" s="3">
        <f>365*R283*S283*T283</f>
        <v/>
      </c>
      <c r="AA283" s="4">
        <f>Y283/Z283</f>
        <v/>
      </c>
      <c r="AB283" s="4">
        <f>Q283*1000000/(365*R283*S283)</f>
        <v/>
      </c>
      <c r="AC283">
        <f>RANK(AA283,$AA$2:$AA$395,0)</f>
        <v/>
      </c>
    </row>
    <row r="284">
      <c r="A284" t="inlineStr">
        <is>
          <t>zone_464</t>
        </is>
      </c>
      <c r="B284" t="inlineStr">
        <is>
          <t>แขวงคลองสองต้นนุ่น - พิมพา</t>
        </is>
      </c>
      <c r="C284" t="inlineStr">
        <is>
          <t>สมุทรปราการ</t>
        </is>
      </c>
      <c r="D284" t="n">
        <v>7</v>
      </c>
      <c r="E284" t="inlineStr">
        <is>
          <t>0103</t>
        </is>
      </c>
      <c r="F284" t="inlineStr">
        <is>
          <t>28.1–29.3</t>
        </is>
      </c>
      <c r="G284" t="n">
        <v>13.658975</v>
      </c>
      <c r="H284" t="n">
        <v>100.860809</v>
      </c>
      <c r="I284" t="inlineStr">
        <is>
          <t>hods_aadt_pnt_2568.fid-6461857d_1a0f2643074_49ef</t>
        </is>
      </c>
      <c r="J284" t="inlineStr">
        <is>
          <t>แขวงคลองสองต้นนุ่น - พิมพา</t>
        </is>
      </c>
      <c r="K284" t="inlineStr">
        <is>
          <t>17+000</t>
        </is>
      </c>
      <c r="L284" t="inlineStr">
        <is>
          <t>สถานีย่อย (C)</t>
        </is>
      </c>
      <c r="M284" t="n">
        <v>2</v>
      </c>
      <c r="N284" t="n">
        <v>13.7334</v>
      </c>
      <c r="O284" t="n">
        <v>100.795133</v>
      </c>
      <c r="P284" t="n">
        <v>10.9</v>
      </c>
      <c r="Q284" t="n">
        <v>24</v>
      </c>
      <c r="R284" t="n">
        <v>3</v>
      </c>
      <c r="S284" s="3" t="n">
        <v>262343</v>
      </c>
      <c r="T284" t="n">
        <v>1</v>
      </c>
      <c r="U284" t="n">
        <v>0</v>
      </c>
      <c r="V284" t="n">
        <v>8</v>
      </c>
      <c r="W284" t="n">
        <v>0.3333</v>
      </c>
      <c r="X284" t="inlineStr">
        <is>
          <t>low</t>
        </is>
      </c>
      <c r="Y284" s="3">
        <f>Q284*1000000</f>
        <v/>
      </c>
      <c r="Z284" s="3">
        <f>365*R284*S284*T284</f>
        <v/>
      </c>
      <c r="AA284" s="4">
        <f>Y284/Z284</f>
        <v/>
      </c>
      <c r="AB284" s="4">
        <f>Q284*1000000/(365*R284*S284)</f>
        <v/>
      </c>
      <c r="AC284">
        <f>RANK(AA284,$AA$2:$AA$395,0)</f>
        <v/>
      </c>
    </row>
    <row r="285">
      <c r="A285" t="inlineStr">
        <is>
          <t>zone_465</t>
        </is>
      </c>
      <c r="B285" t="inlineStr">
        <is>
          <t>แขวงคลองสองต้นนุ่น - พิมพา</t>
        </is>
      </c>
      <c r="C285" t="inlineStr">
        <is>
          <t>สมุทรปราการ</t>
        </is>
      </c>
      <c r="D285" t="n">
        <v>7</v>
      </c>
      <c r="E285" t="inlineStr">
        <is>
          <t>0103</t>
        </is>
      </c>
      <c r="F285" t="inlineStr">
        <is>
          <t>24.8–25.4</t>
        </is>
      </c>
      <c r="G285" t="n">
        <v>13.67845</v>
      </c>
      <c r="H285" t="n">
        <v>100.835773</v>
      </c>
      <c r="I285" t="inlineStr">
        <is>
          <t>hods_aadt_pnt_2568.fid-6461857d_1a0f2643074_49ef</t>
        </is>
      </c>
      <c r="J285" t="inlineStr">
        <is>
          <t>แขวงคลองสองต้นนุ่น - พิมพา</t>
        </is>
      </c>
      <c r="K285" t="inlineStr">
        <is>
          <t>17+000</t>
        </is>
      </c>
      <c r="L285" t="inlineStr">
        <is>
          <t>สถานีย่อย (C)</t>
        </is>
      </c>
      <c r="M285" t="n">
        <v>2</v>
      </c>
      <c r="N285" t="n">
        <v>13.7334</v>
      </c>
      <c r="O285" t="n">
        <v>100.795133</v>
      </c>
      <c r="P285" t="n">
        <v>7.52</v>
      </c>
      <c r="Q285" t="n">
        <v>6</v>
      </c>
      <c r="R285" t="n">
        <v>3</v>
      </c>
      <c r="S285" s="3" t="n">
        <v>262343</v>
      </c>
      <c r="T285" t="n">
        <v>1</v>
      </c>
      <c r="U285" t="n">
        <v>0</v>
      </c>
      <c r="V285" t="n">
        <v>0</v>
      </c>
      <c r="W285" t="n">
        <v>0</v>
      </c>
      <c r="X285" t="inlineStr">
        <is>
          <t>low</t>
        </is>
      </c>
      <c r="Y285" s="3">
        <f>Q285*1000000</f>
        <v/>
      </c>
      <c r="Z285" s="3">
        <f>365*R285*S285*T285</f>
        <v/>
      </c>
      <c r="AA285" s="4">
        <f>Y285/Z285</f>
        <v/>
      </c>
      <c r="AB285" s="4">
        <f>Q285*1000000/(365*R285*S285)</f>
        <v/>
      </c>
      <c r="AC285">
        <f>RANK(AA285,$AA$2:$AA$395,0)</f>
        <v/>
      </c>
    </row>
    <row r="286">
      <c r="A286" t="inlineStr">
        <is>
          <t>zone_466</t>
        </is>
      </c>
      <c r="B286" t="inlineStr">
        <is>
          <t>แขวงคลองสองต้นนุ่น - พิมพา</t>
        </is>
      </c>
      <c r="C286" t="inlineStr">
        <is>
          <t>สมุทรปราการ</t>
        </is>
      </c>
      <c r="D286" t="n">
        <v>7</v>
      </c>
      <c r="E286" t="inlineStr">
        <is>
          <t>0103</t>
        </is>
      </c>
      <c r="F286" t="inlineStr">
        <is>
          <t>24.4–24.6</t>
        </is>
      </c>
      <c r="G286" t="n">
        <v>13.683798</v>
      </c>
      <c r="H286" t="n">
        <v>100.833169</v>
      </c>
      <c r="I286" t="inlineStr">
        <is>
          <t>hods_aadt_pnt_2568.fid-6461857d_1a0f2643074_49ef</t>
        </is>
      </c>
      <c r="J286" t="inlineStr">
        <is>
          <t>แขวงคลองสองต้นนุ่น - พิมพา</t>
        </is>
      </c>
      <c r="K286" t="inlineStr">
        <is>
          <t>17+000</t>
        </is>
      </c>
      <c r="L286" t="inlineStr">
        <is>
          <t>สถานีย่อย (C)</t>
        </is>
      </c>
      <c r="M286" t="n">
        <v>2</v>
      </c>
      <c r="N286" t="n">
        <v>13.7334</v>
      </c>
      <c r="O286" t="n">
        <v>100.795133</v>
      </c>
      <c r="P286" t="n">
        <v>6.88</v>
      </c>
      <c r="Q286" t="n">
        <v>5</v>
      </c>
      <c r="R286" t="n">
        <v>3</v>
      </c>
      <c r="S286" s="3" t="n">
        <v>262343</v>
      </c>
      <c r="T286" t="n">
        <v>1</v>
      </c>
      <c r="U286" t="n">
        <v>0</v>
      </c>
      <c r="V286" t="n">
        <v>1</v>
      </c>
      <c r="W286" t="n">
        <v>0.2</v>
      </c>
      <c r="X286" t="inlineStr">
        <is>
          <t>low</t>
        </is>
      </c>
      <c r="Y286" s="3">
        <f>Q286*1000000</f>
        <v/>
      </c>
      <c r="Z286" s="3">
        <f>365*R286*S286*T286</f>
        <v/>
      </c>
      <c r="AA286" s="4">
        <f>Y286/Z286</f>
        <v/>
      </c>
      <c r="AB286" s="4">
        <f>Q286*1000000/(365*R286*S286)</f>
        <v/>
      </c>
      <c r="AC286">
        <f>RANK(AA286,$AA$2:$AA$395,0)</f>
        <v/>
      </c>
    </row>
    <row r="287">
      <c r="A287" t="inlineStr">
        <is>
          <t>zone_467</t>
        </is>
      </c>
      <c r="B287" t="inlineStr">
        <is>
          <t>แขวงคลองสองต้นนุ่น - พิมพา</t>
        </is>
      </c>
      <c r="C287" t="inlineStr">
        <is>
          <t>สมุทรปราการ</t>
        </is>
      </c>
      <c r="D287" t="n">
        <v>7</v>
      </c>
      <c r="E287" t="inlineStr">
        <is>
          <t>0103</t>
        </is>
      </c>
      <c r="F287" t="inlineStr">
        <is>
          <t>30.3–31.1</t>
        </is>
      </c>
      <c r="G287" t="n">
        <v>13.648638</v>
      </c>
      <c r="H287" t="n">
        <v>100.876904</v>
      </c>
      <c r="I287" t="inlineStr">
        <is>
          <t>hods_aadt_pnt_2568.fid-6461857d_1a0f2643074_49ef</t>
        </is>
      </c>
      <c r="J287" t="inlineStr">
        <is>
          <t>แขวงคลองสองต้นนุ่น - พิมพา</t>
        </is>
      </c>
      <c r="K287" t="inlineStr">
        <is>
          <t>17+000</t>
        </is>
      </c>
      <c r="L287" t="inlineStr">
        <is>
          <t>สถานีย่อย (C)</t>
        </is>
      </c>
      <c r="M287" t="n">
        <v>2</v>
      </c>
      <c r="N287" t="n">
        <v>13.7334</v>
      </c>
      <c r="O287" t="n">
        <v>100.795133</v>
      </c>
      <c r="P287" t="n">
        <v>12.92</v>
      </c>
      <c r="Q287" t="n">
        <v>13</v>
      </c>
      <c r="R287" t="n">
        <v>3</v>
      </c>
      <c r="S287" s="3" t="n">
        <v>262343</v>
      </c>
      <c r="T287" t="n">
        <v>1</v>
      </c>
      <c r="U287" t="n">
        <v>0</v>
      </c>
      <c r="V287" t="n">
        <v>7</v>
      </c>
      <c r="W287" t="n">
        <v>0.5385</v>
      </c>
      <c r="X287" t="inlineStr">
        <is>
          <t>low</t>
        </is>
      </c>
      <c r="Y287" s="3">
        <f>Q287*1000000</f>
        <v/>
      </c>
      <c r="Z287" s="3">
        <f>365*R287*S287*T287</f>
        <v/>
      </c>
      <c r="AA287" s="4">
        <f>Y287/Z287</f>
        <v/>
      </c>
      <c r="AB287" s="4">
        <f>Q287*1000000/(365*R287*S287)</f>
        <v/>
      </c>
      <c r="AC287">
        <f>RANK(AA287,$AA$2:$AA$395,0)</f>
        <v/>
      </c>
    </row>
    <row r="288">
      <c r="A288" t="inlineStr">
        <is>
          <t>zone_468</t>
        </is>
      </c>
      <c r="B288" t="inlineStr">
        <is>
          <t>แขวงคลองสองต้นนุ่น - พิมพา</t>
        </is>
      </c>
      <c r="C288" t="inlineStr">
        <is>
          <t>สมุทรปราการ</t>
        </is>
      </c>
      <c r="D288" t="n">
        <v>7</v>
      </c>
      <c r="E288" t="inlineStr">
        <is>
          <t>0103</t>
        </is>
      </c>
      <c r="F288" t="inlineStr">
        <is>
          <t>30–30.1</t>
        </is>
      </c>
      <c r="G288" t="n">
        <v>13.652753</v>
      </c>
      <c r="H288" t="n">
        <v>100.870934</v>
      </c>
      <c r="I288" t="inlineStr">
        <is>
          <t>hods_aadt_pnt_2568.fid-6461857d_1a0f2643074_49ef</t>
        </is>
      </c>
      <c r="J288" t="inlineStr">
        <is>
          <t>แขวงคลองสองต้นนุ่น - พิมพา</t>
        </is>
      </c>
      <c r="K288" t="inlineStr">
        <is>
          <t>17+000</t>
        </is>
      </c>
      <c r="L288" t="inlineStr">
        <is>
          <t>สถานีย่อย (C)</t>
        </is>
      </c>
      <c r="M288" t="n">
        <v>2</v>
      </c>
      <c r="N288" t="n">
        <v>13.7334</v>
      </c>
      <c r="O288" t="n">
        <v>100.795133</v>
      </c>
      <c r="P288" t="n">
        <v>12.14</v>
      </c>
      <c r="Q288" t="n">
        <v>3</v>
      </c>
      <c r="R288" t="n">
        <v>3</v>
      </c>
      <c r="S288" s="3" t="n">
        <v>262343</v>
      </c>
      <c r="T288" t="n">
        <v>1</v>
      </c>
      <c r="U288" t="n">
        <v>0</v>
      </c>
      <c r="V288" t="n">
        <v>0</v>
      </c>
      <c r="W288" t="n">
        <v>0</v>
      </c>
      <c r="X288" t="inlineStr">
        <is>
          <t>low</t>
        </is>
      </c>
      <c r="Y288" s="3">
        <f>Q288*1000000</f>
        <v/>
      </c>
      <c r="Z288" s="3">
        <f>365*R288*S288*T288</f>
        <v/>
      </c>
      <c r="AA288" s="4">
        <f>Y288/Z288</f>
        <v/>
      </c>
      <c r="AB288" s="4">
        <f>Q288*1000000/(365*R288*S288)</f>
        <v/>
      </c>
      <c r="AC288">
        <f>RANK(AA288,$AA$2:$AA$395,0)</f>
        <v/>
      </c>
    </row>
    <row r="289">
      <c r="A289" t="inlineStr">
        <is>
          <t>zone_469</t>
        </is>
      </c>
      <c r="B289" t="inlineStr">
        <is>
          <t>บางนา - ทางเข้าท่าอากาศยานสุวรรณภูมิ</t>
        </is>
      </c>
      <c r="C289" t="inlineStr">
        <is>
          <t>สมุทรปราการ</t>
        </is>
      </c>
      <c r="D289" t="n">
        <v>34</v>
      </c>
      <c r="E289" t="inlineStr">
        <is>
          <t>0101</t>
        </is>
      </c>
      <c r="F289" t="inlineStr">
        <is>
          <t>7.3–7.35</t>
        </is>
      </c>
      <c r="G289" t="n">
        <v>13.65562</v>
      </c>
      <c r="H289" t="n">
        <v>100.672223</v>
      </c>
      <c r="I289" t="inlineStr">
        <is>
          <t>hods_aadt_pnt_2568.fid-6461857d_1a0f2643074_4a93</t>
        </is>
      </c>
      <c r="J289" t="inlineStr">
        <is>
          <t>บางนา - ทางเข้าท่าอากาศยานสุวรรณภูมิ</t>
        </is>
      </c>
      <c r="K289" t="inlineStr">
        <is>
          <t>3+904</t>
        </is>
      </c>
      <c r="L289" t="inlineStr">
        <is>
          <t>สถานีย่อย (C)</t>
        </is>
      </c>
      <c r="M289" t="n">
        <v>1</v>
      </c>
      <c r="N289" t="n">
        <v>13.666173</v>
      </c>
      <c r="O289" t="n">
        <v>100.642233</v>
      </c>
      <c r="P289" t="n">
        <v>3.45</v>
      </c>
      <c r="Q289" t="n">
        <v>4</v>
      </c>
      <c r="R289" t="n">
        <v>3</v>
      </c>
      <c r="S289" s="3" t="n">
        <v>210050</v>
      </c>
      <c r="T289" t="n">
        <v>1</v>
      </c>
      <c r="U289" t="n">
        <v>0</v>
      </c>
      <c r="V289" t="n">
        <v>0</v>
      </c>
      <c r="W289" t="n">
        <v>0</v>
      </c>
      <c r="X289" t="inlineStr">
        <is>
          <t>low</t>
        </is>
      </c>
      <c r="Y289" s="3">
        <f>Q289*1000000</f>
        <v/>
      </c>
      <c r="Z289" s="3">
        <f>365*R289*S289*T289</f>
        <v/>
      </c>
      <c r="AA289" s="4">
        <f>Y289/Z289</f>
        <v/>
      </c>
      <c r="AB289" s="4">
        <f>Q289*1000000/(365*R289*S289)</f>
        <v/>
      </c>
      <c r="AC289">
        <f>RANK(AA289,$AA$2:$AA$395,0)</f>
        <v/>
      </c>
    </row>
    <row r="290">
      <c r="A290" t="inlineStr">
        <is>
          <t>zone_470</t>
        </is>
      </c>
      <c r="B290" t="inlineStr">
        <is>
          <t>บางนา - ทางเข้าท่าอากาศยานสุวรรณภูมิ</t>
        </is>
      </c>
      <c r="C290" t="inlineStr">
        <is>
          <t>สมุทรปราการ</t>
        </is>
      </c>
      <c r="D290" t="n">
        <v>34</v>
      </c>
      <c r="E290" t="inlineStr">
        <is>
          <t>0101</t>
        </is>
      </c>
      <c r="F290" t="inlineStr">
        <is>
          <t>7.7–8</t>
        </is>
      </c>
      <c r="G290" t="n">
        <v>13.65322</v>
      </c>
      <c r="H290" t="n">
        <v>100.676085</v>
      </c>
      <c r="I290" t="inlineStr">
        <is>
          <t>hods_aadt_pnt_2568.fid-6461857d_1a0f2643074_4a93</t>
        </is>
      </c>
      <c r="J290" t="inlineStr">
        <is>
          <t>บางนา - ทางเข้าท่าอากาศยานสุวรรณภูมิ</t>
        </is>
      </c>
      <c r="K290" t="inlineStr">
        <is>
          <t>3+904</t>
        </is>
      </c>
      <c r="L290" t="inlineStr">
        <is>
          <t>สถานีย่อย (C)</t>
        </is>
      </c>
      <c r="M290" t="n">
        <v>1</v>
      </c>
      <c r="N290" t="n">
        <v>13.666173</v>
      </c>
      <c r="O290" t="n">
        <v>100.642233</v>
      </c>
      <c r="P290" t="n">
        <v>3.93</v>
      </c>
      <c r="Q290" t="n">
        <v>5</v>
      </c>
      <c r="R290" t="n">
        <v>3</v>
      </c>
      <c r="S290" s="3" t="n">
        <v>210050</v>
      </c>
      <c r="T290" t="n">
        <v>1</v>
      </c>
      <c r="U290" t="n">
        <v>1</v>
      </c>
      <c r="V290" t="n">
        <v>3</v>
      </c>
      <c r="W290" t="n">
        <v>0.8</v>
      </c>
      <c r="X290" t="inlineStr">
        <is>
          <t>low</t>
        </is>
      </c>
      <c r="Y290" s="3">
        <f>Q290*1000000</f>
        <v/>
      </c>
      <c r="Z290" s="3">
        <f>365*R290*S290*T290</f>
        <v/>
      </c>
      <c r="AA290" s="4">
        <f>Y290/Z290</f>
        <v/>
      </c>
      <c r="AB290" s="4">
        <f>Q290*1000000/(365*R290*S290)</f>
        <v/>
      </c>
      <c r="AC290">
        <f>RANK(AA290,$AA$2:$AA$395,0)</f>
        <v/>
      </c>
    </row>
    <row r="291">
      <c r="A291" t="inlineStr">
        <is>
          <t>zone_472</t>
        </is>
      </c>
      <c r="B291" t="inlineStr">
        <is>
          <t>ทางเข้าท่าอากาศยานสุวรรณภูมิ - บางวัว</t>
        </is>
      </c>
      <c r="C291" t="inlineStr">
        <is>
          <t>สมุทรปราการ</t>
        </is>
      </c>
      <c r="D291" t="n">
        <v>34</v>
      </c>
      <c r="E291" t="inlineStr">
        <is>
          <t>0102</t>
        </is>
      </c>
      <c r="F291" t="inlineStr">
        <is>
          <t>32–32.2</t>
        </is>
      </c>
      <c r="G291" t="n">
        <v>13.577901</v>
      </c>
      <c r="H291" t="n">
        <v>100.884168</v>
      </c>
      <c r="I291" t="inlineStr">
        <is>
          <t>hods_aadt_pnt_2568.fid-6461857d_1a0f2643074_4a94</t>
        </is>
      </c>
      <c r="J291" t="inlineStr">
        <is>
          <t>ทางเข้าท่าอากาศยานสุวรรณภูมิ - บางวัว</t>
        </is>
      </c>
      <c r="K291" t="inlineStr">
        <is>
          <t>15+100</t>
        </is>
      </c>
      <c r="L291" t="inlineStr">
        <is>
          <t>สถานีย่อย (C)</t>
        </is>
      </c>
      <c r="M291" t="n">
        <v>1</v>
      </c>
      <c r="N291" t="n">
        <v>13.621503</v>
      </c>
      <c r="O291" t="n">
        <v>100.736011</v>
      </c>
      <c r="P291" t="n">
        <v>16.73</v>
      </c>
      <c r="Q291" t="n">
        <v>12</v>
      </c>
      <c r="R291" t="n">
        <v>3</v>
      </c>
      <c r="S291" s="3" t="n">
        <v>250222</v>
      </c>
      <c r="T291" t="n">
        <v>1</v>
      </c>
      <c r="U291" t="n">
        <v>1</v>
      </c>
      <c r="V291" t="n">
        <v>4</v>
      </c>
      <c r="W291" t="n">
        <v>0.4167</v>
      </c>
      <c r="X291" t="inlineStr">
        <is>
          <t>low</t>
        </is>
      </c>
      <c r="Y291" s="3">
        <f>Q291*1000000</f>
        <v/>
      </c>
      <c r="Z291" s="3">
        <f>365*R291*S291*T291</f>
        <v/>
      </c>
      <c r="AA291" s="4">
        <f>Y291/Z291</f>
        <v/>
      </c>
      <c r="AB291" s="4">
        <f>Q291*1000000/(365*R291*S291)</f>
        <v/>
      </c>
      <c r="AC291">
        <f>RANK(AA291,$AA$2:$AA$395,0)</f>
        <v/>
      </c>
    </row>
    <row r="292">
      <c r="A292" t="inlineStr">
        <is>
          <t>zone_473</t>
        </is>
      </c>
      <c r="B292" t="inlineStr">
        <is>
          <t>ทางเข้าท่าอากาศยานสุวรรณภูมิ - บางวัว</t>
        </is>
      </c>
      <c r="C292" t="inlineStr">
        <is>
          <t>สมุทรปราการ</t>
        </is>
      </c>
      <c r="D292" t="n">
        <v>34</v>
      </c>
      <c r="E292" t="inlineStr">
        <is>
          <t>0102</t>
        </is>
      </c>
      <c r="F292" t="inlineStr">
        <is>
          <t>31.7–31.8</t>
        </is>
      </c>
      <c r="G292" t="n">
        <v>13.578567</v>
      </c>
      <c r="H292" t="n">
        <v>100.881046</v>
      </c>
      <c r="I292" t="inlineStr">
        <is>
          <t>hods_aadt_pnt_2568.fid-6461857d_1a0f2643074_4a94</t>
        </is>
      </c>
      <c r="J292" t="inlineStr">
        <is>
          <t>ทางเข้าท่าอากาศยานสุวรรณภูมิ - บางวัว</t>
        </is>
      </c>
      <c r="K292" t="inlineStr">
        <is>
          <t>15+100</t>
        </is>
      </c>
      <c r="L292" t="inlineStr">
        <is>
          <t>สถานีย่อย (C)</t>
        </is>
      </c>
      <c r="M292" t="n">
        <v>1</v>
      </c>
      <c r="N292" t="n">
        <v>13.621503</v>
      </c>
      <c r="O292" t="n">
        <v>100.736011</v>
      </c>
      <c r="P292" t="n">
        <v>16.39</v>
      </c>
      <c r="Q292" t="n">
        <v>3</v>
      </c>
      <c r="R292" t="n">
        <v>3</v>
      </c>
      <c r="S292" s="3" t="n">
        <v>250222</v>
      </c>
      <c r="T292" t="n">
        <v>1</v>
      </c>
      <c r="U292" t="n">
        <v>1</v>
      </c>
      <c r="V292" t="n">
        <v>5</v>
      </c>
      <c r="W292" t="n">
        <v>2</v>
      </c>
      <c r="X292" t="inlineStr">
        <is>
          <t>high</t>
        </is>
      </c>
      <c r="Y292" s="3">
        <f>Q292*1000000</f>
        <v/>
      </c>
      <c r="Z292" s="3">
        <f>365*R292*S292*T292</f>
        <v/>
      </c>
      <c r="AA292" s="4">
        <f>Y292/Z292</f>
        <v/>
      </c>
      <c r="AB292" s="4">
        <f>Q292*1000000/(365*R292*S292)</f>
        <v/>
      </c>
      <c r="AC292">
        <f>RANK(AA292,$AA$2:$AA$395,0)</f>
        <v/>
      </c>
    </row>
    <row r="293">
      <c r="A293" t="inlineStr">
        <is>
          <t>zone_474</t>
        </is>
      </c>
      <c r="B293" t="inlineStr">
        <is>
          <t>ทางเข้าท่าอากาศยานสุวรรณภูมิ - บางวัว</t>
        </is>
      </c>
      <c r="C293" t="inlineStr">
        <is>
          <t>สมุทรปราการ</t>
        </is>
      </c>
      <c r="D293" t="n">
        <v>34</v>
      </c>
      <c r="E293" t="inlineStr">
        <is>
          <t>0102</t>
        </is>
      </c>
      <c r="F293" t="inlineStr">
        <is>
          <t>31.3–31.3</t>
        </is>
      </c>
      <c r="G293" t="n">
        <v>13.579436</v>
      </c>
      <c r="H293" t="n">
        <v>100.8775</v>
      </c>
      <c r="I293" t="inlineStr">
        <is>
          <t>hods_aadt_pnt_2568.fid-6461857d_1a0f2643074_4a94</t>
        </is>
      </c>
      <c r="J293" t="inlineStr">
        <is>
          <t>ทางเข้าท่าอากาศยานสุวรรณภูมิ - บางวัว</t>
        </is>
      </c>
      <c r="K293" t="inlineStr">
        <is>
          <t>15+100</t>
        </is>
      </c>
      <c r="L293" t="inlineStr">
        <is>
          <t>สถานีย่อย (C)</t>
        </is>
      </c>
      <c r="M293" t="n">
        <v>1</v>
      </c>
      <c r="N293" t="n">
        <v>13.621503</v>
      </c>
      <c r="O293" t="n">
        <v>100.736011</v>
      </c>
      <c r="P293" t="n">
        <v>15.99</v>
      </c>
      <c r="Q293" t="n">
        <v>3</v>
      </c>
      <c r="R293" t="n">
        <v>3</v>
      </c>
      <c r="S293" s="3" t="n">
        <v>250222</v>
      </c>
      <c r="T293" t="n">
        <v>1</v>
      </c>
      <c r="U293" t="n">
        <v>0</v>
      </c>
      <c r="V293" t="n">
        <v>0</v>
      </c>
      <c r="W293" t="n">
        <v>0</v>
      </c>
      <c r="X293" t="inlineStr">
        <is>
          <t>low</t>
        </is>
      </c>
      <c r="Y293" s="3">
        <f>Q293*1000000</f>
        <v/>
      </c>
      <c r="Z293" s="3">
        <f>365*R293*S293*T293</f>
        <v/>
      </c>
      <c r="AA293" s="4">
        <f>Y293/Z293</f>
        <v/>
      </c>
      <c r="AB293" s="4">
        <f>Q293*1000000/(365*R293*S293)</f>
        <v/>
      </c>
      <c r="AC293">
        <f>RANK(AA293,$AA$2:$AA$395,0)</f>
        <v/>
      </c>
    </row>
    <row r="294">
      <c r="A294" t="inlineStr">
        <is>
          <t>zone_477</t>
        </is>
      </c>
      <c r="B294" t="inlineStr">
        <is>
          <t>ทางเข้าท่าอากาศยานสุวรรณภูมิ - บางวัว</t>
        </is>
      </c>
      <c r="C294" t="inlineStr">
        <is>
          <t>สมุทรปราการ</t>
        </is>
      </c>
      <c r="D294" t="n">
        <v>34</v>
      </c>
      <c r="E294" t="inlineStr">
        <is>
          <t>0102</t>
        </is>
      </c>
      <c r="F294" t="inlineStr">
        <is>
          <t>32–32</t>
        </is>
      </c>
      <c r="G294" t="n">
        <v>13.577996</v>
      </c>
      <c r="H294" t="n">
        <v>100.883722</v>
      </c>
      <c r="I294" t="inlineStr">
        <is>
          <t>hods_aadt_pnt_2568.fid-6461857d_1a0f2643074_4a94</t>
        </is>
      </c>
      <c r="J294" t="inlineStr">
        <is>
          <t>ทางเข้าท่าอากาศยานสุวรรณภูมิ - บางวัว</t>
        </is>
      </c>
      <c r="K294" t="inlineStr">
        <is>
          <t>15+100</t>
        </is>
      </c>
      <c r="L294" t="inlineStr">
        <is>
          <t>สถานีย่อย (C)</t>
        </is>
      </c>
      <c r="M294" t="n">
        <v>1</v>
      </c>
      <c r="N294" t="n">
        <v>13.621503</v>
      </c>
      <c r="O294" t="n">
        <v>100.736011</v>
      </c>
      <c r="P294" t="n">
        <v>16.68</v>
      </c>
      <c r="Q294" t="n">
        <v>7</v>
      </c>
      <c r="R294" t="n">
        <v>3</v>
      </c>
      <c r="S294" s="3" t="n">
        <v>250222</v>
      </c>
      <c r="T294" t="n">
        <v>1</v>
      </c>
      <c r="U294" t="n">
        <v>0</v>
      </c>
      <c r="V294" t="n">
        <v>6</v>
      </c>
      <c r="W294" t="n">
        <v>0.8571</v>
      </c>
      <c r="X294" t="inlineStr">
        <is>
          <t>low</t>
        </is>
      </c>
      <c r="Y294" s="3">
        <f>Q294*1000000</f>
        <v/>
      </c>
      <c r="Z294" s="3">
        <f>365*R294*S294*T294</f>
        <v/>
      </c>
      <c r="AA294" s="4">
        <f>Y294/Z294</f>
        <v/>
      </c>
      <c r="AB294" s="4">
        <f>Q294*1000000/(365*R294*S294)</f>
        <v/>
      </c>
      <c r="AC294">
        <f>RANK(AA294,$AA$2:$AA$395,0)</f>
        <v/>
      </c>
    </row>
    <row r="295">
      <c r="A295" t="inlineStr">
        <is>
          <t>zone_478</t>
        </is>
      </c>
      <c r="B295" t="inlineStr">
        <is>
          <t>ทางเข้าท่าอากาศยานสุวรรณภูมิ - บางวัว</t>
        </is>
      </c>
      <c r="C295" t="inlineStr">
        <is>
          <t>สมุทรปราการ</t>
        </is>
      </c>
      <c r="D295" t="n">
        <v>34</v>
      </c>
      <c r="E295" t="inlineStr">
        <is>
          <t>0102</t>
        </is>
      </c>
      <c r="F295" t="inlineStr">
        <is>
          <t>18–18.7</t>
        </is>
      </c>
      <c r="G295" t="n">
        <v>13.609708</v>
      </c>
      <c r="H295" t="n">
        <v>100.76265</v>
      </c>
      <c r="I295" t="inlineStr">
        <is>
          <t>hods_aadt_pnt_2568.fid-6461857d_1a0f2643074_4a94</t>
        </is>
      </c>
      <c r="J295" t="inlineStr">
        <is>
          <t>ทางเข้าท่าอากาศยานสุวรรณภูมิ - บางวัว</t>
        </is>
      </c>
      <c r="K295" t="inlineStr">
        <is>
          <t>15+100</t>
        </is>
      </c>
      <c r="L295" t="inlineStr">
        <is>
          <t>สถานีย่อย (C)</t>
        </is>
      </c>
      <c r="M295" t="n">
        <v>1</v>
      </c>
      <c r="N295" t="n">
        <v>13.621503</v>
      </c>
      <c r="O295" t="n">
        <v>100.736011</v>
      </c>
      <c r="P295" t="n">
        <v>3.16</v>
      </c>
      <c r="Q295" t="n">
        <v>9</v>
      </c>
      <c r="R295" t="n">
        <v>3</v>
      </c>
      <c r="S295" s="3" t="n">
        <v>250222</v>
      </c>
      <c r="T295" t="n">
        <v>1</v>
      </c>
      <c r="U295" t="n">
        <v>2</v>
      </c>
      <c r="V295" t="n">
        <v>0</v>
      </c>
      <c r="W295" t="n">
        <v>0.2222</v>
      </c>
      <c r="X295" t="inlineStr">
        <is>
          <t>low</t>
        </is>
      </c>
      <c r="Y295" s="3">
        <f>Q295*1000000</f>
        <v/>
      </c>
      <c r="Z295" s="3">
        <f>365*R295*S295*T295</f>
        <v/>
      </c>
      <c r="AA295" s="4">
        <f>Y295/Z295</f>
        <v/>
      </c>
      <c r="AB295" s="4">
        <f>Q295*1000000/(365*R295*S295)</f>
        <v/>
      </c>
      <c r="AC295">
        <f>RANK(AA295,$AA$2:$AA$395,0)</f>
        <v/>
      </c>
    </row>
    <row r="296">
      <c r="A296" t="inlineStr">
        <is>
          <t>zone_479</t>
        </is>
      </c>
      <c r="B296" t="inlineStr">
        <is>
          <t>ทางเข้าท่าอากาศยานสุวรรณภูมิ - บางวัว</t>
        </is>
      </c>
      <c r="C296" t="inlineStr">
        <is>
          <t>สมุทรปราการ</t>
        </is>
      </c>
      <c r="D296" t="n">
        <v>34</v>
      </c>
      <c r="E296" t="inlineStr">
        <is>
          <t>0102</t>
        </is>
      </c>
      <c r="F296" t="inlineStr">
        <is>
          <t>17–17.1</t>
        </is>
      </c>
      <c r="G296" t="n">
        <v>13.613956</v>
      </c>
      <c r="H296" t="n">
        <v>100.752497</v>
      </c>
      <c r="I296" t="inlineStr">
        <is>
          <t>hods_aadt_pnt_2568.fid-6461857d_1a0f2643074_4a94</t>
        </is>
      </c>
      <c r="J296" t="inlineStr">
        <is>
          <t>ทางเข้าท่าอากาศยานสุวรรณภูมิ - บางวัว</t>
        </is>
      </c>
      <c r="K296" t="inlineStr">
        <is>
          <t>15+100</t>
        </is>
      </c>
      <c r="L296" t="inlineStr">
        <is>
          <t>สถานีย่อย (C)</t>
        </is>
      </c>
      <c r="M296" t="n">
        <v>1</v>
      </c>
      <c r="N296" t="n">
        <v>13.621503</v>
      </c>
      <c r="O296" t="n">
        <v>100.736011</v>
      </c>
      <c r="P296" t="n">
        <v>1.97</v>
      </c>
      <c r="Q296" t="n">
        <v>3</v>
      </c>
      <c r="R296" t="n">
        <v>3</v>
      </c>
      <c r="S296" s="3" t="n">
        <v>250222</v>
      </c>
      <c r="T296" t="n">
        <v>1</v>
      </c>
      <c r="U296" t="n">
        <v>1</v>
      </c>
      <c r="V296" t="n">
        <v>7</v>
      </c>
      <c r="W296" t="n">
        <v>2.6667</v>
      </c>
      <c r="X296" t="inlineStr">
        <is>
          <t>high</t>
        </is>
      </c>
      <c r="Y296" s="3">
        <f>Q296*1000000</f>
        <v/>
      </c>
      <c r="Z296" s="3">
        <f>365*R296*S296*T296</f>
        <v/>
      </c>
      <c r="AA296" s="4">
        <f>Y296/Z296</f>
        <v/>
      </c>
      <c r="AB296" s="4">
        <f>Q296*1000000/(365*R296*S296)</f>
        <v/>
      </c>
      <c r="AC296">
        <f>RANK(AA296,$AA$2:$AA$395,0)</f>
        <v/>
      </c>
    </row>
    <row r="297">
      <c r="A297" t="inlineStr">
        <is>
          <t>zone_480</t>
        </is>
      </c>
      <c r="B297" t="inlineStr">
        <is>
          <t>ทางเข้าท่าอากาศยานสุวรรณภูมิ - บางวัว</t>
        </is>
      </c>
      <c r="C297" t="inlineStr">
        <is>
          <t>สมุทรปราการ</t>
        </is>
      </c>
      <c r="D297" t="n">
        <v>34</v>
      </c>
      <c r="E297" t="inlineStr">
        <is>
          <t>0102</t>
        </is>
      </c>
      <c r="F297" t="inlineStr">
        <is>
          <t>15.6–16.7</t>
        </is>
      </c>
      <c r="G297" t="n">
        <v>13.617434</v>
      </c>
      <c r="H297" t="n">
        <v>100.745565</v>
      </c>
      <c r="I297" t="inlineStr">
        <is>
          <t>hods_aadt_pnt_2568.fid-6461857d_1a0f2643074_4a94</t>
        </is>
      </c>
      <c r="J297" t="inlineStr">
        <is>
          <t>ทางเข้าท่าอากาศยานสุวรรณภูมิ - บางวัว</t>
        </is>
      </c>
      <c r="K297" t="inlineStr">
        <is>
          <t>15+100</t>
        </is>
      </c>
      <c r="L297" t="inlineStr">
        <is>
          <t>สถานีย่อย (C)</t>
        </is>
      </c>
      <c r="M297" t="n">
        <v>1</v>
      </c>
      <c r="N297" t="n">
        <v>13.621503</v>
      </c>
      <c r="O297" t="n">
        <v>100.736011</v>
      </c>
      <c r="P297" t="n">
        <v>1.13</v>
      </c>
      <c r="Q297" t="n">
        <v>18</v>
      </c>
      <c r="R297" t="n">
        <v>3</v>
      </c>
      <c r="S297" s="3" t="n">
        <v>250222</v>
      </c>
      <c r="T297" t="n">
        <v>1</v>
      </c>
      <c r="U297" t="n">
        <v>4</v>
      </c>
      <c r="V297" t="n">
        <v>5</v>
      </c>
      <c r="W297" t="n">
        <v>0.5</v>
      </c>
      <c r="X297" t="inlineStr">
        <is>
          <t>low</t>
        </is>
      </c>
      <c r="Y297" s="3">
        <f>Q297*1000000</f>
        <v/>
      </c>
      <c r="Z297" s="3">
        <f>365*R297*S297*T297</f>
        <v/>
      </c>
      <c r="AA297" s="4">
        <f>Y297/Z297</f>
        <v/>
      </c>
      <c r="AB297" s="4">
        <f>Q297*1000000/(365*R297*S297)</f>
        <v/>
      </c>
      <c r="AC297">
        <f>RANK(AA297,$AA$2:$AA$395,0)</f>
        <v/>
      </c>
    </row>
    <row r="298">
      <c r="A298" t="inlineStr">
        <is>
          <t>zone_481</t>
        </is>
      </c>
      <c r="B298" t="inlineStr">
        <is>
          <t>ทางเข้าท่าอากาศยานสุวรรณภูมิ - บางวัว</t>
        </is>
      </c>
      <c r="C298" t="inlineStr">
        <is>
          <t>สมุทรปราการ</t>
        </is>
      </c>
      <c r="D298" t="n">
        <v>34</v>
      </c>
      <c r="E298" t="inlineStr">
        <is>
          <t>0102</t>
        </is>
      </c>
      <c r="F298" t="inlineStr">
        <is>
          <t>16.1–17.6</t>
        </is>
      </c>
      <c r="G298" t="n">
        <v>13.612895</v>
      </c>
      <c r="H298" t="n">
        <v>100.756125</v>
      </c>
      <c r="I298" t="inlineStr">
        <is>
          <t>hods_aadt_pnt_2568.fid-6461857d_1a0f2643074_4a94</t>
        </is>
      </c>
      <c r="J298" t="inlineStr">
        <is>
          <t>ทางเข้าท่าอากาศยานสุวรรณภูมิ - บางวัว</t>
        </is>
      </c>
      <c r="K298" t="inlineStr">
        <is>
          <t>15+100</t>
        </is>
      </c>
      <c r="L298" t="inlineStr">
        <is>
          <t>สถานีย่อย (C)</t>
        </is>
      </c>
      <c r="M298" t="n">
        <v>1</v>
      </c>
      <c r="N298" t="n">
        <v>13.621503</v>
      </c>
      <c r="O298" t="n">
        <v>100.736011</v>
      </c>
      <c r="P298" t="n">
        <v>2.38</v>
      </c>
      <c r="Q298" t="n">
        <v>5</v>
      </c>
      <c r="R298" t="n">
        <v>3</v>
      </c>
      <c r="S298" s="3" t="n">
        <v>250222</v>
      </c>
      <c r="T298" t="n">
        <v>1</v>
      </c>
      <c r="U298" t="n">
        <v>0</v>
      </c>
      <c r="V298" t="n">
        <v>7</v>
      </c>
      <c r="W298" t="n">
        <v>1.4</v>
      </c>
      <c r="X298" t="inlineStr">
        <is>
          <t>medium</t>
        </is>
      </c>
      <c r="Y298" s="3">
        <f>Q298*1000000</f>
        <v/>
      </c>
      <c r="Z298" s="3">
        <f>365*R298*S298*T298</f>
        <v/>
      </c>
      <c r="AA298" s="4">
        <f>Y298/Z298</f>
        <v/>
      </c>
      <c r="AB298" s="4">
        <f>Q298*1000000/(365*R298*S298)</f>
        <v/>
      </c>
      <c r="AC298">
        <f>RANK(AA298,$AA$2:$AA$395,0)</f>
        <v/>
      </c>
    </row>
    <row r="299">
      <c r="A299" t="inlineStr">
        <is>
          <t>zone_484</t>
        </is>
      </c>
      <c r="B299" t="inlineStr">
        <is>
          <t>ทางเข้าท่าอากาศยานสุวรรณภูมิ - บางวัว</t>
        </is>
      </c>
      <c r="C299" t="inlineStr">
        <is>
          <t>สมุทรปราการ</t>
        </is>
      </c>
      <c r="D299" t="n">
        <v>34</v>
      </c>
      <c r="E299" t="inlineStr">
        <is>
          <t>0102</t>
        </is>
      </c>
      <c r="F299" t="inlineStr">
        <is>
          <t>17.7–18</t>
        </is>
      </c>
      <c r="G299" t="n">
        <v>13.611317</v>
      </c>
      <c r="H299" t="n">
        <v>100.758819</v>
      </c>
      <c r="I299" t="inlineStr">
        <is>
          <t>hods_aadt_pnt_2568.fid-6461857d_1a0f2643074_4a94</t>
        </is>
      </c>
      <c r="J299" t="inlineStr">
        <is>
          <t>ทางเข้าท่าอากาศยานสุวรรณภูมิ - บางวัว</t>
        </is>
      </c>
      <c r="K299" t="inlineStr">
        <is>
          <t>15+100</t>
        </is>
      </c>
      <c r="L299" t="inlineStr">
        <is>
          <t>สถานีย่อย (C)</t>
        </is>
      </c>
      <c r="M299" t="n">
        <v>1</v>
      </c>
      <c r="N299" t="n">
        <v>13.621503</v>
      </c>
      <c r="O299" t="n">
        <v>100.736011</v>
      </c>
      <c r="P299" t="n">
        <v>2.71</v>
      </c>
      <c r="Q299" t="n">
        <v>3</v>
      </c>
      <c r="R299" t="n">
        <v>3</v>
      </c>
      <c r="S299" s="3" t="n">
        <v>250222</v>
      </c>
      <c r="T299" t="n">
        <v>1</v>
      </c>
      <c r="U299" t="n">
        <v>0</v>
      </c>
      <c r="V299" t="n">
        <v>2</v>
      </c>
      <c r="W299" t="n">
        <v>0.6667</v>
      </c>
      <c r="X299" t="inlineStr">
        <is>
          <t>low</t>
        </is>
      </c>
      <c r="Y299" s="3">
        <f>Q299*1000000</f>
        <v/>
      </c>
      <c r="Z299" s="3">
        <f>365*R299*S299*T299</f>
        <v/>
      </c>
      <c r="AA299" s="4">
        <f>Y299/Z299</f>
        <v/>
      </c>
      <c r="AB299" s="4">
        <f>Q299*1000000/(365*R299*S299)</f>
        <v/>
      </c>
      <c r="AC299">
        <f>RANK(AA299,$AA$2:$AA$395,0)</f>
        <v/>
      </c>
    </row>
    <row r="300">
      <c r="A300" t="inlineStr">
        <is>
          <t>zone_485</t>
        </is>
      </c>
      <c r="B300" t="inlineStr">
        <is>
          <t>ทางเข้าท่าอากาศยานสุวรรณภูมิ - บางวัว</t>
        </is>
      </c>
      <c r="C300" t="inlineStr">
        <is>
          <t>สมุทรปราการ</t>
        </is>
      </c>
      <c r="D300" t="n">
        <v>34</v>
      </c>
      <c r="E300" t="inlineStr">
        <is>
          <t>0102</t>
        </is>
      </c>
      <c r="F300" t="inlineStr">
        <is>
          <t>16–16</t>
        </is>
      </c>
      <c r="G300" t="n">
        <v>13.618069</v>
      </c>
      <c r="H300" t="n">
        <v>100.743848</v>
      </c>
      <c r="I300" t="inlineStr">
        <is>
          <t>hods_aadt_pnt_2568.fid-6461857d_1a0f2643074_4a94</t>
        </is>
      </c>
      <c r="J300" t="inlineStr">
        <is>
          <t>ทางเข้าท่าอากาศยานสุวรรณภูมิ - บางวัว</t>
        </is>
      </c>
      <c r="K300" t="inlineStr">
        <is>
          <t>15+100</t>
        </is>
      </c>
      <c r="L300" t="inlineStr">
        <is>
          <t>สถานีย่อย (C)</t>
        </is>
      </c>
      <c r="M300" t="n">
        <v>1</v>
      </c>
      <c r="N300" t="n">
        <v>13.621503</v>
      </c>
      <c r="O300" t="n">
        <v>100.736011</v>
      </c>
      <c r="P300" t="n">
        <v>0.93</v>
      </c>
      <c r="Q300" t="n">
        <v>3</v>
      </c>
      <c r="R300" t="n">
        <v>3</v>
      </c>
      <c r="S300" s="3" t="n">
        <v>250222</v>
      </c>
      <c r="T300" t="n">
        <v>1</v>
      </c>
      <c r="U300" t="n">
        <v>1</v>
      </c>
      <c r="V300" t="n">
        <v>1</v>
      </c>
      <c r="W300" t="n">
        <v>0.6667</v>
      </c>
      <c r="X300" t="inlineStr">
        <is>
          <t>low</t>
        </is>
      </c>
      <c r="Y300" s="3">
        <f>Q300*1000000</f>
        <v/>
      </c>
      <c r="Z300" s="3">
        <f>365*R300*S300*T300</f>
        <v/>
      </c>
      <c r="AA300" s="4">
        <f>Y300/Z300</f>
        <v/>
      </c>
      <c r="AB300" s="4">
        <f>Q300*1000000/(365*R300*S300)</f>
        <v/>
      </c>
      <c r="AC300">
        <f>RANK(AA300,$AA$2:$AA$395,0)</f>
        <v/>
      </c>
    </row>
    <row r="301">
      <c r="A301" t="inlineStr">
        <is>
          <t>zone_487</t>
        </is>
      </c>
      <c r="B301" t="inlineStr">
        <is>
          <t>แขวงรามอินทรา - บางพลี</t>
        </is>
      </c>
      <c r="C301" t="inlineStr">
        <is>
          <t>สมุทรปราการ</t>
        </is>
      </c>
      <c r="D301" t="n">
        <v>9</v>
      </c>
      <c r="E301" t="inlineStr">
        <is>
          <t>0402</t>
        </is>
      </c>
      <c r="F301" t="inlineStr">
        <is>
          <t>63.8–64</t>
        </is>
      </c>
      <c r="G301" t="n">
        <v>13.64948</v>
      </c>
      <c r="H301" t="n">
        <v>100.686918</v>
      </c>
      <c r="I301" t="inlineStr">
        <is>
          <t>hods_aadt_pnt_2568.fid-6461857d_1a0f2643074_4a03</t>
        </is>
      </c>
      <c r="J301" t="inlineStr">
        <is>
          <t>แขวงรามอินทรา - บางพลี</t>
        </is>
      </c>
      <c r="K301" t="inlineStr">
        <is>
          <t>59+500</t>
        </is>
      </c>
      <c r="L301" t="inlineStr">
        <is>
          <t>สถานีย่อย (C)</t>
        </is>
      </c>
      <c r="M301" t="n">
        <v>1</v>
      </c>
      <c r="N301" t="n">
        <v>13.685477</v>
      </c>
      <c r="O301" t="n">
        <v>100.69945</v>
      </c>
      <c r="P301" t="n">
        <v>4.23</v>
      </c>
      <c r="Q301" t="n">
        <v>4</v>
      </c>
      <c r="R301" t="n">
        <v>3</v>
      </c>
      <c r="S301" s="3" t="n">
        <v>117813</v>
      </c>
      <c r="T301" t="n">
        <v>1</v>
      </c>
      <c r="U301" t="n">
        <v>0</v>
      </c>
      <c r="V301" t="n">
        <v>1</v>
      </c>
      <c r="W301" t="n">
        <v>0.25</v>
      </c>
      <c r="X301" t="inlineStr">
        <is>
          <t>low</t>
        </is>
      </c>
      <c r="Y301" s="3">
        <f>Q301*1000000</f>
        <v/>
      </c>
      <c r="Z301" s="3">
        <f>365*R301*S301*T301</f>
        <v/>
      </c>
      <c r="AA301" s="4">
        <f>Y301/Z301</f>
        <v/>
      </c>
      <c r="AB301" s="4">
        <f>Q301*1000000/(365*R301*S301)</f>
        <v/>
      </c>
      <c r="AC301">
        <f>RANK(AA301,$AA$2:$AA$395,0)</f>
        <v/>
      </c>
    </row>
    <row r="302">
      <c r="A302" t="inlineStr">
        <is>
          <t>zone_488</t>
        </is>
      </c>
      <c r="B302" t="inlineStr">
        <is>
          <t>แขวงรามอินทรา - บางพลี</t>
        </is>
      </c>
      <c r="C302" t="inlineStr">
        <is>
          <t>สมุทรปราการ</t>
        </is>
      </c>
      <c r="D302" t="n">
        <v>9</v>
      </c>
      <c r="E302" t="inlineStr">
        <is>
          <t>0401</t>
        </is>
      </c>
      <c r="F302" t="inlineStr">
        <is>
          <t>8.7–64</t>
        </is>
      </c>
      <c r="G302" t="n">
        <v>13.648365</v>
      </c>
      <c r="H302" t="n">
        <v>100.685957</v>
      </c>
      <c r="I302" t="inlineStr">
        <is>
          <t>hods_aadt_pnt_2568.fid-6461857d_1a0f2643074_4a01</t>
        </is>
      </c>
      <c r="J302" t="inlineStr">
        <is>
          <t>บางปะอิน - แขวงรามอินทรา</t>
        </is>
      </c>
      <c r="K302" t="inlineStr">
        <is>
          <t>1+500</t>
        </is>
      </c>
      <c r="L302" t="inlineStr">
        <is>
          <t>สถานีย่อย (C)</t>
        </is>
      </c>
      <c r="M302" t="n">
        <v>2</v>
      </c>
      <c r="N302" t="n">
        <v>14.182401</v>
      </c>
      <c r="O302" t="n">
        <v>100.640628</v>
      </c>
      <c r="P302" t="n">
        <v>59.58</v>
      </c>
      <c r="Q302" t="n">
        <v>13</v>
      </c>
      <c r="R302" t="n">
        <v>3</v>
      </c>
      <c r="S302" s="3" t="n">
        <v>160792</v>
      </c>
      <c r="T302" t="n">
        <v>1</v>
      </c>
      <c r="U302" t="n">
        <v>0</v>
      </c>
      <c r="V302" t="n">
        <v>5</v>
      </c>
      <c r="W302" t="n">
        <v>0.3846</v>
      </c>
      <c r="X302" t="inlineStr">
        <is>
          <t>low</t>
        </is>
      </c>
      <c r="Y302" s="3">
        <f>Q302*1000000</f>
        <v/>
      </c>
      <c r="Z302" s="3">
        <f>365*R302*S302*T302</f>
        <v/>
      </c>
      <c r="AA302" s="4">
        <f>Y302/Z302</f>
        <v/>
      </c>
      <c r="AB302" s="4">
        <f>Q302*1000000/(365*R302*S302)</f>
        <v/>
      </c>
      <c r="AC302">
        <f>RANK(AA302,$AA$2:$AA$395,0)</f>
        <v/>
      </c>
    </row>
    <row r="303">
      <c r="A303" t="inlineStr">
        <is>
          <t>zone_491</t>
        </is>
      </c>
      <c r="B303" t="inlineStr">
        <is>
          <t>ทางเข้าท่าอากาศยานสุวรรณภูมิ - บางวัว</t>
        </is>
      </c>
      <c r="C303" t="inlineStr">
        <is>
          <t>สมุทรปราการ</t>
        </is>
      </c>
      <c r="D303" t="n">
        <v>34</v>
      </c>
      <c r="E303" t="inlineStr">
        <is>
          <t>0102</t>
        </is>
      </c>
      <c r="F303" t="inlineStr">
        <is>
          <t>29–29.4</t>
        </is>
      </c>
      <c r="G303" t="n">
        <v>13.58375</v>
      </c>
      <c r="H303" t="n">
        <v>100.857207</v>
      </c>
      <c r="I303" t="inlineStr">
        <is>
          <t>hods_aadt_pnt_2568.fid-6461857d_1a0f2643074_4a94</t>
        </is>
      </c>
      <c r="J303" t="inlineStr">
        <is>
          <t>ทางเข้าท่าอากาศยานสุวรรณภูมิ - บางวัว</t>
        </is>
      </c>
      <c r="K303" t="inlineStr">
        <is>
          <t>15+100</t>
        </is>
      </c>
      <c r="L303" t="inlineStr">
        <is>
          <t>สถานีย่อย (C)</t>
        </is>
      </c>
      <c r="M303" t="n">
        <v>1</v>
      </c>
      <c r="N303" t="n">
        <v>13.621503</v>
      </c>
      <c r="O303" t="n">
        <v>100.736011</v>
      </c>
      <c r="P303" t="n">
        <v>13.75</v>
      </c>
      <c r="Q303" t="n">
        <v>9</v>
      </c>
      <c r="R303" t="n">
        <v>3</v>
      </c>
      <c r="S303" s="3" t="n">
        <v>250222</v>
      </c>
      <c r="T303" t="n">
        <v>1</v>
      </c>
      <c r="U303" t="n">
        <v>1</v>
      </c>
      <c r="V303" t="n">
        <v>7</v>
      </c>
      <c r="W303" t="n">
        <v>0.8889</v>
      </c>
      <c r="X303" t="inlineStr">
        <is>
          <t>low</t>
        </is>
      </c>
      <c r="Y303" s="3">
        <f>Q303*1000000</f>
        <v/>
      </c>
      <c r="Z303" s="3">
        <f>365*R303*S303*T303</f>
        <v/>
      </c>
      <c r="AA303" s="4">
        <f>Y303/Z303</f>
        <v/>
      </c>
      <c r="AB303" s="4">
        <f>Q303*1000000/(365*R303*S303)</f>
        <v/>
      </c>
      <c r="AC303">
        <f>RANK(AA303,$AA$2:$AA$395,0)</f>
        <v/>
      </c>
    </row>
    <row r="304">
      <c r="A304" t="inlineStr">
        <is>
          <t>zone_493</t>
        </is>
      </c>
      <c r="B304" t="inlineStr">
        <is>
          <t>ทางเข้าท่าอากาศยานสุวรรณภูมิ - บางวัว</t>
        </is>
      </c>
      <c r="C304" t="inlineStr">
        <is>
          <t>สมุทรปราการ</t>
        </is>
      </c>
      <c r="D304" t="n">
        <v>34</v>
      </c>
      <c r="E304" t="inlineStr">
        <is>
          <t>0102</t>
        </is>
      </c>
      <c r="F304" t="inlineStr">
        <is>
          <t>29–29</t>
        </is>
      </c>
      <c r="G304" t="n">
        <v>13.583692</v>
      </c>
      <c r="H304" t="n">
        <v>100.856962</v>
      </c>
      <c r="I304" t="inlineStr">
        <is>
          <t>hods_aadt_pnt_2568.fid-6461857d_1a0f2643074_4a94</t>
        </is>
      </c>
      <c r="J304" t="inlineStr">
        <is>
          <t>ทางเข้าท่าอากาศยานสุวรรณภูมิ - บางวัว</t>
        </is>
      </c>
      <c r="K304" t="inlineStr">
        <is>
          <t>15+100</t>
        </is>
      </c>
      <c r="L304" t="inlineStr">
        <is>
          <t>สถานีย่อย (C)</t>
        </is>
      </c>
      <c r="M304" t="n">
        <v>1</v>
      </c>
      <c r="N304" t="n">
        <v>13.621503</v>
      </c>
      <c r="O304" t="n">
        <v>100.736011</v>
      </c>
      <c r="P304" t="n">
        <v>13.73</v>
      </c>
      <c r="Q304" t="n">
        <v>6</v>
      </c>
      <c r="R304" t="n">
        <v>3</v>
      </c>
      <c r="S304" s="3" t="n">
        <v>250222</v>
      </c>
      <c r="T304" t="n">
        <v>1</v>
      </c>
      <c r="U304" t="n">
        <v>1</v>
      </c>
      <c r="V304" t="n">
        <v>8</v>
      </c>
      <c r="W304" t="n">
        <v>1.5</v>
      </c>
      <c r="X304" t="inlineStr">
        <is>
          <t>medium</t>
        </is>
      </c>
      <c r="Y304" s="3">
        <f>Q304*1000000</f>
        <v/>
      </c>
      <c r="Z304" s="3">
        <f>365*R304*S304*T304</f>
        <v/>
      </c>
      <c r="AA304" s="4">
        <f>Y304/Z304</f>
        <v/>
      </c>
      <c r="AB304" s="4">
        <f>Q304*1000000/(365*R304*S304)</f>
        <v/>
      </c>
      <c r="AC304">
        <f>RANK(AA304,$AA$2:$AA$395,0)</f>
        <v/>
      </c>
    </row>
    <row r="305">
      <c r="A305" t="inlineStr">
        <is>
          <t>zone_496</t>
        </is>
      </c>
      <c r="B305" t="inlineStr">
        <is>
          <t>แขวงคลองสองต้นนุ่น - พิมพา</t>
        </is>
      </c>
      <c r="C305" t="inlineStr">
        <is>
          <t>สมุทรปราการ</t>
        </is>
      </c>
      <c r="D305" t="n">
        <v>7</v>
      </c>
      <c r="E305" t="inlineStr">
        <is>
          <t>0103</t>
        </is>
      </c>
      <c r="F305" t="inlineStr">
        <is>
          <t>36.2–38.6</t>
        </is>
      </c>
      <c r="G305" t="n">
        <v>13.616207</v>
      </c>
      <c r="H305" t="n">
        <v>100.927424</v>
      </c>
      <c r="I305" t="inlineStr">
        <is>
          <t>hods_aadt_pnt_2568.fid-6461857d_1a0f2643074_49ef</t>
        </is>
      </c>
      <c r="J305" t="inlineStr">
        <is>
          <t>แขวงคลองสองต้นนุ่น - พิมพา</t>
        </is>
      </c>
      <c r="K305" t="inlineStr">
        <is>
          <t>17+000</t>
        </is>
      </c>
      <c r="L305" t="inlineStr">
        <is>
          <t>สถานีย่อย (C)</t>
        </is>
      </c>
      <c r="M305" t="n">
        <v>2</v>
      </c>
      <c r="N305" t="n">
        <v>13.7334</v>
      </c>
      <c r="O305" t="n">
        <v>100.795133</v>
      </c>
      <c r="P305" t="n">
        <v>19.34</v>
      </c>
      <c r="Q305" t="n">
        <v>32</v>
      </c>
      <c r="R305" t="n">
        <v>3</v>
      </c>
      <c r="S305" s="3" t="n">
        <v>262343</v>
      </c>
      <c r="T305" t="n">
        <v>1</v>
      </c>
      <c r="U305" t="n">
        <v>1</v>
      </c>
      <c r="V305" t="n">
        <v>2</v>
      </c>
      <c r="W305" t="n">
        <v>0.09379999999999999</v>
      </c>
      <c r="X305" t="inlineStr">
        <is>
          <t>low</t>
        </is>
      </c>
      <c r="Y305" s="3">
        <f>Q305*1000000</f>
        <v/>
      </c>
      <c r="Z305" s="3">
        <f>365*R305*S305*T305</f>
        <v/>
      </c>
      <c r="AA305" s="4">
        <f>Y305/Z305</f>
        <v/>
      </c>
      <c r="AB305" s="4">
        <f>Q305*1000000/(365*R305*S305)</f>
        <v/>
      </c>
      <c r="AC305">
        <f>RANK(AA305,$AA$2:$AA$395,0)</f>
        <v/>
      </c>
    </row>
    <row r="306">
      <c r="A306" t="inlineStr">
        <is>
          <t>zone_497</t>
        </is>
      </c>
      <c r="B306" t="inlineStr">
        <is>
          <t>แขวงคลองสองต้นนุ่น - พิมพา</t>
        </is>
      </c>
      <c r="C306" t="inlineStr">
        <is>
          <t>สมุทรปราการ</t>
        </is>
      </c>
      <c r="D306" t="n">
        <v>7</v>
      </c>
      <c r="E306" t="inlineStr">
        <is>
          <t>0103</t>
        </is>
      </c>
      <c r="F306" t="inlineStr">
        <is>
          <t>35.7–36</t>
        </is>
      </c>
      <c r="G306" t="n">
        <v>13.623785</v>
      </c>
      <c r="H306" t="n">
        <v>100.916061</v>
      </c>
      <c r="I306" t="inlineStr">
        <is>
          <t>hods_aadt_pnt_2568.fid-6461857d_1a0f2643074_49ef</t>
        </is>
      </c>
      <c r="J306" t="inlineStr">
        <is>
          <t>แขวงคลองสองต้นนุ่น - พิมพา</t>
        </is>
      </c>
      <c r="K306" t="inlineStr">
        <is>
          <t>17+000</t>
        </is>
      </c>
      <c r="L306" t="inlineStr">
        <is>
          <t>สถานีย่อย (C)</t>
        </is>
      </c>
      <c r="M306" t="n">
        <v>2</v>
      </c>
      <c r="N306" t="n">
        <v>13.7334</v>
      </c>
      <c r="O306" t="n">
        <v>100.795133</v>
      </c>
      <c r="P306" t="n">
        <v>17.87</v>
      </c>
      <c r="Q306" t="n">
        <v>5</v>
      </c>
      <c r="R306" t="n">
        <v>3</v>
      </c>
      <c r="S306" s="3" t="n">
        <v>262343</v>
      </c>
      <c r="T306" t="n">
        <v>1</v>
      </c>
      <c r="U306" t="n">
        <v>0</v>
      </c>
      <c r="V306" t="n">
        <v>16</v>
      </c>
      <c r="W306" t="n">
        <v>3.2</v>
      </c>
      <c r="X306" t="inlineStr">
        <is>
          <t>high</t>
        </is>
      </c>
      <c r="Y306" s="3">
        <f>Q306*1000000</f>
        <v/>
      </c>
      <c r="Z306" s="3">
        <f>365*R306*S306*T306</f>
        <v/>
      </c>
      <c r="AA306" s="4">
        <f>Y306/Z306</f>
        <v/>
      </c>
      <c r="AB306" s="4">
        <f>Q306*1000000/(365*R306*S306)</f>
        <v/>
      </c>
      <c r="AC306">
        <f>RANK(AA306,$AA$2:$AA$395,0)</f>
        <v/>
      </c>
    </row>
    <row r="307">
      <c r="A307" t="inlineStr">
        <is>
          <t>zone_498</t>
        </is>
      </c>
      <c r="B307" t="inlineStr">
        <is>
          <t>แขวงคลองสองต้นนุ่น - พิมพา</t>
        </is>
      </c>
      <c r="C307" t="inlineStr">
        <is>
          <t>สมุทรปราการ</t>
        </is>
      </c>
      <c r="D307" t="n">
        <v>7</v>
      </c>
      <c r="E307" t="inlineStr">
        <is>
          <t>0103</t>
        </is>
      </c>
      <c r="F307" t="inlineStr">
        <is>
          <t>38.2–38.6</t>
        </is>
      </c>
      <c r="G307" t="n">
        <v>13.61148</v>
      </c>
      <c r="H307" t="n">
        <v>100.9352</v>
      </c>
      <c r="I307" t="inlineStr">
        <is>
          <t>hods_aadt_pnt_2568.fid-6461857d_1a0f2643074_49ef</t>
        </is>
      </c>
      <c r="J307" t="inlineStr">
        <is>
          <t>แขวงคลองสองต้นนุ่น - พิมพา</t>
        </is>
      </c>
      <c r="K307" t="inlineStr">
        <is>
          <t>17+000</t>
        </is>
      </c>
      <c r="L307" t="inlineStr">
        <is>
          <t>สถานีย่อย (C)</t>
        </is>
      </c>
      <c r="M307" t="n">
        <v>2</v>
      </c>
      <c r="N307" t="n">
        <v>13.7334</v>
      </c>
      <c r="O307" t="n">
        <v>100.795133</v>
      </c>
      <c r="P307" t="n">
        <v>20.32</v>
      </c>
      <c r="Q307" t="n">
        <v>7</v>
      </c>
      <c r="R307" t="n">
        <v>3</v>
      </c>
      <c r="S307" s="3" t="n">
        <v>262343</v>
      </c>
      <c r="T307" t="n">
        <v>1</v>
      </c>
      <c r="U307" t="n">
        <v>0</v>
      </c>
      <c r="V307" t="n">
        <v>5</v>
      </c>
      <c r="W307" t="n">
        <v>0.7143</v>
      </c>
      <c r="X307" t="inlineStr">
        <is>
          <t>low</t>
        </is>
      </c>
      <c r="Y307" s="3">
        <f>Q307*1000000</f>
        <v/>
      </c>
      <c r="Z307" s="3">
        <f>365*R307*S307*T307</f>
        <v/>
      </c>
      <c r="AA307" s="4">
        <f>Y307/Z307</f>
        <v/>
      </c>
      <c r="AB307" s="4">
        <f>Q307*1000000/(365*R307*S307)</f>
        <v/>
      </c>
      <c r="AC307">
        <f>RANK(AA307,$AA$2:$AA$395,0)</f>
        <v/>
      </c>
    </row>
    <row r="308">
      <c r="A308" t="inlineStr">
        <is>
          <t>zone_499</t>
        </is>
      </c>
      <c r="B308" t="inlineStr">
        <is>
          <t>แขวงคลองสองต้นนุ่น - พิมพา</t>
        </is>
      </c>
      <c r="C308" t="inlineStr">
        <is>
          <t>สมุทรปราการ</t>
        </is>
      </c>
      <c r="D308" t="n">
        <v>7</v>
      </c>
      <c r="E308" t="inlineStr">
        <is>
          <t>0103</t>
        </is>
      </c>
      <c r="F308" t="inlineStr">
        <is>
          <t>37.6–37.8</t>
        </is>
      </c>
      <c r="G308" t="n">
        <v>13.614871</v>
      </c>
      <c r="H308" t="n">
        <v>100.929804</v>
      </c>
      <c r="I308" t="inlineStr">
        <is>
          <t>hods_aadt_pnt_2568.fid-6461857d_1a0f2643074_49ef</t>
        </is>
      </c>
      <c r="J308" t="inlineStr">
        <is>
          <t>แขวงคลองสองต้นนุ่น - พิมพา</t>
        </is>
      </c>
      <c r="K308" t="inlineStr">
        <is>
          <t>17+000</t>
        </is>
      </c>
      <c r="L308" t="inlineStr">
        <is>
          <t>สถานีย่อย (C)</t>
        </is>
      </c>
      <c r="M308" t="n">
        <v>2</v>
      </c>
      <c r="N308" t="n">
        <v>13.7334</v>
      </c>
      <c r="O308" t="n">
        <v>100.795133</v>
      </c>
      <c r="P308" t="n">
        <v>19.63</v>
      </c>
      <c r="Q308" t="n">
        <v>4</v>
      </c>
      <c r="R308" t="n">
        <v>3</v>
      </c>
      <c r="S308" s="3" t="n">
        <v>262343</v>
      </c>
      <c r="T308" t="n">
        <v>1</v>
      </c>
      <c r="U308" t="n">
        <v>0</v>
      </c>
      <c r="V308" t="n">
        <v>15</v>
      </c>
      <c r="W308" t="n">
        <v>3.75</v>
      </c>
      <c r="X308" t="inlineStr">
        <is>
          <t>high</t>
        </is>
      </c>
      <c r="Y308" s="3">
        <f>Q308*1000000</f>
        <v/>
      </c>
      <c r="Z308" s="3">
        <f>365*R308*S308*T308</f>
        <v/>
      </c>
      <c r="AA308" s="4">
        <f>Y308/Z308</f>
        <v/>
      </c>
      <c r="AB308" s="4">
        <f>Q308*1000000/(365*R308*S308)</f>
        <v/>
      </c>
      <c r="AC308">
        <f>RANK(AA308,$AA$2:$AA$395,0)</f>
        <v/>
      </c>
    </row>
    <row r="309">
      <c r="A309" t="inlineStr">
        <is>
          <t>zone_500</t>
        </is>
      </c>
      <c r="B309" t="inlineStr">
        <is>
          <t>แขวงคลองสองต้นนุ่น - พิมพา</t>
        </is>
      </c>
      <c r="C309" t="inlineStr">
        <is>
          <t>สมุทรปราการ</t>
        </is>
      </c>
      <c r="D309" t="n">
        <v>7</v>
      </c>
      <c r="E309" t="inlineStr">
        <is>
          <t>0103</t>
        </is>
      </c>
      <c r="F309" t="inlineStr">
        <is>
          <t>36–36.5</t>
        </is>
      </c>
      <c r="G309" t="n">
        <v>13.622285</v>
      </c>
      <c r="H309" t="n">
        <v>100.918396</v>
      </c>
      <c r="I309" t="inlineStr">
        <is>
          <t>hods_aadt_pnt_2568.fid-6461857d_1a0f2643074_49ef</t>
        </is>
      </c>
      <c r="J309" t="inlineStr">
        <is>
          <t>แขวงคลองสองต้นนุ่น - พิมพา</t>
        </is>
      </c>
      <c r="K309" t="inlineStr">
        <is>
          <t>17+000</t>
        </is>
      </c>
      <c r="L309" t="inlineStr">
        <is>
          <t>สถานีย่อย (C)</t>
        </is>
      </c>
      <c r="M309" t="n">
        <v>2</v>
      </c>
      <c r="N309" t="n">
        <v>13.7334</v>
      </c>
      <c r="O309" t="n">
        <v>100.795133</v>
      </c>
      <c r="P309" t="n">
        <v>18.17</v>
      </c>
      <c r="Q309" t="n">
        <v>6</v>
      </c>
      <c r="R309" t="n">
        <v>3</v>
      </c>
      <c r="S309" s="3" t="n">
        <v>262343</v>
      </c>
      <c r="T309" t="n">
        <v>1</v>
      </c>
      <c r="U309" t="n">
        <v>0</v>
      </c>
      <c r="V309" t="n">
        <v>0</v>
      </c>
      <c r="W309" t="n">
        <v>0</v>
      </c>
      <c r="X309" t="inlineStr">
        <is>
          <t>low</t>
        </is>
      </c>
      <c r="Y309" s="3">
        <f>Q309*1000000</f>
        <v/>
      </c>
      <c r="Z309" s="3">
        <f>365*R309*S309*T309</f>
        <v/>
      </c>
      <c r="AA309" s="4">
        <f>Y309/Z309</f>
        <v/>
      </c>
      <c r="AB309" s="4">
        <f>Q309*1000000/(365*R309*S309)</f>
        <v/>
      </c>
      <c r="AC309">
        <f>RANK(AA309,$AA$2:$AA$395,0)</f>
        <v/>
      </c>
    </row>
    <row r="310">
      <c r="A310" t="inlineStr">
        <is>
          <t>zone_501</t>
        </is>
      </c>
      <c r="B310" t="inlineStr">
        <is>
          <t>ทางเข้าท่าอากาศยานสุวรรณภูมิ - บางวัว</t>
        </is>
      </c>
      <c r="C310" t="inlineStr">
        <is>
          <t>สมุทรปราการ</t>
        </is>
      </c>
      <c r="D310" t="n">
        <v>34</v>
      </c>
      <c r="E310" t="inlineStr">
        <is>
          <t>0102</t>
        </is>
      </c>
      <c r="F310" t="inlineStr">
        <is>
          <t>22.6–23</t>
        </is>
      </c>
      <c r="G310" t="n">
        <v>13.595081</v>
      </c>
      <c r="H310" t="n">
        <v>100.80336</v>
      </c>
      <c r="I310" t="inlineStr">
        <is>
          <t>hods_aadt_pnt_2568.fid-6461857d_1a0f2643074_4a94</t>
        </is>
      </c>
      <c r="J310" t="inlineStr">
        <is>
          <t>ทางเข้าท่าอากาศยานสุวรรณภูมิ - บางวัว</t>
        </is>
      </c>
      <c r="K310" t="inlineStr">
        <is>
          <t>15+100</t>
        </is>
      </c>
      <c r="L310" t="inlineStr">
        <is>
          <t>สถานีย่อย (C)</t>
        </is>
      </c>
      <c r="M310" t="n">
        <v>1</v>
      </c>
      <c r="N310" t="n">
        <v>13.621503</v>
      </c>
      <c r="O310" t="n">
        <v>100.736011</v>
      </c>
      <c r="P310" t="n">
        <v>7.85</v>
      </c>
      <c r="Q310" t="n">
        <v>10</v>
      </c>
      <c r="R310" t="n">
        <v>3</v>
      </c>
      <c r="S310" s="3" t="n">
        <v>250222</v>
      </c>
      <c r="T310" t="n">
        <v>1</v>
      </c>
      <c r="U310" t="n">
        <v>1</v>
      </c>
      <c r="V310" t="n">
        <v>5</v>
      </c>
      <c r="W310" t="n">
        <v>0.6</v>
      </c>
      <c r="X310" t="inlineStr">
        <is>
          <t>low</t>
        </is>
      </c>
      <c r="Y310" s="3">
        <f>Q310*1000000</f>
        <v/>
      </c>
      <c r="Z310" s="3">
        <f>365*R310*S310*T310</f>
        <v/>
      </c>
      <c r="AA310" s="4">
        <f>Y310/Z310</f>
        <v/>
      </c>
      <c r="AB310" s="4">
        <f>Q310*1000000/(365*R310*S310)</f>
        <v/>
      </c>
      <c r="AC310">
        <f>RANK(AA310,$AA$2:$AA$395,0)</f>
        <v/>
      </c>
    </row>
    <row r="311">
      <c r="A311" t="inlineStr">
        <is>
          <t>zone_503</t>
        </is>
      </c>
      <c r="B311" t="inlineStr">
        <is>
          <t>บางตำหรุ - คลองด่าน</t>
        </is>
      </c>
      <c r="C311" t="inlineStr">
        <is>
          <t>สมุทรปราการ</t>
        </is>
      </c>
      <c r="D311" t="n">
        <v>3</v>
      </c>
      <c r="E311" t="inlineStr">
        <is>
          <t>0104</t>
        </is>
      </c>
      <c r="F311" t="inlineStr">
        <is>
          <t>48.3–48.45</t>
        </is>
      </c>
      <c r="G311" t="n">
        <v>13.503287</v>
      </c>
      <c r="H311" t="n">
        <v>100.753739</v>
      </c>
      <c r="I311" t="inlineStr">
        <is>
          <t>hods_aadt_pnt_2568.fid-6461857d_1a0f2643074_499b</t>
        </is>
      </c>
      <c r="J311" t="inlineStr">
        <is>
          <t>บางตำหรุ - คลองด่าน</t>
        </is>
      </c>
      <c r="K311" t="inlineStr">
        <is>
          <t>40+800</t>
        </is>
      </c>
      <c r="L311" t="inlineStr">
        <is>
          <t>สถานีย่อย (C)</t>
        </is>
      </c>
      <c r="M311" t="n">
        <v>1</v>
      </c>
      <c r="N311" t="n">
        <v>13.515172</v>
      </c>
      <c r="O311" t="n">
        <v>100.684466</v>
      </c>
      <c r="P311" t="n">
        <v>7.61</v>
      </c>
      <c r="Q311" t="n">
        <v>3</v>
      </c>
      <c r="R311" t="n">
        <v>3</v>
      </c>
      <c r="S311" s="3" t="n">
        <v>26664</v>
      </c>
      <c r="T311" t="n">
        <v>1</v>
      </c>
      <c r="U311" t="n">
        <v>0</v>
      </c>
      <c r="V311" t="n">
        <v>1</v>
      </c>
      <c r="W311" t="n">
        <v>0.3333</v>
      </c>
      <c r="X311" t="inlineStr">
        <is>
          <t>low</t>
        </is>
      </c>
      <c r="Y311" s="3">
        <f>Q311*1000000</f>
        <v/>
      </c>
      <c r="Z311" s="3">
        <f>365*R311*S311*T311</f>
        <v/>
      </c>
      <c r="AA311" s="4">
        <f>Y311/Z311</f>
        <v/>
      </c>
      <c r="AB311" s="4">
        <f>Q311*1000000/(365*R311*S311)</f>
        <v/>
      </c>
      <c r="AC311">
        <f>RANK(AA311,$AA$2:$AA$395,0)</f>
        <v/>
      </c>
    </row>
    <row r="312">
      <c r="A312" t="inlineStr">
        <is>
          <t>zone_505</t>
        </is>
      </c>
      <c r="B312" t="inlineStr">
        <is>
          <t>ทางเข้าท่าอากาศยานสุวรรณภูมิ - บางวัว</t>
        </is>
      </c>
      <c r="C312" t="inlineStr">
        <is>
          <t>สมุทรปราการ</t>
        </is>
      </c>
      <c r="D312" t="n">
        <v>34</v>
      </c>
      <c r="E312" t="inlineStr">
        <is>
          <t>0102</t>
        </is>
      </c>
      <c r="F312" t="inlineStr">
        <is>
          <t>19–19.3</t>
        </is>
      </c>
      <c r="G312" t="n">
        <v>13.607523</v>
      </c>
      <c r="H312" t="n">
        <v>100.769421</v>
      </c>
      <c r="I312" t="inlineStr">
        <is>
          <t>hods_aadt_pnt_2568.fid-6461857d_1a0f2643074_4a94</t>
        </is>
      </c>
      <c r="J312" t="inlineStr">
        <is>
          <t>ทางเข้าท่าอากาศยานสุวรรณภูมิ - บางวัว</t>
        </is>
      </c>
      <c r="K312" t="inlineStr">
        <is>
          <t>15+100</t>
        </is>
      </c>
      <c r="L312" t="inlineStr">
        <is>
          <t>สถานีย่อย (C)</t>
        </is>
      </c>
      <c r="M312" t="n">
        <v>1</v>
      </c>
      <c r="N312" t="n">
        <v>13.621503</v>
      </c>
      <c r="O312" t="n">
        <v>100.736011</v>
      </c>
      <c r="P312" t="n">
        <v>3.93</v>
      </c>
      <c r="Q312" t="n">
        <v>9</v>
      </c>
      <c r="R312" t="n">
        <v>3</v>
      </c>
      <c r="S312" s="3" t="n">
        <v>250222</v>
      </c>
      <c r="T312" t="n">
        <v>1</v>
      </c>
      <c r="U312" t="n">
        <v>1</v>
      </c>
      <c r="V312" t="n">
        <v>9</v>
      </c>
      <c r="W312" t="n">
        <v>1.1111</v>
      </c>
      <c r="X312" t="inlineStr">
        <is>
          <t>medium</t>
        </is>
      </c>
      <c r="Y312" s="3">
        <f>Q312*1000000</f>
        <v/>
      </c>
      <c r="Z312" s="3">
        <f>365*R312*S312*T312</f>
        <v/>
      </c>
      <c r="AA312" s="4">
        <f>Y312/Z312</f>
        <v/>
      </c>
      <c r="AB312" s="4">
        <f>Q312*1000000/(365*R312*S312)</f>
        <v/>
      </c>
      <c r="AC312">
        <f>RANK(AA312,$AA$2:$AA$395,0)</f>
        <v/>
      </c>
    </row>
    <row r="313">
      <c r="A313" t="inlineStr">
        <is>
          <t>zone_506</t>
        </is>
      </c>
      <c r="B313" t="inlineStr">
        <is>
          <t>ทางเข้าท่าอากาศยานสุวรรณภูมิ - บางวัว</t>
        </is>
      </c>
      <c r="C313" t="inlineStr">
        <is>
          <t>สมุทรปราการ</t>
        </is>
      </c>
      <c r="D313" t="n">
        <v>34</v>
      </c>
      <c r="E313" t="inlineStr">
        <is>
          <t>0102</t>
        </is>
      </c>
      <c r="F313" t="inlineStr">
        <is>
          <t>19–19.4</t>
        </is>
      </c>
      <c r="G313" t="n">
        <v>13.607011</v>
      </c>
      <c r="H313" t="n">
        <v>100.770849</v>
      </c>
      <c r="I313" t="inlineStr">
        <is>
          <t>hods_aadt_pnt_2568.fid-6461857d_1a0f2643074_4a94</t>
        </is>
      </c>
      <c r="J313" t="inlineStr">
        <is>
          <t>ทางเข้าท่าอากาศยานสุวรรณภูมิ - บางวัว</t>
        </is>
      </c>
      <c r="K313" t="inlineStr">
        <is>
          <t>15+100</t>
        </is>
      </c>
      <c r="L313" t="inlineStr">
        <is>
          <t>สถานีย่อย (C)</t>
        </is>
      </c>
      <c r="M313" t="n">
        <v>1</v>
      </c>
      <c r="N313" t="n">
        <v>13.621503</v>
      </c>
      <c r="O313" t="n">
        <v>100.736011</v>
      </c>
      <c r="P313" t="n">
        <v>4.1</v>
      </c>
      <c r="Q313" t="n">
        <v>3</v>
      </c>
      <c r="R313" t="n">
        <v>3</v>
      </c>
      <c r="S313" s="3" t="n">
        <v>250222</v>
      </c>
      <c r="T313" t="n">
        <v>1</v>
      </c>
      <c r="U313" t="n">
        <v>1</v>
      </c>
      <c r="V313" t="n">
        <v>3</v>
      </c>
      <c r="W313" t="n">
        <v>1.3333</v>
      </c>
      <c r="X313" t="inlineStr">
        <is>
          <t>medium</t>
        </is>
      </c>
      <c r="Y313" s="3">
        <f>Q313*1000000</f>
        <v/>
      </c>
      <c r="Z313" s="3">
        <f>365*R313*S313*T313</f>
        <v/>
      </c>
      <c r="AA313" s="4">
        <f>Y313/Z313</f>
        <v/>
      </c>
      <c r="AB313" s="4">
        <f>Q313*1000000/(365*R313*S313)</f>
        <v/>
      </c>
      <c r="AC313">
        <f>RANK(AA313,$AA$2:$AA$395,0)</f>
        <v/>
      </c>
    </row>
    <row r="314">
      <c r="A314" t="inlineStr">
        <is>
          <t>zone_507</t>
        </is>
      </c>
      <c r="B314" t="inlineStr">
        <is>
          <t>ทางเข้าท่าอากาศยานสุวรรณภูมิ - บางวัว</t>
        </is>
      </c>
      <c r="C314" t="inlineStr">
        <is>
          <t>สมุทรปราการ</t>
        </is>
      </c>
      <c r="D314" t="n">
        <v>34</v>
      </c>
      <c r="E314" t="inlineStr">
        <is>
          <t>0102</t>
        </is>
      </c>
      <c r="F314" t="inlineStr">
        <is>
          <t>20–20.2</t>
        </is>
      </c>
      <c r="G314" t="n">
        <v>13.603925</v>
      </c>
      <c r="H314" t="n">
        <v>100.779447</v>
      </c>
      <c r="I314" t="inlineStr">
        <is>
          <t>hods_aadt_pnt_2568.fid-6461857d_1a0f2643074_4a94</t>
        </is>
      </c>
      <c r="J314" t="inlineStr">
        <is>
          <t>ทางเข้าท่าอากาศยานสุวรรณภูมิ - บางวัว</t>
        </is>
      </c>
      <c r="K314" t="inlineStr">
        <is>
          <t>15+100</t>
        </is>
      </c>
      <c r="L314" t="inlineStr">
        <is>
          <t>สถานีย่อย (C)</t>
        </is>
      </c>
      <c r="M314" t="n">
        <v>1</v>
      </c>
      <c r="N314" t="n">
        <v>13.621503</v>
      </c>
      <c r="O314" t="n">
        <v>100.736011</v>
      </c>
      <c r="P314" t="n">
        <v>5.08</v>
      </c>
      <c r="Q314" t="n">
        <v>3</v>
      </c>
      <c r="R314" t="n">
        <v>3</v>
      </c>
      <c r="S314" s="3" t="n">
        <v>250222</v>
      </c>
      <c r="T314" t="n">
        <v>1</v>
      </c>
      <c r="U314" t="n">
        <v>1</v>
      </c>
      <c r="V314" t="n">
        <v>2</v>
      </c>
      <c r="W314" t="n">
        <v>1</v>
      </c>
      <c r="X314" t="inlineStr">
        <is>
          <t>medium</t>
        </is>
      </c>
      <c r="Y314" s="3">
        <f>Q314*1000000</f>
        <v/>
      </c>
      <c r="Z314" s="3">
        <f>365*R314*S314*T314</f>
        <v/>
      </c>
      <c r="AA314" s="4">
        <f>Y314/Z314</f>
        <v/>
      </c>
      <c r="AB314" s="4">
        <f>Q314*1000000/(365*R314*S314)</f>
        <v/>
      </c>
      <c r="AC314">
        <f>RANK(AA314,$AA$2:$AA$395,0)</f>
        <v/>
      </c>
    </row>
    <row r="315">
      <c r="A315" t="inlineStr">
        <is>
          <t>zone_508</t>
        </is>
      </c>
      <c r="B315" t="inlineStr">
        <is>
          <t>ทางเข้าท่าอากาศยานสุวรรณภูมิ - บางวัว</t>
        </is>
      </c>
      <c r="C315" t="inlineStr">
        <is>
          <t>สมุทรปราการ</t>
        </is>
      </c>
      <c r="D315" t="n">
        <v>34</v>
      </c>
      <c r="E315" t="inlineStr">
        <is>
          <t>0102</t>
        </is>
      </c>
      <c r="F315" t="inlineStr">
        <is>
          <t>19.7–19.8</t>
        </is>
      </c>
      <c r="G315" t="n">
        <v>13.604938</v>
      </c>
      <c r="H315" t="n">
        <v>100.775891</v>
      </c>
      <c r="I315" t="inlineStr">
        <is>
          <t>hods_aadt_pnt_2568.fid-6461857d_1a0f2643074_4a94</t>
        </is>
      </c>
      <c r="J315" t="inlineStr">
        <is>
          <t>ทางเข้าท่าอากาศยานสุวรรณภูมิ - บางวัว</t>
        </is>
      </c>
      <c r="K315" t="inlineStr">
        <is>
          <t>15+100</t>
        </is>
      </c>
      <c r="L315" t="inlineStr">
        <is>
          <t>สถานีย่อย (C)</t>
        </is>
      </c>
      <c r="M315" t="n">
        <v>1</v>
      </c>
      <c r="N315" t="n">
        <v>13.621503</v>
      </c>
      <c r="O315" t="n">
        <v>100.736011</v>
      </c>
      <c r="P315" t="n">
        <v>4.69</v>
      </c>
      <c r="Q315" t="n">
        <v>3</v>
      </c>
      <c r="R315" t="n">
        <v>3</v>
      </c>
      <c r="S315" s="3" t="n">
        <v>250222</v>
      </c>
      <c r="T315" t="n">
        <v>1</v>
      </c>
      <c r="U315" t="n">
        <v>2</v>
      </c>
      <c r="V315" t="n">
        <v>0</v>
      </c>
      <c r="W315" t="n">
        <v>0.6667</v>
      </c>
      <c r="X315" t="inlineStr">
        <is>
          <t>low</t>
        </is>
      </c>
      <c r="Y315" s="3">
        <f>Q315*1000000</f>
        <v/>
      </c>
      <c r="Z315" s="3">
        <f>365*R315*S315*T315</f>
        <v/>
      </c>
      <c r="AA315" s="4">
        <f>Y315/Z315</f>
        <v/>
      </c>
      <c r="AB315" s="4">
        <f>Q315*1000000/(365*R315*S315)</f>
        <v/>
      </c>
      <c r="AC315">
        <f>RANK(AA315,$AA$2:$AA$395,0)</f>
        <v/>
      </c>
    </row>
    <row r="316">
      <c r="A316" t="inlineStr">
        <is>
          <t>zone_509</t>
        </is>
      </c>
      <c r="B316" t="inlineStr">
        <is>
          <t>ทางเข้าท่าอากาศยานสุวรรณภูมิ - บางวัว</t>
        </is>
      </c>
      <c r="C316" t="inlineStr">
        <is>
          <t>สมุทรปราการ</t>
        </is>
      </c>
      <c r="D316" t="n">
        <v>34</v>
      </c>
      <c r="E316" t="inlineStr">
        <is>
          <t>0102</t>
        </is>
      </c>
      <c r="F316" t="inlineStr">
        <is>
          <t>26–27</t>
        </is>
      </c>
      <c r="G316" t="n">
        <v>13.58854</v>
      </c>
      <c r="H316" t="n">
        <v>100.834672</v>
      </c>
      <c r="I316" t="inlineStr">
        <is>
          <t>hods_aadt_pnt_2568.fid-6461857d_1a0f2643074_4a94</t>
        </is>
      </c>
      <c r="J316" t="inlineStr">
        <is>
          <t>ทางเข้าท่าอากาศยานสุวรรณภูมิ - บางวัว</t>
        </is>
      </c>
      <c r="K316" t="inlineStr">
        <is>
          <t>15+100</t>
        </is>
      </c>
      <c r="L316" t="inlineStr">
        <is>
          <t>สถานีย่อย (C)</t>
        </is>
      </c>
      <c r="M316" t="n">
        <v>1</v>
      </c>
      <c r="N316" t="n">
        <v>13.621503</v>
      </c>
      <c r="O316" t="n">
        <v>100.736011</v>
      </c>
      <c r="P316" t="n">
        <v>11.28</v>
      </c>
      <c r="Q316" t="n">
        <v>21</v>
      </c>
      <c r="R316" t="n">
        <v>3</v>
      </c>
      <c r="S316" s="3" t="n">
        <v>250222</v>
      </c>
      <c r="T316" t="n">
        <v>1</v>
      </c>
      <c r="U316" t="n">
        <v>3</v>
      </c>
      <c r="V316" t="n">
        <v>5</v>
      </c>
      <c r="W316" t="n">
        <v>0.381</v>
      </c>
      <c r="X316" t="inlineStr">
        <is>
          <t>low</t>
        </is>
      </c>
      <c r="Y316" s="3">
        <f>Q316*1000000</f>
        <v/>
      </c>
      <c r="Z316" s="3">
        <f>365*R316*S316*T316</f>
        <v/>
      </c>
      <c r="AA316" s="4">
        <f>Y316/Z316</f>
        <v/>
      </c>
      <c r="AB316" s="4">
        <f>Q316*1000000/(365*R316*S316)</f>
        <v/>
      </c>
      <c r="AC316">
        <f>RANK(AA316,$AA$2:$AA$395,0)</f>
        <v/>
      </c>
    </row>
    <row r="317">
      <c r="A317" t="inlineStr">
        <is>
          <t>zone_510</t>
        </is>
      </c>
      <c r="B317" t="inlineStr">
        <is>
          <t>ทางเข้าท่าอากาศยานสุวรรณภูมิ - บางวัว</t>
        </is>
      </c>
      <c r="C317" t="inlineStr">
        <is>
          <t>สมุทรปราการ</t>
        </is>
      </c>
      <c r="D317" t="n">
        <v>34</v>
      </c>
      <c r="E317" t="inlineStr">
        <is>
          <t>0102</t>
        </is>
      </c>
      <c r="F317" t="inlineStr">
        <is>
          <t>27–27</t>
        </is>
      </c>
      <c r="G317" t="n">
        <v>13.587485</v>
      </c>
      <c r="H317" t="n">
        <v>100.839111</v>
      </c>
      <c r="I317" t="inlineStr">
        <is>
          <t>hods_aadt_pnt_2568.fid-6461857d_1a0f2643074_4a94</t>
        </is>
      </c>
      <c r="J317" t="inlineStr">
        <is>
          <t>ทางเข้าท่าอากาศยานสุวรรณภูมิ - บางวัว</t>
        </is>
      </c>
      <c r="K317" t="inlineStr">
        <is>
          <t>15+100</t>
        </is>
      </c>
      <c r="L317" t="inlineStr">
        <is>
          <t>สถานีย่อย (C)</t>
        </is>
      </c>
      <c r="M317" t="n">
        <v>1</v>
      </c>
      <c r="N317" t="n">
        <v>13.621503</v>
      </c>
      <c r="O317" t="n">
        <v>100.736011</v>
      </c>
      <c r="P317" t="n">
        <v>11.77</v>
      </c>
      <c r="Q317" t="n">
        <v>7</v>
      </c>
      <c r="R317" t="n">
        <v>3</v>
      </c>
      <c r="S317" s="3" t="n">
        <v>250222</v>
      </c>
      <c r="T317" t="n">
        <v>1</v>
      </c>
      <c r="U317" t="n">
        <v>0</v>
      </c>
      <c r="V317" t="n">
        <v>9</v>
      </c>
      <c r="W317" t="n">
        <v>1.2857</v>
      </c>
      <c r="X317" t="inlineStr">
        <is>
          <t>medium</t>
        </is>
      </c>
      <c r="Y317" s="3">
        <f>Q317*1000000</f>
        <v/>
      </c>
      <c r="Z317" s="3">
        <f>365*R317*S317*T317</f>
        <v/>
      </c>
      <c r="AA317" s="4">
        <f>Y317/Z317</f>
        <v/>
      </c>
      <c r="AB317" s="4">
        <f>Q317*1000000/(365*R317*S317)</f>
        <v/>
      </c>
      <c r="AC317">
        <f>RANK(AA317,$AA$2:$AA$395,0)</f>
        <v/>
      </c>
    </row>
    <row r="318">
      <c r="A318" t="inlineStr">
        <is>
          <t>zone_511</t>
        </is>
      </c>
      <c r="B318" t="inlineStr">
        <is>
          <t>ทางเข้าท่าอากาศยานสุวรรณภูมิ - บางวัว</t>
        </is>
      </c>
      <c r="C318" t="inlineStr">
        <is>
          <t>สมุทรปราการ</t>
        </is>
      </c>
      <c r="D318" t="n">
        <v>34</v>
      </c>
      <c r="E318" t="inlineStr">
        <is>
          <t>0102</t>
        </is>
      </c>
      <c r="F318" t="inlineStr">
        <is>
          <t>21–21.149</t>
        </is>
      </c>
      <c r="G318" t="n">
        <v>13.6013</v>
      </c>
      <c r="H318" t="n">
        <v>100.78676</v>
      </c>
      <c r="I318" t="inlineStr">
        <is>
          <t>hods_aadt_pnt_2568.fid-6461857d_1a0f2643074_4a94</t>
        </is>
      </c>
      <c r="J318" t="inlineStr">
        <is>
          <t>ทางเข้าท่าอากาศยานสุวรรณภูมิ - บางวัว</t>
        </is>
      </c>
      <c r="K318" t="inlineStr">
        <is>
          <t>15+100</t>
        </is>
      </c>
      <c r="L318" t="inlineStr">
        <is>
          <t>สถานีย่อย (C)</t>
        </is>
      </c>
      <c r="M318" t="n">
        <v>1</v>
      </c>
      <c r="N318" t="n">
        <v>13.621503</v>
      </c>
      <c r="O318" t="n">
        <v>100.736011</v>
      </c>
      <c r="P318" t="n">
        <v>5.93</v>
      </c>
      <c r="Q318" t="n">
        <v>6</v>
      </c>
      <c r="R318" t="n">
        <v>3</v>
      </c>
      <c r="S318" s="3" t="n">
        <v>250222</v>
      </c>
      <c r="T318" t="n">
        <v>1</v>
      </c>
      <c r="U318" t="n">
        <v>0</v>
      </c>
      <c r="V318" t="n">
        <v>2</v>
      </c>
      <c r="W318" t="n">
        <v>0.3333</v>
      </c>
      <c r="X318" t="inlineStr">
        <is>
          <t>low</t>
        </is>
      </c>
      <c r="Y318" s="3">
        <f>Q318*1000000</f>
        <v/>
      </c>
      <c r="Z318" s="3">
        <f>365*R318*S318*T318</f>
        <v/>
      </c>
      <c r="AA318" s="4">
        <f>Y318/Z318</f>
        <v/>
      </c>
      <c r="AB318" s="4">
        <f>Q318*1000000/(365*R318*S318)</f>
        <v/>
      </c>
      <c r="AC318">
        <f>RANK(AA318,$AA$2:$AA$395,0)</f>
        <v/>
      </c>
    </row>
    <row r="319">
      <c r="A319" t="inlineStr">
        <is>
          <t>zone_514</t>
        </is>
      </c>
      <c r="B319" t="inlineStr">
        <is>
          <t>บางนา - ทางเข้าท่าอากาศยานสุวรรณภูมิ</t>
        </is>
      </c>
      <c r="C319" t="inlineStr">
        <is>
          <t>สมุทรปราการ</t>
        </is>
      </c>
      <c r="D319" t="n">
        <v>34</v>
      </c>
      <c r="E319" t="inlineStr">
        <is>
          <t>0101</t>
        </is>
      </c>
      <c r="F319" t="inlineStr">
        <is>
          <t>9.8–10</t>
        </is>
      </c>
      <c r="G319" t="n">
        <v>13.643646</v>
      </c>
      <c r="H319" t="n">
        <v>100.693228</v>
      </c>
      <c r="I319" t="inlineStr">
        <is>
          <t>hods_aadt_pnt_2568.fid-6461857d_1a0f2643074_4a93</t>
        </is>
      </c>
      <c r="J319" t="inlineStr">
        <is>
          <t>บางนา - ทางเข้าท่าอากาศยานสุวรรณภูมิ</t>
        </is>
      </c>
      <c r="K319" t="inlineStr">
        <is>
          <t>3+904</t>
        </is>
      </c>
      <c r="L319" t="inlineStr">
        <is>
          <t>สถานีย่อย (C)</t>
        </is>
      </c>
      <c r="M319" t="n">
        <v>1</v>
      </c>
      <c r="N319" t="n">
        <v>13.666173</v>
      </c>
      <c r="O319" t="n">
        <v>100.642233</v>
      </c>
      <c r="P319" t="n">
        <v>6.05</v>
      </c>
      <c r="Q319" t="n">
        <v>3</v>
      </c>
      <c r="R319" t="n">
        <v>3</v>
      </c>
      <c r="S319" s="3" t="n">
        <v>210050</v>
      </c>
      <c r="T319" t="n">
        <v>1</v>
      </c>
      <c r="U319" t="n">
        <v>1</v>
      </c>
      <c r="V319" t="n">
        <v>1</v>
      </c>
      <c r="W319" t="n">
        <v>0.6667</v>
      </c>
      <c r="X319" t="inlineStr">
        <is>
          <t>low</t>
        </is>
      </c>
      <c r="Y319" s="3">
        <f>Q319*1000000</f>
        <v/>
      </c>
      <c r="Z319" s="3">
        <f>365*R319*S319*T319</f>
        <v/>
      </c>
      <c r="AA319" s="4">
        <f>Y319/Z319</f>
        <v/>
      </c>
      <c r="AB319" s="4">
        <f>Q319*1000000/(365*R319*S319)</f>
        <v/>
      </c>
      <c r="AC319">
        <f>RANK(AA319,$AA$2:$AA$395,0)</f>
        <v/>
      </c>
    </row>
    <row r="320">
      <c r="A320" t="inlineStr">
        <is>
          <t>zone_515</t>
        </is>
      </c>
      <c r="B320" t="inlineStr">
        <is>
          <t>บางตำหรุ - คลองด่าน</t>
        </is>
      </c>
      <c r="C320" t="inlineStr">
        <is>
          <t>สมุทรปราการ</t>
        </is>
      </c>
      <c r="D320" t="n">
        <v>3</v>
      </c>
      <c r="E320" t="inlineStr">
        <is>
          <t>0104</t>
        </is>
      </c>
      <c r="F320" t="inlineStr">
        <is>
          <t>51.85–52.02</t>
        </is>
      </c>
      <c r="G320" t="n">
        <v>13.509601</v>
      </c>
      <c r="H320" t="n">
        <v>100.782876</v>
      </c>
      <c r="I320" t="inlineStr">
        <is>
          <t>hods_aadt_pnt_2568.fid-6461857d_1a0f2643074_499b</t>
        </is>
      </c>
      <c r="J320" t="inlineStr">
        <is>
          <t>บางตำหรุ - คลองด่าน</t>
        </is>
      </c>
      <c r="K320" t="inlineStr">
        <is>
          <t>40+800</t>
        </is>
      </c>
      <c r="L320" t="inlineStr">
        <is>
          <t>สถานีย่อย (C)</t>
        </is>
      </c>
      <c r="M320" t="n">
        <v>1</v>
      </c>
      <c r="N320" t="n">
        <v>13.515172</v>
      </c>
      <c r="O320" t="n">
        <v>100.684466</v>
      </c>
      <c r="P320" t="n">
        <v>10.66</v>
      </c>
      <c r="Q320" t="n">
        <v>4</v>
      </c>
      <c r="R320" t="n">
        <v>3</v>
      </c>
      <c r="S320" s="3" t="n">
        <v>26664</v>
      </c>
      <c r="T320" t="n">
        <v>1</v>
      </c>
      <c r="U320" t="n">
        <v>1</v>
      </c>
      <c r="V320" t="n">
        <v>4</v>
      </c>
      <c r="W320" t="n">
        <v>1.25</v>
      </c>
      <c r="X320" t="inlineStr">
        <is>
          <t>medium</t>
        </is>
      </c>
      <c r="Y320" s="3">
        <f>Q320*1000000</f>
        <v/>
      </c>
      <c r="Z320" s="3">
        <f>365*R320*S320*T320</f>
        <v/>
      </c>
      <c r="AA320" s="4">
        <f>Y320/Z320</f>
        <v/>
      </c>
      <c r="AB320" s="4">
        <f>Q320*1000000/(365*R320*S320)</f>
        <v/>
      </c>
      <c r="AC320">
        <f>RANK(AA320,$AA$2:$AA$395,0)</f>
        <v/>
      </c>
    </row>
    <row r="321">
      <c r="A321" t="inlineStr">
        <is>
          <t>zone_517</t>
        </is>
      </c>
      <c r="B321" t="inlineStr">
        <is>
          <t>บางตำหรุ - คลองด่าน</t>
        </is>
      </c>
      <c r="C321" t="inlineStr">
        <is>
          <t>สมุทรปราการ</t>
        </is>
      </c>
      <c r="D321" t="n">
        <v>3</v>
      </c>
      <c r="E321" t="inlineStr">
        <is>
          <t>0104</t>
        </is>
      </c>
      <c r="F321" t="inlineStr">
        <is>
          <t>54.7–54.725</t>
        </is>
      </c>
      <c r="G321" t="n">
        <v>13.509765</v>
      </c>
      <c r="H321" t="n">
        <v>100.807378</v>
      </c>
      <c r="I321" t="inlineStr">
        <is>
          <t>hods_aadt_pnt_2568.fid-6461857d_1a0f2643074_499b</t>
        </is>
      </c>
      <c r="J321" t="inlineStr">
        <is>
          <t>บางตำหรุ - คลองด่าน</t>
        </is>
      </c>
      <c r="K321" t="inlineStr">
        <is>
          <t>40+800</t>
        </is>
      </c>
      <c r="L321" t="inlineStr">
        <is>
          <t>สถานีย่อย (C)</t>
        </is>
      </c>
      <c r="M321" t="n">
        <v>1</v>
      </c>
      <c r="N321" t="n">
        <v>13.515172</v>
      </c>
      <c r="O321" t="n">
        <v>100.684466</v>
      </c>
      <c r="P321" t="n">
        <v>13.3</v>
      </c>
      <c r="Q321" t="n">
        <v>3</v>
      </c>
      <c r="R321" t="n">
        <v>3</v>
      </c>
      <c r="S321" s="3" t="n">
        <v>26664</v>
      </c>
      <c r="T321" t="n">
        <v>1</v>
      </c>
      <c r="U321" t="n">
        <v>1</v>
      </c>
      <c r="V321" t="n">
        <v>1</v>
      </c>
      <c r="W321" t="n">
        <v>0.6667</v>
      </c>
      <c r="X321" t="inlineStr">
        <is>
          <t>low</t>
        </is>
      </c>
      <c r="Y321" s="3">
        <f>Q321*1000000</f>
        <v/>
      </c>
      <c r="Z321" s="3">
        <f>365*R321*S321*T321</f>
        <v/>
      </c>
      <c r="AA321" s="4">
        <f>Y321/Z321</f>
        <v/>
      </c>
      <c r="AB321" s="4">
        <f>Q321*1000000/(365*R321*S321)</f>
        <v/>
      </c>
      <c r="AC321">
        <f>RANK(AA321,$AA$2:$AA$395,0)</f>
        <v/>
      </c>
    </row>
    <row r="322">
      <c r="A322" t="inlineStr">
        <is>
          <t>zone_520</t>
        </is>
      </c>
      <c r="B322" t="inlineStr">
        <is>
          <t>ทางเข้าท่าอากาศยานสุวรรณภูมิ - บางวัว</t>
        </is>
      </c>
      <c r="C322" t="inlineStr">
        <is>
          <t>สมุทรปราการ</t>
        </is>
      </c>
      <c r="D322" t="n">
        <v>34</v>
      </c>
      <c r="E322" t="inlineStr">
        <is>
          <t>0102</t>
        </is>
      </c>
      <c r="F322" t="inlineStr">
        <is>
          <t>30–30</t>
        </is>
      </c>
      <c r="G322" t="n">
        <v>13.581901</v>
      </c>
      <c r="H322" t="n">
        <v>100.865908</v>
      </c>
      <c r="I322" t="inlineStr">
        <is>
          <t>hods_aadt_pnt_2568.fid-6461857d_1a0f2643074_4a94</t>
        </is>
      </c>
      <c r="J322" t="inlineStr">
        <is>
          <t>ทางเข้าท่าอากาศยานสุวรรณภูมิ - บางวัว</t>
        </is>
      </c>
      <c r="K322" t="inlineStr">
        <is>
          <t>15+100</t>
        </is>
      </c>
      <c r="L322" t="inlineStr">
        <is>
          <t>สถานีย่อย (C)</t>
        </is>
      </c>
      <c r="M322" t="n">
        <v>1</v>
      </c>
      <c r="N322" t="n">
        <v>13.621503</v>
      </c>
      <c r="O322" t="n">
        <v>100.736011</v>
      </c>
      <c r="P322" t="n">
        <v>14.71</v>
      </c>
      <c r="Q322" t="n">
        <v>7</v>
      </c>
      <c r="R322" t="n">
        <v>3</v>
      </c>
      <c r="S322" s="3" t="n">
        <v>250222</v>
      </c>
      <c r="T322" t="n">
        <v>1</v>
      </c>
      <c r="U322" t="n">
        <v>0</v>
      </c>
      <c r="V322" t="n">
        <v>7</v>
      </c>
      <c r="W322" t="n">
        <v>1</v>
      </c>
      <c r="X322" t="inlineStr">
        <is>
          <t>medium</t>
        </is>
      </c>
      <c r="Y322" s="3">
        <f>Q322*1000000</f>
        <v/>
      </c>
      <c r="Z322" s="3">
        <f>365*R322*S322*T322</f>
        <v/>
      </c>
      <c r="AA322" s="4">
        <f>Y322/Z322</f>
        <v/>
      </c>
      <c r="AB322" s="4">
        <f>Q322*1000000/(365*R322*S322)</f>
        <v/>
      </c>
      <c r="AC322">
        <f>RANK(AA322,$AA$2:$AA$395,0)</f>
        <v/>
      </c>
    </row>
    <row r="323">
      <c r="A323" t="inlineStr">
        <is>
          <t>zone_527</t>
        </is>
      </c>
      <c r="B323" t="inlineStr">
        <is>
          <t>ทางเข้าท่าอากาศยานสุวรรณภูมิ - บางวัว</t>
        </is>
      </c>
      <c r="C323" t="inlineStr">
        <is>
          <t>สมุทรปราการ</t>
        </is>
      </c>
      <c r="D323" t="n">
        <v>34</v>
      </c>
      <c r="E323" t="inlineStr">
        <is>
          <t>0102</t>
        </is>
      </c>
      <c r="F323" t="inlineStr">
        <is>
          <t>28–28</t>
        </is>
      </c>
      <c r="G323" t="n">
        <v>13.585589</v>
      </c>
      <c r="H323" t="n">
        <v>100.848037</v>
      </c>
      <c r="I323" t="inlineStr">
        <is>
          <t>hods_aadt_pnt_2568.fid-6461857d_1a0f2643074_4a94</t>
        </is>
      </c>
      <c r="J323" t="inlineStr">
        <is>
          <t>ทางเข้าท่าอากาศยานสุวรรณภูมิ - บางวัว</t>
        </is>
      </c>
      <c r="K323" t="inlineStr">
        <is>
          <t>15+100</t>
        </is>
      </c>
      <c r="L323" t="inlineStr">
        <is>
          <t>สถานีย่อย (C)</t>
        </is>
      </c>
      <c r="M323" t="n">
        <v>1</v>
      </c>
      <c r="N323" t="n">
        <v>13.621503</v>
      </c>
      <c r="O323" t="n">
        <v>100.736011</v>
      </c>
      <c r="P323" t="n">
        <v>12.75</v>
      </c>
      <c r="Q323" t="n">
        <v>3</v>
      </c>
      <c r="R323" t="n">
        <v>3</v>
      </c>
      <c r="S323" s="3" t="n">
        <v>250222</v>
      </c>
      <c r="T323" t="n">
        <v>1</v>
      </c>
      <c r="U323" t="n">
        <v>0</v>
      </c>
      <c r="V323" t="n">
        <v>0</v>
      </c>
      <c r="W323" t="n">
        <v>0</v>
      </c>
      <c r="X323" t="inlineStr">
        <is>
          <t>low</t>
        </is>
      </c>
      <c r="Y323" s="3">
        <f>Q323*1000000</f>
        <v/>
      </c>
      <c r="Z323" s="3">
        <f>365*R323*S323*T323</f>
        <v/>
      </c>
      <c r="AA323" s="4">
        <f>Y323/Z323</f>
        <v/>
      </c>
      <c r="AB323" s="4">
        <f>Q323*1000000/(365*R323*S323)</f>
        <v/>
      </c>
      <c r="AC323">
        <f>RANK(AA323,$AA$2:$AA$395,0)</f>
        <v/>
      </c>
    </row>
    <row r="324">
      <c r="A324" t="inlineStr">
        <is>
          <t>zone_531</t>
        </is>
      </c>
      <c r="B324" t="inlineStr">
        <is>
          <t>แบริ่ง - ท้ายบ้าน</t>
        </is>
      </c>
      <c r="C324" t="inlineStr">
        <is>
          <t>สมุทรปราการ</t>
        </is>
      </c>
      <c r="D324" t="n">
        <v>3</v>
      </c>
      <c r="E324" t="inlineStr">
        <is>
          <t>0102</t>
        </is>
      </c>
      <c r="F324" t="inlineStr">
        <is>
          <t>28.975–29.2</t>
        </is>
      </c>
      <c r="G324" t="n">
        <v>13.57412</v>
      </c>
      <c r="H324" t="n">
        <v>100.604843</v>
      </c>
      <c r="I324" t="inlineStr">
        <is>
          <t>hods_aadt_pnt_2568.fid-6461857d_1a0f2643074_499a</t>
        </is>
      </c>
      <c r="J324" t="inlineStr">
        <is>
          <t>แบริ่ง - ท้ายบ้าน</t>
        </is>
      </c>
      <c r="K324" t="inlineStr">
        <is>
          <t>20+000</t>
        </is>
      </c>
      <c r="L324" t="inlineStr">
        <is>
          <t>สถานีย่อย (C)</t>
        </is>
      </c>
      <c r="M324" t="n">
        <v>1</v>
      </c>
      <c r="N324" t="n">
        <v>13.645494</v>
      </c>
      <c r="O324" t="n">
        <v>100.595394</v>
      </c>
      <c r="P324" t="n">
        <v>8</v>
      </c>
      <c r="Q324" t="n">
        <v>3</v>
      </c>
      <c r="R324" t="n">
        <v>3</v>
      </c>
      <c r="S324" s="3" t="n">
        <v>24082</v>
      </c>
      <c r="T324" t="n">
        <v>1</v>
      </c>
      <c r="U324" t="n">
        <v>0</v>
      </c>
      <c r="V324" t="n">
        <v>1</v>
      </c>
      <c r="W324" t="n">
        <v>0.3333</v>
      </c>
      <c r="X324" t="inlineStr">
        <is>
          <t>low</t>
        </is>
      </c>
      <c r="Y324" s="3">
        <f>Q324*1000000</f>
        <v/>
      </c>
      <c r="Z324" s="3">
        <f>365*R324*S324*T324</f>
        <v/>
      </c>
      <c r="AA324" s="4">
        <f>Y324/Z324</f>
        <v/>
      </c>
      <c r="AB324" s="4">
        <f>Q324*1000000/(365*R324*S324)</f>
        <v/>
      </c>
      <c r="AC324">
        <f>RANK(AA324,$AA$2:$AA$395,0)</f>
        <v/>
      </c>
    </row>
    <row r="325">
      <c r="A325" t="inlineStr">
        <is>
          <t>zone_534</t>
        </is>
      </c>
      <c r="B325" t="inlineStr">
        <is>
          <t>บางนา - ทางเข้าท่าอากาศยานสุวรรณภูมิ</t>
        </is>
      </c>
      <c r="C325" t="inlineStr">
        <is>
          <t>สมุทรปราการ</t>
        </is>
      </c>
      <c r="D325" t="n">
        <v>34</v>
      </c>
      <c r="E325" t="inlineStr">
        <is>
          <t>0101</t>
        </is>
      </c>
      <c r="F325" t="inlineStr">
        <is>
          <t>10.8–11.1</t>
        </is>
      </c>
      <c r="G325" t="n">
        <v>13.639196</v>
      </c>
      <c r="H325" t="n">
        <v>100.701448</v>
      </c>
      <c r="I325" t="inlineStr">
        <is>
          <t>hods_aadt_pnt_2568.fid-6461857d_1a0f2643074_4a93</t>
        </is>
      </c>
      <c r="J325" t="inlineStr">
        <is>
          <t>บางนา - ทางเข้าท่าอากาศยานสุวรรณภูมิ</t>
        </is>
      </c>
      <c r="K325" t="inlineStr">
        <is>
          <t>3+904</t>
        </is>
      </c>
      <c r="L325" t="inlineStr">
        <is>
          <t>สถานีย่อย (C)</t>
        </is>
      </c>
      <c r="M325" t="n">
        <v>1</v>
      </c>
      <c r="N325" t="n">
        <v>13.666173</v>
      </c>
      <c r="O325" t="n">
        <v>100.642233</v>
      </c>
      <c r="P325" t="n">
        <v>7.07</v>
      </c>
      <c r="Q325" t="n">
        <v>4</v>
      </c>
      <c r="R325" t="n">
        <v>3</v>
      </c>
      <c r="S325" s="3" t="n">
        <v>210050</v>
      </c>
      <c r="T325" t="n">
        <v>1</v>
      </c>
      <c r="U325" t="n">
        <v>1</v>
      </c>
      <c r="V325" t="n">
        <v>3</v>
      </c>
      <c r="W325" t="n">
        <v>1</v>
      </c>
      <c r="X325" t="inlineStr">
        <is>
          <t>medium</t>
        </is>
      </c>
      <c r="Y325" s="3">
        <f>Q325*1000000</f>
        <v/>
      </c>
      <c r="Z325" s="3">
        <f>365*R325*S325*T325</f>
        <v/>
      </c>
      <c r="AA325" s="4">
        <f>Y325/Z325</f>
        <v/>
      </c>
      <c r="AB325" s="4">
        <f>Q325*1000000/(365*R325*S325)</f>
        <v/>
      </c>
      <c r="AC325">
        <f>RANK(AA325,$AA$2:$AA$395,0)</f>
        <v/>
      </c>
    </row>
    <row r="326">
      <c r="A326" t="inlineStr">
        <is>
          <t>zone_536</t>
        </is>
      </c>
      <c r="B326" t="inlineStr">
        <is>
          <t>ทางเข้าท่าอากาศยานสุวรรณภูมิ - บางวัว</t>
        </is>
      </c>
      <c r="C326" t="inlineStr">
        <is>
          <t>สมุทรปราการ</t>
        </is>
      </c>
      <c r="D326" t="n">
        <v>34</v>
      </c>
      <c r="E326" t="inlineStr">
        <is>
          <t>0102</t>
        </is>
      </c>
      <c r="F326" t="inlineStr">
        <is>
          <t>34–34.1</t>
        </is>
      </c>
      <c r="G326" t="n">
        <v>13.574033</v>
      </c>
      <c r="H326" t="n">
        <v>100.90249</v>
      </c>
      <c r="I326" t="inlineStr">
        <is>
          <t>hods_aadt_pnt_2568.fid-6461857d_1a0f2643074_4a94</t>
        </is>
      </c>
      <c r="J326" t="inlineStr">
        <is>
          <t>ทางเข้าท่าอากาศยานสุวรรณภูมิ - บางวัว</t>
        </is>
      </c>
      <c r="K326" t="inlineStr">
        <is>
          <t>15+100</t>
        </is>
      </c>
      <c r="L326" t="inlineStr">
        <is>
          <t>สถานีย่อย (C)</t>
        </is>
      </c>
      <c r="M326" t="n">
        <v>1</v>
      </c>
      <c r="N326" t="n">
        <v>13.621503</v>
      </c>
      <c r="O326" t="n">
        <v>100.736011</v>
      </c>
      <c r="P326" t="n">
        <v>18.75</v>
      </c>
      <c r="Q326" t="n">
        <v>4</v>
      </c>
      <c r="R326" t="n">
        <v>3</v>
      </c>
      <c r="S326" s="3" t="n">
        <v>250222</v>
      </c>
      <c r="T326" t="n">
        <v>1</v>
      </c>
      <c r="U326" t="n">
        <v>0</v>
      </c>
      <c r="V326" t="n">
        <v>0</v>
      </c>
      <c r="W326" t="n">
        <v>0</v>
      </c>
      <c r="X326" t="inlineStr">
        <is>
          <t>low</t>
        </is>
      </c>
      <c r="Y326" s="3">
        <f>Q326*1000000</f>
        <v/>
      </c>
      <c r="Z326" s="3">
        <f>365*R326*S326*T326</f>
        <v/>
      </c>
      <c r="AA326" s="4">
        <f>Y326/Z326</f>
        <v/>
      </c>
      <c r="AB326" s="4">
        <f>Q326*1000000/(365*R326*S326)</f>
        <v/>
      </c>
      <c r="AC326">
        <f>RANK(AA326,$AA$2:$AA$395,0)</f>
        <v/>
      </c>
    </row>
    <row r="327">
      <c r="A327" t="inlineStr">
        <is>
          <t>zone_538</t>
        </is>
      </c>
      <c r="B327" t="inlineStr">
        <is>
          <t>ทางเข้าท่าอากาศยานสุวรรณภูมิ - บางวัว</t>
        </is>
      </c>
      <c r="C327" t="inlineStr">
        <is>
          <t>สมุทรปราการ</t>
        </is>
      </c>
      <c r="D327" t="n">
        <v>34</v>
      </c>
      <c r="E327" t="inlineStr">
        <is>
          <t>0102</t>
        </is>
      </c>
      <c r="F327" t="inlineStr">
        <is>
          <t>23.9–24</t>
        </is>
      </c>
      <c r="G327" t="n">
        <v>13.592965</v>
      </c>
      <c r="H327" t="n">
        <v>100.812279</v>
      </c>
      <c r="I327" t="inlineStr">
        <is>
          <t>hods_aadt_pnt_2568.fid-6461857d_1a0f2643074_4a94</t>
        </is>
      </c>
      <c r="J327" t="inlineStr">
        <is>
          <t>ทางเข้าท่าอากาศยานสุวรรณภูมิ - บางวัว</t>
        </is>
      </c>
      <c r="K327" t="inlineStr">
        <is>
          <t>15+100</t>
        </is>
      </c>
      <c r="L327" t="inlineStr">
        <is>
          <t>สถานีย่อย (C)</t>
        </is>
      </c>
      <c r="M327" t="n">
        <v>1</v>
      </c>
      <c r="N327" t="n">
        <v>13.621503</v>
      </c>
      <c r="O327" t="n">
        <v>100.736011</v>
      </c>
      <c r="P327" t="n">
        <v>8.83</v>
      </c>
      <c r="Q327" t="n">
        <v>3</v>
      </c>
      <c r="R327" t="n">
        <v>3</v>
      </c>
      <c r="S327" s="3" t="n">
        <v>250222</v>
      </c>
      <c r="T327" t="n">
        <v>1</v>
      </c>
      <c r="U327" t="n">
        <v>0</v>
      </c>
      <c r="V327" t="n">
        <v>2</v>
      </c>
      <c r="W327" t="n">
        <v>0.6667</v>
      </c>
      <c r="X327" t="inlineStr">
        <is>
          <t>low</t>
        </is>
      </c>
      <c r="Y327" s="3">
        <f>Q327*1000000</f>
        <v/>
      </c>
      <c r="Z327" s="3">
        <f>365*R327*S327*T327</f>
        <v/>
      </c>
      <c r="AA327" s="4">
        <f>Y327/Z327</f>
        <v/>
      </c>
      <c r="AB327" s="4">
        <f>Q327*1000000/(365*R327*S327)</f>
        <v/>
      </c>
      <c r="AC327">
        <f>RANK(AA327,$AA$2:$AA$395,0)</f>
        <v/>
      </c>
    </row>
    <row r="328">
      <c r="A328" t="inlineStr">
        <is>
          <t>zone_541</t>
        </is>
      </c>
      <c r="B328" t="inlineStr">
        <is>
          <t>บางตำหรุ - คลองด่าน</t>
        </is>
      </c>
      <c r="C328" t="inlineStr">
        <is>
          <t>สมุทรปราการ</t>
        </is>
      </c>
      <c r="D328" t="n">
        <v>3</v>
      </c>
      <c r="E328" t="inlineStr">
        <is>
          <t>0104</t>
        </is>
      </c>
      <c r="F328" t="inlineStr">
        <is>
          <t>55.9–55.92</t>
        </is>
      </c>
      <c r="G328" t="n">
        <v>13.50976</v>
      </c>
      <c r="H328" t="n">
        <v>100.818469</v>
      </c>
      <c r="I328" t="inlineStr">
        <is>
          <t>hods_aadt_pnt_2568.fid-6461857d_1a0f2643074_499b</t>
        </is>
      </c>
      <c r="J328" t="inlineStr">
        <is>
          <t>บางตำหรุ - คลองด่าน</t>
        </is>
      </c>
      <c r="K328" t="inlineStr">
        <is>
          <t>40+800</t>
        </is>
      </c>
      <c r="L328" t="inlineStr">
        <is>
          <t>สถานีย่อย (C)</t>
        </is>
      </c>
      <c r="M328" t="n">
        <v>1</v>
      </c>
      <c r="N328" t="n">
        <v>13.515172</v>
      </c>
      <c r="O328" t="n">
        <v>100.684466</v>
      </c>
      <c r="P328" t="n">
        <v>14.5</v>
      </c>
      <c r="Q328" t="n">
        <v>3</v>
      </c>
      <c r="R328" t="n">
        <v>3</v>
      </c>
      <c r="S328" s="3" t="n">
        <v>26664</v>
      </c>
      <c r="T328" t="n">
        <v>1</v>
      </c>
      <c r="U328" t="n">
        <v>1</v>
      </c>
      <c r="V328" t="n">
        <v>1</v>
      </c>
      <c r="W328" t="n">
        <v>0.6667</v>
      </c>
      <c r="X328" t="inlineStr">
        <is>
          <t>low</t>
        </is>
      </c>
      <c r="Y328" s="3">
        <f>Q328*1000000</f>
        <v/>
      </c>
      <c r="Z328" s="3">
        <f>365*R328*S328*T328</f>
        <v/>
      </c>
      <c r="AA328" s="4">
        <f>Y328/Z328</f>
        <v/>
      </c>
      <c r="AB328" s="4">
        <f>Q328*1000000/(365*R328*S328)</f>
        <v/>
      </c>
      <c r="AC328">
        <f>RANK(AA328,$AA$2:$AA$395,0)</f>
        <v/>
      </c>
    </row>
    <row r="329">
      <c r="A329" t="inlineStr">
        <is>
          <t>zone_542</t>
        </is>
      </c>
      <c r="B329" t="inlineStr">
        <is>
          <t>ทางเข้าท่าอากาศยานสุวรรณภูมิ - บางวัว</t>
        </is>
      </c>
      <c r="C329" t="inlineStr">
        <is>
          <t>สมุทรปราการ</t>
        </is>
      </c>
      <c r="D329" t="n">
        <v>34</v>
      </c>
      <c r="E329" t="inlineStr">
        <is>
          <t>0102</t>
        </is>
      </c>
      <c r="F329" t="inlineStr">
        <is>
          <t>33–33.05</t>
        </is>
      </c>
      <c r="G329" t="n">
        <v>13.576208</v>
      </c>
      <c r="H329" t="n">
        <v>100.892671</v>
      </c>
      <c r="I329" t="inlineStr">
        <is>
          <t>hods_aadt_pnt_2568.fid-6461857d_1a0f2643074_4a94</t>
        </is>
      </c>
      <c r="J329" t="inlineStr">
        <is>
          <t>ทางเข้าท่าอากาศยานสุวรรณภูมิ - บางวัว</t>
        </is>
      </c>
      <c r="K329" t="inlineStr">
        <is>
          <t>15+100</t>
        </is>
      </c>
      <c r="L329" t="inlineStr">
        <is>
          <t>สถานีย่อย (C)</t>
        </is>
      </c>
      <c r="M329" t="n">
        <v>1</v>
      </c>
      <c r="N329" t="n">
        <v>13.621503</v>
      </c>
      <c r="O329" t="n">
        <v>100.736011</v>
      </c>
      <c r="P329" t="n">
        <v>17.66</v>
      </c>
      <c r="Q329" t="n">
        <v>5</v>
      </c>
      <c r="R329" t="n">
        <v>3</v>
      </c>
      <c r="S329" s="3" t="n">
        <v>250222</v>
      </c>
      <c r="T329" t="n">
        <v>1</v>
      </c>
      <c r="U329" t="n">
        <v>0</v>
      </c>
      <c r="V329" t="n">
        <v>1</v>
      </c>
      <c r="W329" t="n">
        <v>0.2</v>
      </c>
      <c r="X329" t="inlineStr">
        <is>
          <t>low</t>
        </is>
      </c>
      <c r="Y329" s="3">
        <f>Q329*1000000</f>
        <v/>
      </c>
      <c r="Z329" s="3">
        <f>365*R329*S329*T329</f>
        <v/>
      </c>
      <c r="AA329" s="4">
        <f>Y329/Z329</f>
        <v/>
      </c>
      <c r="AB329" s="4">
        <f>Q329*1000000/(365*R329*S329)</f>
        <v/>
      </c>
      <c r="AC329">
        <f>RANK(AA329,$AA$2:$AA$395,0)</f>
        <v/>
      </c>
    </row>
    <row r="330">
      <c r="A330" t="inlineStr">
        <is>
          <t>zone_554</t>
        </is>
      </c>
      <c r="B330" t="inlineStr">
        <is>
          <t>ราษฎร์บูรณะ - พระสมุทรเจดีย์</t>
        </is>
      </c>
      <c r="C330" t="inlineStr">
        <is>
          <t>สมุทรปราการ</t>
        </is>
      </c>
      <c r="D330" t="n">
        <v>303</v>
      </c>
      <c r="E330" t="inlineStr">
        <is>
          <t>0100</t>
        </is>
      </c>
      <c r="F330" t="inlineStr">
        <is>
          <t>16.258–16.6</t>
        </is>
      </c>
      <c r="G330" t="n">
        <v>13.618458</v>
      </c>
      <c r="H330" t="n">
        <v>100.542817</v>
      </c>
      <c r="I330" t="inlineStr">
        <is>
          <t>hods_aadt_pnt_2568.fid-6461857d_1a0f2643074_4c24</t>
        </is>
      </c>
      <c r="J330" t="inlineStr">
        <is>
          <t>ราษฎร์บูรณะ - พระสมุทรเจดีย์</t>
        </is>
      </c>
      <c r="K330" t="inlineStr">
        <is>
          <t>14+000</t>
        </is>
      </c>
      <c r="L330" t="inlineStr">
        <is>
          <t>สถานีย่อย (C)</t>
        </is>
      </c>
      <c r="M330" t="n">
        <v>1</v>
      </c>
      <c r="N330" t="n">
        <v>13.635311</v>
      </c>
      <c r="O330" t="n">
        <v>100.528367</v>
      </c>
      <c r="P330" t="n">
        <v>2.44</v>
      </c>
      <c r="Q330" t="n">
        <v>3</v>
      </c>
      <c r="R330" t="n">
        <v>3</v>
      </c>
      <c r="S330" s="3" t="n">
        <v>76209</v>
      </c>
      <c r="T330" t="n">
        <v>1</v>
      </c>
      <c r="U330" t="n">
        <v>1</v>
      </c>
      <c r="V330" t="n">
        <v>1</v>
      </c>
      <c r="W330" t="n">
        <v>0.6667</v>
      </c>
      <c r="X330" t="inlineStr">
        <is>
          <t>low</t>
        </is>
      </c>
      <c r="Y330" s="3">
        <f>Q330*1000000</f>
        <v/>
      </c>
      <c r="Z330" s="3">
        <f>365*R330*S330*T330</f>
        <v/>
      </c>
      <c r="AA330" s="4">
        <f>Y330/Z330</f>
        <v/>
      </c>
      <c r="AB330" s="4">
        <f>Q330*1000000/(365*R330*S330)</f>
        <v/>
      </c>
      <c r="AC330">
        <f>RANK(AA330,$AA$2:$AA$395,0)</f>
        <v/>
      </c>
    </row>
    <row r="331">
      <c r="A331" t="inlineStr">
        <is>
          <t>zone_555</t>
        </is>
      </c>
      <c r="B331" t="inlineStr">
        <is>
          <t>ราษฎร์บูรณะ - พระสมุทรเจดีย์</t>
        </is>
      </c>
      <c r="C331" t="inlineStr">
        <is>
          <t>สมุทรปราการ</t>
        </is>
      </c>
      <c r="D331" t="n">
        <v>303</v>
      </c>
      <c r="E331" t="inlineStr">
        <is>
          <t>0100</t>
        </is>
      </c>
      <c r="F331" t="inlineStr">
        <is>
          <t>18.55–18.8</t>
        </is>
      </c>
      <c r="G331" t="n">
        <v>13.603213</v>
      </c>
      <c r="H331" t="n">
        <v>100.556837</v>
      </c>
      <c r="I331" t="inlineStr">
        <is>
          <t>hods_aadt_pnt_2568.fid-6461857d_1a0f2643074_4c24</t>
        </is>
      </c>
      <c r="J331" t="inlineStr">
        <is>
          <t>ราษฎร์บูรณะ - พระสมุทรเจดีย์</t>
        </is>
      </c>
      <c r="K331" t="inlineStr">
        <is>
          <t>14+000</t>
        </is>
      </c>
      <c r="L331" t="inlineStr">
        <is>
          <t>สถานีย่อย (C)</t>
        </is>
      </c>
      <c r="M331" t="n">
        <v>1</v>
      </c>
      <c r="N331" t="n">
        <v>13.635311</v>
      </c>
      <c r="O331" t="n">
        <v>100.528367</v>
      </c>
      <c r="P331" t="n">
        <v>4.71</v>
      </c>
      <c r="Q331" t="n">
        <v>9</v>
      </c>
      <c r="R331" t="n">
        <v>3</v>
      </c>
      <c r="S331" s="3" t="n">
        <v>76209</v>
      </c>
      <c r="T331" t="n">
        <v>1</v>
      </c>
      <c r="U331" t="n">
        <v>0</v>
      </c>
      <c r="V331" t="n">
        <v>1</v>
      </c>
      <c r="W331" t="n">
        <v>0.1111</v>
      </c>
      <c r="X331" t="inlineStr">
        <is>
          <t>low</t>
        </is>
      </c>
      <c r="Y331" s="3">
        <f>Q331*1000000</f>
        <v/>
      </c>
      <c r="Z331" s="3">
        <f>365*R331*S331*T331</f>
        <v/>
      </c>
      <c r="AA331" s="4">
        <f>Y331/Z331</f>
        <v/>
      </c>
      <c r="AB331" s="4">
        <f>Q331*1000000/(365*R331*S331)</f>
        <v/>
      </c>
      <c r="AC331">
        <f>RANK(AA331,$AA$2:$AA$395,0)</f>
        <v/>
      </c>
    </row>
    <row r="332">
      <c r="A332" t="inlineStr">
        <is>
          <t>zone_556</t>
        </is>
      </c>
      <c r="B332" t="inlineStr">
        <is>
          <t>ราษฎร์บูรณะ - พระสมุทรเจดีย์</t>
        </is>
      </c>
      <c r="C332" t="inlineStr">
        <is>
          <t>สมุทรปราการ</t>
        </is>
      </c>
      <c r="D332" t="n">
        <v>303</v>
      </c>
      <c r="E332" t="inlineStr">
        <is>
          <t>0100</t>
        </is>
      </c>
      <c r="F332" t="inlineStr">
        <is>
          <t>17.8–18</t>
        </is>
      </c>
      <c r="G332" t="n">
        <v>13.60864</v>
      </c>
      <c r="H332" t="n">
        <v>100.55194</v>
      </c>
      <c r="I332" t="inlineStr">
        <is>
          <t>hods_aadt_pnt_2568.fid-6461857d_1a0f2643074_4c24</t>
        </is>
      </c>
      <c r="J332" t="inlineStr">
        <is>
          <t>ราษฎร์บูรณะ - พระสมุทรเจดีย์</t>
        </is>
      </c>
      <c r="K332" t="inlineStr">
        <is>
          <t>14+000</t>
        </is>
      </c>
      <c r="L332" t="inlineStr">
        <is>
          <t>สถานีย่อย (C)</t>
        </is>
      </c>
      <c r="M332" t="n">
        <v>1</v>
      </c>
      <c r="N332" t="n">
        <v>13.635311</v>
      </c>
      <c r="O332" t="n">
        <v>100.528367</v>
      </c>
      <c r="P332" t="n">
        <v>3.91</v>
      </c>
      <c r="Q332" t="n">
        <v>4</v>
      </c>
      <c r="R332" t="n">
        <v>3</v>
      </c>
      <c r="S332" s="3" t="n">
        <v>76209</v>
      </c>
      <c r="T332" t="n">
        <v>1</v>
      </c>
      <c r="U332" t="n">
        <v>0</v>
      </c>
      <c r="V332" t="n">
        <v>3</v>
      </c>
      <c r="W332" t="n">
        <v>0.75</v>
      </c>
      <c r="X332" t="inlineStr">
        <is>
          <t>low</t>
        </is>
      </c>
      <c r="Y332" s="3">
        <f>Q332*1000000</f>
        <v/>
      </c>
      <c r="Z332" s="3">
        <f>365*R332*S332*T332</f>
        <v/>
      </c>
      <c r="AA332" s="4">
        <f>Y332/Z332</f>
        <v/>
      </c>
      <c r="AB332" s="4">
        <f>Q332*1000000/(365*R332*S332)</f>
        <v/>
      </c>
      <c r="AC332">
        <f>RANK(AA332,$AA$2:$AA$395,0)</f>
        <v/>
      </c>
    </row>
    <row r="333">
      <c r="A333" t="inlineStr">
        <is>
          <t>zone_561</t>
        </is>
      </c>
      <c r="B333" t="inlineStr">
        <is>
          <t>บางตำหรุ - คลองด่าน</t>
        </is>
      </c>
      <c r="C333" t="inlineStr">
        <is>
          <t>สมุทรปราการ</t>
        </is>
      </c>
      <c r="D333" t="n">
        <v>3</v>
      </c>
      <c r="E333" t="inlineStr">
        <is>
          <t>0104</t>
        </is>
      </c>
      <c r="F333" t="inlineStr">
        <is>
          <t>41.85–41.95</t>
        </is>
      </c>
      <c r="G333" t="n">
        <v>13.512755</v>
      </c>
      <c r="H333" t="n">
        <v>100.694828</v>
      </c>
      <c r="I333" t="inlineStr">
        <is>
          <t>hods_aadt_pnt_2568.fid-6461857d_1a0f2643074_499b</t>
        </is>
      </c>
      <c r="J333" t="inlineStr">
        <is>
          <t>บางตำหรุ - คลองด่าน</t>
        </is>
      </c>
      <c r="K333" t="inlineStr">
        <is>
          <t>40+800</t>
        </is>
      </c>
      <c r="L333" t="inlineStr">
        <is>
          <t>สถานีย่อย (C)</t>
        </is>
      </c>
      <c r="M333" t="n">
        <v>1</v>
      </c>
      <c r="N333" t="n">
        <v>13.515172</v>
      </c>
      <c r="O333" t="n">
        <v>100.684466</v>
      </c>
      <c r="P333" t="n">
        <v>1.15</v>
      </c>
      <c r="Q333" t="n">
        <v>3</v>
      </c>
      <c r="R333" t="n">
        <v>3</v>
      </c>
      <c r="S333" s="3" t="n">
        <v>26664</v>
      </c>
      <c r="T333" t="n">
        <v>1</v>
      </c>
      <c r="U333" t="n">
        <v>0</v>
      </c>
      <c r="V333" t="n">
        <v>0</v>
      </c>
      <c r="W333" t="n">
        <v>0</v>
      </c>
      <c r="X333" t="inlineStr">
        <is>
          <t>low</t>
        </is>
      </c>
      <c r="Y333" s="3">
        <f>Q333*1000000</f>
        <v/>
      </c>
      <c r="Z333" s="3">
        <f>365*R333*S333*T333</f>
        <v/>
      </c>
      <c r="AA333" s="4">
        <f>Y333/Z333</f>
        <v/>
      </c>
      <c r="AB333" s="4">
        <f>Q333*1000000/(365*R333*S333)</f>
        <v/>
      </c>
      <c r="AC333">
        <f>RANK(AA333,$AA$2:$AA$395,0)</f>
        <v/>
      </c>
    </row>
    <row r="334">
      <c r="A334" t="inlineStr">
        <is>
          <t>zone_562</t>
        </is>
      </c>
      <c r="B334" t="inlineStr">
        <is>
          <t>บางตำหรุ - คลองด่าน</t>
        </is>
      </c>
      <c r="C334" t="inlineStr">
        <is>
          <t>สมุทรปราการ</t>
        </is>
      </c>
      <c r="D334" t="n">
        <v>3</v>
      </c>
      <c r="E334" t="inlineStr">
        <is>
          <t>0104</t>
        </is>
      </c>
      <c r="F334" t="inlineStr">
        <is>
          <t>42.75–42.95</t>
        </is>
      </c>
      <c r="G334" t="n">
        <v>13.510898</v>
      </c>
      <c r="H334" t="n">
        <v>100.70323</v>
      </c>
      <c r="I334" t="inlineStr">
        <is>
          <t>hods_aadt_pnt_2568.fid-6461857d_1a0f2643074_499b</t>
        </is>
      </c>
      <c r="J334" t="inlineStr">
        <is>
          <t>บางตำหรุ - คลองด่าน</t>
        </is>
      </c>
      <c r="K334" t="inlineStr">
        <is>
          <t>40+800</t>
        </is>
      </c>
      <c r="L334" t="inlineStr">
        <is>
          <t>สถานีย่อย (C)</t>
        </is>
      </c>
      <c r="M334" t="n">
        <v>1</v>
      </c>
      <c r="N334" t="n">
        <v>13.515172</v>
      </c>
      <c r="O334" t="n">
        <v>100.684466</v>
      </c>
      <c r="P334" t="n">
        <v>2.08</v>
      </c>
      <c r="Q334" t="n">
        <v>3</v>
      </c>
      <c r="R334" t="n">
        <v>3</v>
      </c>
      <c r="S334" s="3" t="n">
        <v>26664</v>
      </c>
      <c r="T334" t="n">
        <v>1</v>
      </c>
      <c r="U334" t="n">
        <v>0</v>
      </c>
      <c r="V334" t="n">
        <v>0</v>
      </c>
      <c r="W334" t="n">
        <v>0</v>
      </c>
      <c r="X334" t="inlineStr">
        <is>
          <t>low</t>
        </is>
      </c>
      <c r="Y334" s="3">
        <f>Q334*1000000</f>
        <v/>
      </c>
      <c r="Z334" s="3">
        <f>365*R334*S334*T334</f>
        <v/>
      </c>
      <c r="AA334" s="4">
        <f>Y334/Z334</f>
        <v/>
      </c>
      <c r="AB334" s="4">
        <f>Q334*1000000/(365*R334*S334)</f>
        <v/>
      </c>
      <c r="AC334">
        <f>RANK(AA334,$AA$2:$AA$395,0)</f>
        <v/>
      </c>
    </row>
    <row r="335">
      <c r="A335" t="inlineStr">
        <is>
          <t>zone_565</t>
        </is>
      </c>
      <c r="B335" t="inlineStr">
        <is>
          <t>ราษฎร์บูรณะ - พระสมุทรเจดีย์</t>
        </is>
      </c>
      <c r="C335" t="inlineStr">
        <is>
          <t>สมุทรปราการ</t>
        </is>
      </c>
      <c r="D335" t="n">
        <v>303</v>
      </c>
      <c r="E335" t="inlineStr">
        <is>
          <t>0100</t>
        </is>
      </c>
      <c r="F335" t="inlineStr">
        <is>
          <t>17.1–17.2</t>
        </is>
      </c>
      <c r="G335" t="n">
        <v>13.613371</v>
      </c>
      <c r="H335" t="n">
        <v>100.547638</v>
      </c>
      <c r="I335" t="inlineStr">
        <is>
          <t>hods_aadt_pnt_2568.fid-6461857d_1a0f2643074_4c24</t>
        </is>
      </c>
      <c r="J335" t="inlineStr">
        <is>
          <t>ราษฎร์บูรณะ - พระสมุทรเจดีย์</t>
        </is>
      </c>
      <c r="K335" t="inlineStr">
        <is>
          <t>14+000</t>
        </is>
      </c>
      <c r="L335" t="inlineStr">
        <is>
          <t>สถานีย่อย (C)</t>
        </is>
      </c>
      <c r="M335" t="n">
        <v>1</v>
      </c>
      <c r="N335" t="n">
        <v>13.635311</v>
      </c>
      <c r="O335" t="n">
        <v>100.528367</v>
      </c>
      <c r="P335" t="n">
        <v>3.21</v>
      </c>
      <c r="Q335" t="n">
        <v>3</v>
      </c>
      <c r="R335" t="n">
        <v>3</v>
      </c>
      <c r="S335" s="3" t="n">
        <v>76209</v>
      </c>
      <c r="T335" t="n">
        <v>1</v>
      </c>
      <c r="U335" t="n">
        <v>0</v>
      </c>
      <c r="V335" t="n">
        <v>0</v>
      </c>
      <c r="W335" t="n">
        <v>0</v>
      </c>
      <c r="X335" t="inlineStr">
        <is>
          <t>low</t>
        </is>
      </c>
      <c r="Y335" s="3">
        <f>Q335*1000000</f>
        <v/>
      </c>
      <c r="Z335" s="3">
        <f>365*R335*S335*T335</f>
        <v/>
      </c>
      <c r="AA335" s="4">
        <f>Y335/Z335</f>
        <v/>
      </c>
      <c r="AB335" s="4">
        <f>Q335*1000000/(365*R335*S335)</f>
        <v/>
      </c>
      <c r="AC335">
        <f>RANK(AA335,$AA$2:$AA$395,0)</f>
        <v/>
      </c>
    </row>
    <row r="336">
      <c r="A336" t="inlineStr">
        <is>
          <t>zone_566</t>
        </is>
      </c>
      <c r="B336" t="inlineStr">
        <is>
          <t>สะพานข้ามแม่น้ำท่าจีนฝั่งตะวันตก - นาโคก</t>
        </is>
      </c>
      <c r="C336" t="inlineStr">
        <is>
          <t>สมุทรสาคร</t>
        </is>
      </c>
      <c r="D336" t="n">
        <v>35</v>
      </c>
      <c r="E336" t="inlineStr">
        <is>
          <t>0202</t>
        </is>
      </c>
      <c r="F336" t="inlineStr">
        <is>
          <t>37.95–39.75</t>
        </is>
      </c>
      <c r="G336" t="n">
        <v>13.523128</v>
      </c>
      <c r="H336" t="n">
        <v>100.180697</v>
      </c>
      <c r="I336" t="inlineStr">
        <is>
          <t>hods_aadt_pnt_2568.fid-6461857d_1a0f2643074_4a9a</t>
        </is>
      </c>
      <c r="J336" t="inlineStr">
        <is>
          <t>สะพานข้ามแม่น้ำท่าจีนฝั่งตะวันตก - นาโคก</t>
        </is>
      </c>
      <c r="K336" t="inlineStr">
        <is>
          <t>30+700</t>
        </is>
      </c>
      <c r="L336" t="inlineStr">
        <is>
          <t>สถานีย่อย (C)</t>
        </is>
      </c>
      <c r="M336" t="n">
        <v>1</v>
      </c>
      <c r="N336" t="n">
        <v>13.544191</v>
      </c>
      <c r="O336" t="n">
        <v>100.252408</v>
      </c>
      <c r="P336" t="n">
        <v>8.1</v>
      </c>
      <c r="Q336" t="n">
        <v>67</v>
      </c>
      <c r="R336" t="n">
        <v>3</v>
      </c>
      <c r="S336" s="3" t="n">
        <v>149785</v>
      </c>
      <c r="T336" t="n">
        <v>1</v>
      </c>
      <c r="U336" t="n">
        <v>1</v>
      </c>
      <c r="V336" t="n">
        <v>25</v>
      </c>
      <c r="W336" t="n">
        <v>0.3881</v>
      </c>
      <c r="X336" t="inlineStr">
        <is>
          <t>low</t>
        </is>
      </c>
      <c r="Y336" s="3">
        <f>Q336*1000000</f>
        <v/>
      </c>
      <c r="Z336" s="3">
        <f>365*R336*S336*T336</f>
        <v/>
      </c>
      <c r="AA336" s="4">
        <f>Y336/Z336</f>
        <v/>
      </c>
      <c r="AB336" s="4">
        <f>Q336*1000000/(365*R336*S336)</f>
        <v/>
      </c>
      <c r="AC336">
        <f>RANK(AA336,$AA$2:$AA$395,0)</f>
        <v/>
      </c>
    </row>
    <row r="337">
      <c r="A337" t="inlineStr">
        <is>
          <t>zone_567</t>
        </is>
      </c>
      <c r="B337" t="inlineStr">
        <is>
          <t>สะพานข้ามแม่น้ำท่าจีนฝั่งตะวันตก - นาโคก</t>
        </is>
      </c>
      <c r="C337" t="inlineStr">
        <is>
          <t>สมุทรสาคร</t>
        </is>
      </c>
      <c r="D337" t="n">
        <v>35</v>
      </c>
      <c r="E337" t="inlineStr">
        <is>
          <t>0202</t>
        </is>
      </c>
      <c r="F337" t="inlineStr">
        <is>
          <t>37.7–37.9</t>
        </is>
      </c>
      <c r="G337" t="n">
        <v>13.526358</v>
      </c>
      <c r="H337" t="n">
        <v>100.190276</v>
      </c>
      <c r="I337" t="inlineStr">
        <is>
          <t>hods_aadt_pnt_2568.fid-6461857d_1a0f2643074_4a9a</t>
        </is>
      </c>
      <c r="J337" t="inlineStr">
        <is>
          <t>สะพานข้ามแม่น้ำท่าจีนฝั่งตะวันตก - นาโคก</t>
        </is>
      </c>
      <c r="K337" t="inlineStr">
        <is>
          <t>30+700</t>
        </is>
      </c>
      <c r="L337" t="inlineStr">
        <is>
          <t>สถานีย่อย (C)</t>
        </is>
      </c>
      <c r="M337" t="n">
        <v>1</v>
      </c>
      <c r="N337" t="n">
        <v>13.544191</v>
      </c>
      <c r="O337" t="n">
        <v>100.252408</v>
      </c>
      <c r="P337" t="n">
        <v>7</v>
      </c>
      <c r="Q337" t="n">
        <v>5</v>
      </c>
      <c r="R337" t="n">
        <v>3</v>
      </c>
      <c r="S337" s="3" t="n">
        <v>149785</v>
      </c>
      <c r="T337" t="n">
        <v>1</v>
      </c>
      <c r="U337" t="n">
        <v>0</v>
      </c>
      <c r="V337" t="n">
        <v>1</v>
      </c>
      <c r="W337" t="n">
        <v>0.2</v>
      </c>
      <c r="X337" t="inlineStr">
        <is>
          <t>low</t>
        </is>
      </c>
      <c r="Y337" s="3">
        <f>Q337*1000000</f>
        <v/>
      </c>
      <c r="Z337" s="3">
        <f>365*R337*S337*T337</f>
        <v/>
      </c>
      <c r="AA337" s="4">
        <f>Y337/Z337</f>
        <v/>
      </c>
      <c r="AB337" s="4">
        <f>Q337*1000000/(365*R337*S337)</f>
        <v/>
      </c>
      <c r="AC337">
        <f>RANK(AA337,$AA$2:$AA$395,0)</f>
        <v/>
      </c>
    </row>
    <row r="338">
      <c r="A338" t="inlineStr">
        <is>
          <t>zone_568</t>
        </is>
      </c>
      <c r="B338" t="inlineStr">
        <is>
          <t>สะพานข้ามแม่น้ำท่าจีนฝั่งตะวันตก - นาโคก</t>
        </is>
      </c>
      <c r="C338" t="inlineStr">
        <is>
          <t>สมุทรสาคร</t>
        </is>
      </c>
      <c r="D338" t="n">
        <v>35</v>
      </c>
      <c r="E338" t="inlineStr">
        <is>
          <t>0201</t>
        </is>
      </c>
      <c r="F338" t="inlineStr">
        <is>
          <t>0.23–39.46</t>
        </is>
      </c>
      <c r="G338" t="n">
        <v>13.524187</v>
      </c>
      <c r="H338" t="n">
        <v>100.183236</v>
      </c>
      <c r="I338" t="inlineStr">
        <is>
          <t>hods_aadt_pnt_2568.fid-6461857d_1a0f2643074_4a99</t>
        </is>
      </c>
      <c r="J338" t="inlineStr">
        <is>
          <t>แสมดำ - สะพานข้ามแม่น้ำท่าจีนฝั่งตะวันตก</t>
        </is>
      </c>
      <c r="K338" t="inlineStr">
        <is>
          <t>24+550</t>
        </is>
      </c>
      <c r="L338" t="inlineStr">
        <is>
          <t>สถานีหลัก (P)</t>
        </is>
      </c>
      <c r="M338" t="n">
        <v>1</v>
      </c>
      <c r="N338" t="n">
        <v>13.575463</v>
      </c>
      <c r="O338" t="n">
        <v>100.298629</v>
      </c>
      <c r="P338" t="n">
        <v>13.72</v>
      </c>
      <c r="Q338" t="n">
        <v>36</v>
      </c>
      <c r="R338" t="n">
        <v>3</v>
      </c>
      <c r="S338" s="3" t="n">
        <v>143116</v>
      </c>
      <c r="T338" t="n">
        <v>1</v>
      </c>
      <c r="U338" t="n">
        <v>1</v>
      </c>
      <c r="V338" t="n">
        <v>8</v>
      </c>
      <c r="W338" t="n">
        <v>0.25</v>
      </c>
      <c r="X338" t="inlineStr">
        <is>
          <t>low</t>
        </is>
      </c>
      <c r="Y338" s="3">
        <f>Q338*1000000</f>
        <v/>
      </c>
      <c r="Z338" s="3">
        <f>365*R338*S338*T338</f>
        <v/>
      </c>
      <c r="AA338" s="4">
        <f>Y338/Z338</f>
        <v/>
      </c>
      <c r="AB338" s="4">
        <f>Q338*1000000/(365*R338*S338)</f>
        <v/>
      </c>
      <c r="AC338">
        <f>RANK(AA338,$AA$2:$AA$395,0)</f>
        <v/>
      </c>
    </row>
    <row r="339">
      <c r="A339" t="inlineStr">
        <is>
          <t>zone_569</t>
        </is>
      </c>
      <c r="B339" t="inlineStr">
        <is>
          <t>สะพานข้ามแม่น้ำท่าจีนฝั่งตะวันตก - นาโคก</t>
        </is>
      </c>
      <c r="C339" t="inlineStr">
        <is>
          <t>สมุทรสาคร</t>
        </is>
      </c>
      <c r="D339" t="n">
        <v>35</v>
      </c>
      <c r="E339" t="inlineStr">
        <is>
          <t>0202</t>
        </is>
      </c>
      <c r="F339" t="inlineStr">
        <is>
          <t>31.9–37.5</t>
        </is>
      </c>
      <c r="G339" t="n">
        <v>13.534212</v>
      </c>
      <c r="H339" t="n">
        <v>100.213606</v>
      </c>
      <c r="I339" t="inlineStr">
        <is>
          <t>hods_aadt_pnt_2568.fid-6461857d_1a0f2643074_4a9a</t>
        </is>
      </c>
      <c r="J339" t="inlineStr">
        <is>
          <t>สะพานข้ามแม่น้ำท่าจีนฝั่งตะวันตก - นาโคก</t>
        </is>
      </c>
      <c r="K339" t="inlineStr">
        <is>
          <t>30+700</t>
        </is>
      </c>
      <c r="L339" t="inlineStr">
        <is>
          <t>สถานีย่อย (C)</t>
        </is>
      </c>
      <c r="M339" t="n">
        <v>1</v>
      </c>
      <c r="N339" t="n">
        <v>13.544191</v>
      </c>
      <c r="O339" t="n">
        <v>100.252408</v>
      </c>
      <c r="P339" t="n">
        <v>4.34</v>
      </c>
      <c r="Q339" t="n">
        <v>223</v>
      </c>
      <c r="R339" t="n">
        <v>3</v>
      </c>
      <c r="S339" s="3" t="n">
        <v>149785</v>
      </c>
      <c r="T339" t="n">
        <v>1</v>
      </c>
      <c r="U339" t="n">
        <v>3</v>
      </c>
      <c r="V339" t="n">
        <v>58</v>
      </c>
      <c r="W339" t="n">
        <v>0.2735</v>
      </c>
      <c r="X339" t="inlineStr">
        <is>
          <t>low</t>
        </is>
      </c>
      <c r="Y339" s="3">
        <f>Q339*1000000</f>
        <v/>
      </c>
      <c r="Z339" s="3">
        <f>365*R339*S339*T339</f>
        <v/>
      </c>
      <c r="AA339" s="4">
        <f>Y339/Z339</f>
        <v/>
      </c>
      <c r="AB339" s="4">
        <f>Q339*1000000/(365*R339*S339)</f>
        <v/>
      </c>
      <c r="AC339">
        <f>RANK(AA339,$AA$2:$AA$395,0)</f>
        <v/>
      </c>
    </row>
    <row r="340">
      <c r="A340" t="inlineStr">
        <is>
          <t>zone_570</t>
        </is>
      </c>
      <c r="B340" t="inlineStr">
        <is>
          <t>สะพานข้ามแม่น้ำท่าจีนฝั่งตะวันตก - นาโคก</t>
        </is>
      </c>
      <c r="C340" t="inlineStr">
        <is>
          <t>สมุทรสาคร</t>
        </is>
      </c>
      <c r="D340" t="n">
        <v>35</v>
      </c>
      <c r="E340" t="inlineStr">
        <is>
          <t>0202</t>
        </is>
      </c>
      <c r="F340" t="inlineStr">
        <is>
          <t>30.4–31.7</t>
        </is>
      </c>
      <c r="G340" t="n">
        <v>13.543798</v>
      </c>
      <c r="H340" t="n">
        <v>100.249106</v>
      </c>
      <c r="I340" t="inlineStr">
        <is>
          <t>hods_aadt_pnt_2568.fid-6461857d_1a0f2643074_4a9a</t>
        </is>
      </c>
      <c r="J340" t="inlineStr">
        <is>
          <t>สะพานข้ามแม่น้ำท่าจีนฝั่งตะวันตก - นาโคก</t>
        </is>
      </c>
      <c r="K340" t="inlineStr">
        <is>
          <t>30+700</t>
        </is>
      </c>
      <c r="L340" t="inlineStr">
        <is>
          <t>สถานีย่อย (C)</t>
        </is>
      </c>
      <c r="M340" t="n">
        <v>1</v>
      </c>
      <c r="N340" t="n">
        <v>13.544191</v>
      </c>
      <c r="O340" t="n">
        <v>100.252408</v>
      </c>
      <c r="P340" t="n">
        <v>0.36</v>
      </c>
      <c r="Q340" t="n">
        <v>37</v>
      </c>
      <c r="R340" t="n">
        <v>3</v>
      </c>
      <c r="S340" s="3" t="n">
        <v>149785</v>
      </c>
      <c r="T340" t="n">
        <v>1</v>
      </c>
      <c r="U340" t="n">
        <v>1</v>
      </c>
      <c r="V340" t="n">
        <v>7</v>
      </c>
      <c r="W340" t="n">
        <v>0.2162</v>
      </c>
      <c r="X340" t="inlineStr">
        <is>
          <t>low</t>
        </is>
      </c>
      <c r="Y340" s="3">
        <f>Q340*1000000</f>
        <v/>
      </c>
      <c r="Z340" s="3">
        <f>365*R340*S340*T340</f>
        <v/>
      </c>
      <c r="AA340" s="4">
        <f>Y340/Z340</f>
        <v/>
      </c>
      <c r="AB340" s="4">
        <f>Q340*1000000/(365*R340*S340)</f>
        <v/>
      </c>
      <c r="AC340">
        <f>RANK(AA340,$AA$2:$AA$395,0)</f>
        <v/>
      </c>
    </row>
    <row r="341">
      <c r="A341" t="inlineStr">
        <is>
          <t>zone_571</t>
        </is>
      </c>
      <c r="B341" t="inlineStr">
        <is>
          <t>แสมดำ - สะพานข้ามแม่น้ำท่าจีนฝั่งตะวันตก</t>
        </is>
      </c>
      <c r="C341" t="inlineStr">
        <is>
          <t>สมุทรสาคร</t>
        </is>
      </c>
      <c r="D341" t="n">
        <v>35</v>
      </c>
      <c r="E341" t="inlineStr">
        <is>
          <t>0201</t>
        </is>
      </c>
      <c r="F341" t="inlineStr">
        <is>
          <t>29.5–30.25</t>
        </is>
      </c>
      <c r="G341" t="n">
        <v>13.546439</v>
      </c>
      <c r="H341" t="n">
        <v>100.259155</v>
      </c>
      <c r="I341" t="inlineStr">
        <is>
          <t>hods_aadt_pnt_2568.fid-6461857d_1a0f2643074_4a99</t>
        </is>
      </c>
      <c r="J341" t="inlineStr">
        <is>
          <t>แสมดำ - สะพานข้ามแม่น้ำท่าจีนฝั่งตะวันตก</t>
        </is>
      </c>
      <c r="K341" t="inlineStr">
        <is>
          <t>24+550</t>
        </is>
      </c>
      <c r="L341" t="inlineStr">
        <is>
          <t>สถานีหลัก (P)</t>
        </is>
      </c>
      <c r="M341" t="n">
        <v>1</v>
      </c>
      <c r="N341" t="n">
        <v>13.575463</v>
      </c>
      <c r="O341" t="n">
        <v>100.298629</v>
      </c>
      <c r="P341" t="n">
        <v>5.35</v>
      </c>
      <c r="Q341" t="n">
        <v>37</v>
      </c>
      <c r="R341" t="n">
        <v>3</v>
      </c>
      <c r="S341" s="3" t="n">
        <v>143116</v>
      </c>
      <c r="T341" t="n">
        <v>1</v>
      </c>
      <c r="U341" t="n">
        <v>1</v>
      </c>
      <c r="V341" t="n">
        <v>17</v>
      </c>
      <c r="W341" t="n">
        <v>0.4865</v>
      </c>
      <c r="X341" t="inlineStr">
        <is>
          <t>low</t>
        </is>
      </c>
      <c r="Y341" s="3">
        <f>Q341*1000000</f>
        <v/>
      </c>
      <c r="Z341" s="3">
        <f>365*R341*S341*T341</f>
        <v/>
      </c>
      <c r="AA341" s="4">
        <f>Y341/Z341</f>
        <v/>
      </c>
      <c r="AB341" s="4">
        <f>Q341*1000000/(365*R341*S341)</f>
        <v/>
      </c>
      <c r="AC341">
        <f>RANK(AA341,$AA$2:$AA$395,0)</f>
        <v/>
      </c>
    </row>
    <row r="342">
      <c r="A342" t="inlineStr">
        <is>
          <t>zone_572</t>
        </is>
      </c>
      <c r="B342" t="inlineStr">
        <is>
          <t>แสมดำ - สะพานข้ามแม่น้ำท่าจีนฝั่งตะวันตก</t>
        </is>
      </c>
      <c r="C342" t="inlineStr">
        <is>
          <t>สมุทรสาคร</t>
        </is>
      </c>
      <c r="D342" t="n">
        <v>35</v>
      </c>
      <c r="E342" t="inlineStr">
        <is>
          <t>0201</t>
        </is>
      </c>
      <c r="F342" t="inlineStr">
        <is>
          <t>29.1–29.4</t>
        </is>
      </c>
      <c r="G342" t="n">
        <v>13.550597</v>
      </c>
      <c r="H342" t="n">
        <v>100.26407</v>
      </c>
      <c r="I342" t="inlineStr">
        <is>
          <t>hods_aadt_pnt_2568.fid-6461857d_1a0f2643074_4a99</t>
        </is>
      </c>
      <c r="J342" t="inlineStr">
        <is>
          <t>แสมดำ - สะพานข้ามแม่น้ำท่าจีนฝั่งตะวันตก</t>
        </is>
      </c>
      <c r="K342" t="inlineStr">
        <is>
          <t>24+550</t>
        </is>
      </c>
      <c r="L342" t="inlineStr">
        <is>
          <t>สถานีหลัก (P)</t>
        </is>
      </c>
      <c r="M342" t="n">
        <v>1</v>
      </c>
      <c r="N342" t="n">
        <v>13.575463</v>
      </c>
      <c r="O342" t="n">
        <v>100.298629</v>
      </c>
      <c r="P342" t="n">
        <v>4.65</v>
      </c>
      <c r="Q342" t="n">
        <v>3</v>
      </c>
      <c r="R342" t="n">
        <v>3</v>
      </c>
      <c r="S342" s="3" t="n">
        <v>143116</v>
      </c>
      <c r="T342" t="n">
        <v>1</v>
      </c>
      <c r="U342" t="n">
        <v>0</v>
      </c>
      <c r="V342" t="n">
        <v>1</v>
      </c>
      <c r="W342" t="n">
        <v>0.3333</v>
      </c>
      <c r="X342" t="inlineStr">
        <is>
          <t>low</t>
        </is>
      </c>
      <c r="Y342" s="3">
        <f>Q342*1000000</f>
        <v/>
      </c>
      <c r="Z342" s="3">
        <f>365*R342*S342*T342</f>
        <v/>
      </c>
      <c r="AA342" s="4">
        <f>Y342/Z342</f>
        <v/>
      </c>
      <c r="AB342" s="4">
        <f>Q342*1000000/(365*R342*S342)</f>
        <v/>
      </c>
      <c r="AC342">
        <f>RANK(AA342,$AA$2:$AA$395,0)</f>
        <v/>
      </c>
    </row>
    <row r="343">
      <c r="A343" t="inlineStr">
        <is>
          <t>zone_573</t>
        </is>
      </c>
      <c r="B343" t="inlineStr">
        <is>
          <t>สะพานข้ามแม่น้ำท่าจีนฝั่งตะวันตก - นาโคก</t>
        </is>
      </c>
      <c r="C343" t="inlineStr">
        <is>
          <t>สมุทรสาคร</t>
        </is>
      </c>
      <c r="D343" t="n">
        <v>35</v>
      </c>
      <c r="E343" t="inlineStr">
        <is>
          <t>0202</t>
        </is>
      </c>
      <c r="F343" t="inlineStr">
        <is>
          <t>31.7–33.3</t>
        </is>
      </c>
      <c r="G343" t="n">
        <v>13.541227</v>
      </c>
      <c r="H343" t="n">
        <v>100.233243</v>
      </c>
      <c r="I343" t="inlineStr">
        <is>
          <t>hods_aadt_pnt_2568.fid-6461857d_1a0f2643074_4a9a</t>
        </is>
      </c>
      <c r="J343" t="inlineStr">
        <is>
          <t>สะพานข้ามแม่น้ำท่าจีนฝั่งตะวันตก - นาโคก</t>
        </is>
      </c>
      <c r="K343" t="inlineStr">
        <is>
          <t>30+700</t>
        </is>
      </c>
      <c r="L343" t="inlineStr">
        <is>
          <t>สถานีย่อย (C)</t>
        </is>
      </c>
      <c r="M343" t="n">
        <v>1</v>
      </c>
      <c r="N343" t="n">
        <v>13.544191</v>
      </c>
      <c r="O343" t="n">
        <v>100.252408</v>
      </c>
      <c r="P343" t="n">
        <v>2.1</v>
      </c>
      <c r="Q343" t="n">
        <v>18</v>
      </c>
      <c r="R343" t="n">
        <v>3</v>
      </c>
      <c r="S343" s="3" t="n">
        <v>149785</v>
      </c>
      <c r="T343" t="n">
        <v>1</v>
      </c>
      <c r="U343" t="n">
        <v>0</v>
      </c>
      <c r="V343" t="n">
        <v>17</v>
      </c>
      <c r="W343" t="n">
        <v>0.9444</v>
      </c>
      <c r="X343" t="inlineStr">
        <is>
          <t>low</t>
        </is>
      </c>
      <c r="Y343" s="3">
        <f>Q343*1000000</f>
        <v/>
      </c>
      <c r="Z343" s="3">
        <f>365*R343*S343*T343</f>
        <v/>
      </c>
      <c r="AA343" s="4">
        <f>Y343/Z343</f>
        <v/>
      </c>
      <c r="AB343" s="4">
        <f>Q343*1000000/(365*R343*S343)</f>
        <v/>
      </c>
      <c r="AC343">
        <f>RANK(AA343,$AA$2:$AA$395,0)</f>
        <v/>
      </c>
    </row>
    <row r="344">
      <c r="A344" t="inlineStr">
        <is>
          <t>zone_574</t>
        </is>
      </c>
      <c r="B344" t="inlineStr">
        <is>
          <t>สะพานข้ามแม่น้ำท่าจีนฝั่งตะวันตก - นาโคก</t>
        </is>
      </c>
      <c r="C344" t="inlineStr">
        <is>
          <t>สมุทรสาคร</t>
        </is>
      </c>
      <c r="D344" t="n">
        <v>35</v>
      </c>
      <c r="E344" t="inlineStr">
        <is>
          <t>0202</t>
        </is>
      </c>
      <c r="F344" t="inlineStr">
        <is>
          <t>30.5–31</t>
        </is>
      </c>
      <c r="G344" t="n">
        <v>13.543898</v>
      </c>
      <c r="H344" t="n">
        <v>100.250019</v>
      </c>
      <c r="I344" t="inlineStr">
        <is>
          <t>hods_aadt_pnt_2568.fid-6461857d_1a0f2643074_4a9a</t>
        </is>
      </c>
      <c r="J344" t="inlineStr">
        <is>
          <t>สะพานข้ามแม่น้ำท่าจีนฝั่งตะวันตก - นาโคก</t>
        </is>
      </c>
      <c r="K344" t="inlineStr">
        <is>
          <t>30+700</t>
        </is>
      </c>
      <c r="L344" t="inlineStr">
        <is>
          <t>สถานีย่อย (C)</t>
        </is>
      </c>
      <c r="M344" t="n">
        <v>1</v>
      </c>
      <c r="N344" t="n">
        <v>13.544191</v>
      </c>
      <c r="O344" t="n">
        <v>100.252408</v>
      </c>
      <c r="P344" t="n">
        <v>0.26</v>
      </c>
      <c r="Q344" t="n">
        <v>3</v>
      </c>
      <c r="R344" t="n">
        <v>3</v>
      </c>
      <c r="S344" s="3" t="n">
        <v>149785</v>
      </c>
      <c r="T344" t="n">
        <v>1</v>
      </c>
      <c r="U344" t="n">
        <v>0</v>
      </c>
      <c r="V344" t="n">
        <v>1</v>
      </c>
      <c r="W344" t="n">
        <v>0.3333</v>
      </c>
      <c r="X344" t="inlineStr">
        <is>
          <t>low</t>
        </is>
      </c>
      <c r="Y344" s="3">
        <f>Q344*1000000</f>
        <v/>
      </c>
      <c r="Z344" s="3">
        <f>365*R344*S344*T344</f>
        <v/>
      </c>
      <c r="AA344" s="4">
        <f>Y344/Z344</f>
        <v/>
      </c>
      <c r="AB344" s="4">
        <f>Q344*1000000/(365*R344*S344)</f>
        <v/>
      </c>
      <c r="AC344">
        <f>RANK(AA344,$AA$2:$AA$395,0)</f>
        <v/>
      </c>
    </row>
    <row r="345">
      <c r="A345" t="inlineStr">
        <is>
          <t>zone_575</t>
        </is>
      </c>
      <c r="B345" t="inlineStr">
        <is>
          <t>แสมดำ - สะพานข้ามแม่น้ำท่าจีนฝั่งตะวันตก</t>
        </is>
      </c>
      <c r="C345" t="inlineStr">
        <is>
          <t>สมุทรสาคร</t>
        </is>
      </c>
      <c r="D345" t="n">
        <v>35</v>
      </c>
      <c r="E345" t="inlineStr">
        <is>
          <t>0201</t>
        </is>
      </c>
      <c r="F345" t="inlineStr">
        <is>
          <t>29–30.275</t>
        </is>
      </c>
      <c r="G345" t="n">
        <v>13.54842</v>
      </c>
      <c r="H345" t="n">
        <v>100.261219</v>
      </c>
      <c r="I345" t="inlineStr">
        <is>
          <t>hods_aadt_pnt_2568.fid-6461857d_1a0f2643074_4a99</t>
        </is>
      </c>
      <c r="J345" t="inlineStr">
        <is>
          <t>แสมดำ - สะพานข้ามแม่น้ำท่าจีนฝั่งตะวันตก</t>
        </is>
      </c>
      <c r="K345" t="inlineStr">
        <is>
          <t>24+550</t>
        </is>
      </c>
      <c r="L345" t="inlineStr">
        <is>
          <t>สถานีหลัก (P)</t>
        </is>
      </c>
      <c r="M345" t="n">
        <v>1</v>
      </c>
      <c r="N345" t="n">
        <v>13.575463</v>
      </c>
      <c r="O345" t="n">
        <v>100.298629</v>
      </c>
      <c r="P345" t="n">
        <v>5.04</v>
      </c>
      <c r="Q345" t="n">
        <v>29</v>
      </c>
      <c r="R345" t="n">
        <v>3</v>
      </c>
      <c r="S345" s="3" t="n">
        <v>143116</v>
      </c>
      <c r="T345" t="n">
        <v>1</v>
      </c>
      <c r="U345" t="n">
        <v>3</v>
      </c>
      <c r="V345" t="n">
        <v>9</v>
      </c>
      <c r="W345" t="n">
        <v>0.4138</v>
      </c>
      <c r="X345" t="inlineStr">
        <is>
          <t>low</t>
        </is>
      </c>
      <c r="Y345" s="3">
        <f>Q345*1000000</f>
        <v/>
      </c>
      <c r="Z345" s="3">
        <f>365*R345*S345*T345</f>
        <v/>
      </c>
      <c r="AA345" s="4">
        <f>Y345/Z345</f>
        <v/>
      </c>
      <c r="AB345" s="4">
        <f>Q345*1000000/(365*R345*S345)</f>
        <v/>
      </c>
      <c r="AC345">
        <f>RANK(AA345,$AA$2:$AA$395,0)</f>
        <v/>
      </c>
    </row>
    <row r="346">
      <c r="A346" t="inlineStr">
        <is>
          <t>zone_576</t>
        </is>
      </c>
      <c r="B346" t="inlineStr">
        <is>
          <t>สะพานข้ามแม่น้ำท่าจีนฝั่งตะวันตก - นาโคก</t>
        </is>
      </c>
      <c r="C346" t="inlineStr">
        <is>
          <t>สมุทรสาคร</t>
        </is>
      </c>
      <c r="D346" t="n">
        <v>35</v>
      </c>
      <c r="E346" t="inlineStr">
        <is>
          <t>0202</t>
        </is>
      </c>
      <c r="F346" t="inlineStr">
        <is>
          <t>31.2–31.9</t>
        </is>
      </c>
      <c r="G346" t="n">
        <v>13.543359</v>
      </c>
      <c r="H346" t="n">
        <v>100.243835</v>
      </c>
      <c r="I346" t="inlineStr">
        <is>
          <t>hods_aadt_pnt_2568.fid-6461857d_1a0f2643074_4a9a</t>
        </is>
      </c>
      <c r="J346" t="inlineStr">
        <is>
          <t>สะพานข้ามแม่น้ำท่าจีนฝั่งตะวันตก - นาโคก</t>
        </is>
      </c>
      <c r="K346" t="inlineStr">
        <is>
          <t>30+700</t>
        </is>
      </c>
      <c r="L346" t="inlineStr">
        <is>
          <t>สถานีย่อย (C)</t>
        </is>
      </c>
      <c r="M346" t="n">
        <v>1</v>
      </c>
      <c r="N346" t="n">
        <v>13.544191</v>
      </c>
      <c r="O346" t="n">
        <v>100.252408</v>
      </c>
      <c r="P346" t="n">
        <v>0.93</v>
      </c>
      <c r="Q346" t="n">
        <v>25</v>
      </c>
      <c r="R346" t="n">
        <v>3</v>
      </c>
      <c r="S346" s="3" t="n">
        <v>149785</v>
      </c>
      <c r="T346" t="n">
        <v>1</v>
      </c>
      <c r="U346" t="n">
        <v>0</v>
      </c>
      <c r="V346" t="n">
        <v>2</v>
      </c>
      <c r="W346" t="n">
        <v>0.08</v>
      </c>
      <c r="X346" t="inlineStr">
        <is>
          <t>low</t>
        </is>
      </c>
      <c r="Y346" s="3">
        <f>Q346*1000000</f>
        <v/>
      </c>
      <c r="Z346" s="3">
        <f>365*R346*S346*T346</f>
        <v/>
      </c>
      <c r="AA346" s="4">
        <f>Y346/Z346</f>
        <v/>
      </c>
      <c r="AB346" s="4">
        <f>Q346*1000000/(365*R346*S346)</f>
        <v/>
      </c>
      <c r="AC346">
        <f>RANK(AA346,$AA$2:$AA$395,0)</f>
        <v/>
      </c>
    </row>
    <row r="347">
      <c r="A347" t="inlineStr">
        <is>
          <t>zone_577</t>
        </is>
      </c>
      <c r="B347" t="inlineStr">
        <is>
          <t>สะพานข้ามแม่น้ำท่าจีนฝั่งตะวันตก - นาโคก</t>
        </is>
      </c>
      <c r="C347" t="inlineStr">
        <is>
          <t>สมุทรสาคร</t>
        </is>
      </c>
      <c r="D347" t="n">
        <v>35</v>
      </c>
      <c r="E347" t="inlineStr">
        <is>
          <t>0202</t>
        </is>
      </c>
      <c r="F347" t="inlineStr">
        <is>
          <t>35.079–37.02</t>
        </is>
      </c>
      <c r="G347" t="n">
        <v>13.531044</v>
      </c>
      <c r="H347" t="n">
        <v>100.203549</v>
      </c>
      <c r="I347" t="inlineStr">
        <is>
          <t>hods_aadt_pnt_2568.fid-6461857d_1a0f2643074_4a9a</t>
        </is>
      </c>
      <c r="J347" t="inlineStr">
        <is>
          <t>สะพานข้ามแม่น้ำท่าจีนฝั่งตะวันตก - นาโคก</t>
        </is>
      </c>
      <c r="K347" t="inlineStr">
        <is>
          <t>30+700</t>
        </is>
      </c>
      <c r="L347" t="inlineStr">
        <is>
          <t>สถานีย่อย (C)</t>
        </is>
      </c>
      <c r="M347" t="n">
        <v>1</v>
      </c>
      <c r="N347" t="n">
        <v>13.544191</v>
      </c>
      <c r="O347" t="n">
        <v>100.252408</v>
      </c>
      <c r="P347" t="n">
        <v>5.48</v>
      </c>
      <c r="Q347" t="n">
        <v>79</v>
      </c>
      <c r="R347" t="n">
        <v>3</v>
      </c>
      <c r="S347" s="3" t="n">
        <v>149785</v>
      </c>
      <c r="T347" t="n">
        <v>1</v>
      </c>
      <c r="U347" t="n">
        <v>0</v>
      </c>
      <c r="V347" t="n">
        <v>8</v>
      </c>
      <c r="W347" t="n">
        <v>0.1013</v>
      </c>
      <c r="X347" t="inlineStr">
        <is>
          <t>low</t>
        </is>
      </c>
      <c r="Y347" s="3">
        <f>Q347*1000000</f>
        <v/>
      </c>
      <c r="Z347" s="3">
        <f>365*R347*S347*T347</f>
        <v/>
      </c>
      <c r="AA347" s="4">
        <f>Y347/Z347</f>
        <v/>
      </c>
      <c r="AB347" s="4">
        <f>Q347*1000000/(365*R347*S347)</f>
        <v/>
      </c>
      <c r="AC347">
        <f>RANK(AA347,$AA$2:$AA$395,0)</f>
        <v/>
      </c>
    </row>
    <row r="348">
      <c r="A348" t="inlineStr">
        <is>
          <t>zone_578</t>
        </is>
      </c>
      <c r="B348" t="inlineStr">
        <is>
          <t>สะพานข้ามแม่น้ำท่าจีนฝั่งตะวันตก - นาโคก</t>
        </is>
      </c>
      <c r="C348" t="inlineStr">
        <is>
          <t>สมุทรสาคร</t>
        </is>
      </c>
      <c r="D348" t="n">
        <v>35</v>
      </c>
      <c r="E348" t="inlineStr">
        <is>
          <t>0202</t>
        </is>
      </c>
      <c r="F348" t="inlineStr">
        <is>
          <t>33.57–33.9</t>
        </is>
      </c>
      <c r="G348" t="n">
        <v>13.538297</v>
      </c>
      <c r="H348" t="n">
        <v>100.22599</v>
      </c>
      <c r="I348" t="inlineStr">
        <is>
          <t>hods_aadt_pnt_2568.fid-6461857d_1a0f2643074_4a9a</t>
        </is>
      </c>
      <c r="J348" t="inlineStr">
        <is>
          <t>สะพานข้ามแม่น้ำท่าจีนฝั่งตะวันตก - นาโคก</t>
        </is>
      </c>
      <c r="K348" t="inlineStr">
        <is>
          <t>30+700</t>
        </is>
      </c>
      <c r="L348" t="inlineStr">
        <is>
          <t>สถานีย่อย (C)</t>
        </is>
      </c>
      <c r="M348" t="n">
        <v>1</v>
      </c>
      <c r="N348" t="n">
        <v>13.544191</v>
      </c>
      <c r="O348" t="n">
        <v>100.252408</v>
      </c>
      <c r="P348" t="n">
        <v>2.93</v>
      </c>
      <c r="Q348" t="n">
        <v>9</v>
      </c>
      <c r="R348" t="n">
        <v>3</v>
      </c>
      <c r="S348" s="3" t="n">
        <v>149785</v>
      </c>
      <c r="T348" t="n">
        <v>1</v>
      </c>
      <c r="U348" t="n">
        <v>0</v>
      </c>
      <c r="V348" t="n">
        <v>1</v>
      </c>
      <c r="W348" t="n">
        <v>0.1111</v>
      </c>
      <c r="X348" t="inlineStr">
        <is>
          <t>low</t>
        </is>
      </c>
      <c r="Y348" s="3">
        <f>Q348*1000000</f>
        <v/>
      </c>
      <c r="Z348" s="3">
        <f>365*R348*S348*T348</f>
        <v/>
      </c>
      <c r="AA348" s="4">
        <f>Y348/Z348</f>
        <v/>
      </c>
      <c r="AB348" s="4">
        <f>Q348*1000000/(365*R348*S348)</f>
        <v/>
      </c>
      <c r="AC348">
        <f>RANK(AA348,$AA$2:$AA$395,0)</f>
        <v/>
      </c>
    </row>
    <row r="349">
      <c r="A349" t="inlineStr">
        <is>
          <t>zone_579</t>
        </is>
      </c>
      <c r="B349" t="inlineStr">
        <is>
          <t>สะพานข้ามแม่น้ำท่าจีนฝั่งตะวันตก - นาโคก</t>
        </is>
      </c>
      <c r="C349" t="inlineStr">
        <is>
          <t>สมุทรสาคร</t>
        </is>
      </c>
      <c r="D349" t="n">
        <v>35</v>
      </c>
      <c r="E349" t="inlineStr">
        <is>
          <t>0202</t>
        </is>
      </c>
      <c r="F349" t="inlineStr">
        <is>
          <t>34.1–34.895</t>
        </is>
      </c>
      <c r="G349" t="n">
        <v>13.535817</v>
      </c>
      <c r="H349" t="n">
        <v>100.218352</v>
      </c>
      <c r="I349" t="inlineStr">
        <is>
          <t>hods_aadt_pnt_2568.fid-6461857d_1a0f2643074_4a9a</t>
        </is>
      </c>
      <c r="J349" t="inlineStr">
        <is>
          <t>สะพานข้ามแม่น้ำท่าจีนฝั่งตะวันตก - นาโคก</t>
        </is>
      </c>
      <c r="K349" t="inlineStr">
        <is>
          <t>30+700</t>
        </is>
      </c>
      <c r="L349" t="inlineStr">
        <is>
          <t>สถานีย่อย (C)</t>
        </is>
      </c>
      <c r="M349" t="n">
        <v>1</v>
      </c>
      <c r="N349" t="n">
        <v>13.544191</v>
      </c>
      <c r="O349" t="n">
        <v>100.252408</v>
      </c>
      <c r="P349" t="n">
        <v>3.8</v>
      </c>
      <c r="Q349" t="n">
        <v>23</v>
      </c>
      <c r="R349" t="n">
        <v>3</v>
      </c>
      <c r="S349" s="3" t="n">
        <v>149785</v>
      </c>
      <c r="T349" t="n">
        <v>1</v>
      </c>
      <c r="U349" t="n">
        <v>2</v>
      </c>
      <c r="V349" t="n">
        <v>3</v>
      </c>
      <c r="W349" t="n">
        <v>0.2174</v>
      </c>
      <c r="X349" t="inlineStr">
        <is>
          <t>low</t>
        </is>
      </c>
      <c r="Y349" s="3">
        <f>Q349*1000000</f>
        <v/>
      </c>
      <c r="Z349" s="3">
        <f>365*R349*S349*T349</f>
        <v/>
      </c>
      <c r="AA349" s="4">
        <f>Y349/Z349</f>
        <v/>
      </c>
      <c r="AB349" s="4">
        <f>Q349*1000000/(365*R349*S349)</f>
        <v/>
      </c>
      <c r="AC349">
        <f>RANK(AA349,$AA$2:$AA$395,0)</f>
        <v/>
      </c>
    </row>
    <row r="350">
      <c r="A350" t="inlineStr">
        <is>
          <t>zone_580</t>
        </is>
      </c>
      <c r="B350" t="inlineStr">
        <is>
          <t>สะพานข้ามแม่น้ำท่าจีนฝั่งตะวันตก - นาโคก</t>
        </is>
      </c>
      <c r="C350" t="inlineStr">
        <is>
          <t>สมุทรสาคร</t>
        </is>
      </c>
      <c r="D350" t="n">
        <v>35</v>
      </c>
      <c r="E350" t="inlineStr">
        <is>
          <t>0202</t>
        </is>
      </c>
      <c r="F350" t="inlineStr">
        <is>
          <t>30.5–30.5</t>
        </is>
      </c>
      <c r="G350" t="n">
        <v>13.544438</v>
      </c>
      <c r="H350" t="n">
        <v>100.254581</v>
      </c>
      <c r="I350" t="inlineStr">
        <is>
          <t>hods_aadt_pnt_2568.fid-6461857d_1a0f2643074_4a9a</t>
        </is>
      </c>
      <c r="J350" t="inlineStr">
        <is>
          <t>สะพานข้ามแม่น้ำท่าจีนฝั่งตะวันตก - นาโคก</t>
        </is>
      </c>
      <c r="K350" t="inlineStr">
        <is>
          <t>30+700</t>
        </is>
      </c>
      <c r="L350" t="inlineStr">
        <is>
          <t>สถานีย่อย (C)</t>
        </is>
      </c>
      <c r="M350" t="n">
        <v>1</v>
      </c>
      <c r="N350" t="n">
        <v>13.544191</v>
      </c>
      <c r="O350" t="n">
        <v>100.252408</v>
      </c>
      <c r="P350" t="n">
        <v>0.24</v>
      </c>
      <c r="Q350" t="n">
        <v>3</v>
      </c>
      <c r="R350" t="n">
        <v>3</v>
      </c>
      <c r="S350" s="3" t="n">
        <v>149785</v>
      </c>
      <c r="T350" t="n">
        <v>1</v>
      </c>
      <c r="U350" t="n">
        <v>0</v>
      </c>
      <c r="V350" t="n">
        <v>0</v>
      </c>
      <c r="W350" t="n">
        <v>0</v>
      </c>
      <c r="X350" t="inlineStr">
        <is>
          <t>low</t>
        </is>
      </c>
      <c r="Y350" s="3">
        <f>Q350*1000000</f>
        <v/>
      </c>
      <c r="Z350" s="3">
        <f>365*R350*S350*T350</f>
        <v/>
      </c>
      <c r="AA350" s="4">
        <f>Y350/Z350</f>
        <v/>
      </c>
      <c r="AB350" s="4">
        <f>Q350*1000000/(365*R350*S350)</f>
        <v/>
      </c>
      <c r="AC350">
        <f>RANK(AA350,$AA$2:$AA$395,0)</f>
        <v/>
      </c>
    </row>
    <row r="351">
      <c r="A351" t="inlineStr">
        <is>
          <t>zone_581</t>
        </is>
      </c>
      <c r="B351" t="inlineStr">
        <is>
          <t>แสมดำ - สะพานข้ามแม่น้ำท่าจีนฝั่งตะวันตก</t>
        </is>
      </c>
      <c r="C351" t="inlineStr">
        <is>
          <t>สมุทรสาคร</t>
        </is>
      </c>
      <c r="D351" t="n">
        <v>35</v>
      </c>
      <c r="E351" t="inlineStr">
        <is>
          <t>0201</t>
        </is>
      </c>
      <c r="F351" t="inlineStr">
        <is>
          <t>23.2–25.73</t>
        </is>
      </c>
      <c r="G351" t="n">
        <v>13.574994</v>
      </c>
      <c r="H351" t="n">
        <v>100.297793</v>
      </c>
      <c r="I351" t="inlineStr">
        <is>
          <t>hods_aadt_pnt_2568.fid-6461857d_1a0f2643074_4a99</t>
        </is>
      </c>
      <c r="J351" t="inlineStr">
        <is>
          <t>แสมดำ - สะพานข้ามแม่น้ำท่าจีนฝั่งตะวันตก</t>
        </is>
      </c>
      <c r="K351" t="inlineStr">
        <is>
          <t>24+550</t>
        </is>
      </c>
      <c r="L351" t="inlineStr">
        <is>
          <t>สถานีหลัก (P)</t>
        </is>
      </c>
      <c r="M351" t="n">
        <v>1</v>
      </c>
      <c r="N351" t="n">
        <v>13.575463</v>
      </c>
      <c r="O351" t="n">
        <v>100.298629</v>
      </c>
      <c r="P351" t="n">
        <v>0.1</v>
      </c>
      <c r="Q351" t="n">
        <v>63</v>
      </c>
      <c r="R351" t="n">
        <v>3</v>
      </c>
      <c r="S351" s="3" t="n">
        <v>143116</v>
      </c>
      <c r="T351" t="n">
        <v>1</v>
      </c>
      <c r="U351" t="n">
        <v>1</v>
      </c>
      <c r="V351" t="n">
        <v>29</v>
      </c>
      <c r="W351" t="n">
        <v>0.4762</v>
      </c>
      <c r="X351" t="inlineStr">
        <is>
          <t>low</t>
        </is>
      </c>
      <c r="Y351" s="3">
        <f>Q351*1000000</f>
        <v/>
      </c>
      <c r="Z351" s="3">
        <f>365*R351*S351*T351</f>
        <v/>
      </c>
      <c r="AA351" s="4">
        <f>Y351/Z351</f>
        <v/>
      </c>
      <c r="AB351" s="4">
        <f>Q351*1000000/(365*R351*S351)</f>
        <v/>
      </c>
      <c r="AC351">
        <f>RANK(AA351,$AA$2:$AA$395,0)</f>
        <v/>
      </c>
    </row>
    <row r="352">
      <c r="A352" t="inlineStr">
        <is>
          <t>zone_582</t>
        </is>
      </c>
      <c r="B352" t="inlineStr">
        <is>
          <t>แสมดำ - สะพานข้ามแม่น้ำท่าจีนฝั่งตะวันตก</t>
        </is>
      </c>
      <c r="C352" t="inlineStr">
        <is>
          <t>สมุทรสาคร</t>
        </is>
      </c>
      <c r="D352" t="n">
        <v>35</v>
      </c>
      <c r="E352" t="inlineStr">
        <is>
          <t>0201</t>
        </is>
      </c>
      <c r="F352" t="inlineStr">
        <is>
          <t>25.1–25.1</t>
        </is>
      </c>
      <c r="G352" t="n">
        <v>13.573099</v>
      </c>
      <c r="H352" t="n">
        <v>100.294143</v>
      </c>
      <c r="I352" t="inlineStr">
        <is>
          <t>hods_aadt_pnt_2568.fid-6461857d_1a0f2643074_4a99</t>
        </is>
      </c>
      <c r="J352" t="inlineStr">
        <is>
          <t>แสมดำ - สะพานข้ามแม่น้ำท่าจีนฝั่งตะวันตก</t>
        </is>
      </c>
      <c r="K352" t="inlineStr">
        <is>
          <t>24+550</t>
        </is>
      </c>
      <c r="L352" t="inlineStr">
        <is>
          <t>สถานีหลัก (P)</t>
        </is>
      </c>
      <c r="M352" t="n">
        <v>1</v>
      </c>
      <c r="N352" t="n">
        <v>13.575463</v>
      </c>
      <c r="O352" t="n">
        <v>100.298629</v>
      </c>
      <c r="P352" t="n">
        <v>0.55</v>
      </c>
      <c r="Q352" t="n">
        <v>3</v>
      </c>
      <c r="R352" t="n">
        <v>3</v>
      </c>
      <c r="S352" s="3" t="n">
        <v>143116</v>
      </c>
      <c r="T352" t="n">
        <v>1</v>
      </c>
      <c r="U352" t="n">
        <v>0</v>
      </c>
      <c r="V352" t="n">
        <v>1</v>
      </c>
      <c r="W352" t="n">
        <v>0.3333</v>
      </c>
      <c r="X352" t="inlineStr">
        <is>
          <t>low</t>
        </is>
      </c>
      <c r="Y352" s="3">
        <f>Q352*1000000</f>
        <v/>
      </c>
      <c r="Z352" s="3">
        <f>365*R352*S352*T352</f>
        <v/>
      </c>
      <c r="AA352" s="4">
        <f>Y352/Z352</f>
        <v/>
      </c>
      <c r="AB352" s="4">
        <f>Q352*1000000/(365*R352*S352)</f>
        <v/>
      </c>
      <c r="AC352">
        <f>RANK(AA352,$AA$2:$AA$395,0)</f>
        <v/>
      </c>
    </row>
    <row r="353">
      <c r="A353" t="inlineStr">
        <is>
          <t>zone_583</t>
        </is>
      </c>
      <c r="B353" t="inlineStr">
        <is>
          <t>แสมดำ - สะพานข้ามแม่น้ำท่าจีนฝั่งตะวันตก</t>
        </is>
      </c>
      <c r="C353" t="inlineStr">
        <is>
          <t>สมุทรสาคร</t>
        </is>
      </c>
      <c r="D353" t="n">
        <v>35</v>
      </c>
      <c r="E353" t="inlineStr">
        <is>
          <t>0201</t>
        </is>
      </c>
      <c r="F353" t="inlineStr">
        <is>
          <t>22.785–23.5</t>
        </is>
      </c>
      <c r="G353" t="n">
        <v>13.5809</v>
      </c>
      <c r="H353" t="n">
        <v>100.308675</v>
      </c>
      <c r="I353" t="inlineStr">
        <is>
          <t>hods_aadt_pnt_2568.fid-6461857d_1a0f2643074_4a99</t>
        </is>
      </c>
      <c r="J353" t="inlineStr">
        <is>
          <t>แสมดำ - สะพานข้ามแม่น้ำท่าจีนฝั่งตะวันตก</t>
        </is>
      </c>
      <c r="K353" t="inlineStr">
        <is>
          <t>24+550</t>
        </is>
      </c>
      <c r="L353" t="inlineStr">
        <is>
          <t>สถานีหลัก (P)</t>
        </is>
      </c>
      <c r="M353" t="n">
        <v>1</v>
      </c>
      <c r="N353" t="n">
        <v>13.575463</v>
      </c>
      <c r="O353" t="n">
        <v>100.298629</v>
      </c>
      <c r="P353" t="n">
        <v>1.24</v>
      </c>
      <c r="Q353" t="n">
        <v>5</v>
      </c>
      <c r="R353" t="n">
        <v>3</v>
      </c>
      <c r="S353" s="3" t="n">
        <v>143116</v>
      </c>
      <c r="T353" t="n">
        <v>1</v>
      </c>
      <c r="U353" t="n">
        <v>1</v>
      </c>
      <c r="V353" t="n">
        <v>1</v>
      </c>
      <c r="W353" t="n">
        <v>0.4</v>
      </c>
      <c r="X353" t="inlineStr">
        <is>
          <t>low</t>
        </is>
      </c>
      <c r="Y353" s="3">
        <f>Q353*1000000</f>
        <v/>
      </c>
      <c r="Z353" s="3">
        <f>365*R353*S353*T353</f>
        <v/>
      </c>
      <c r="AA353" s="4">
        <f>Y353/Z353</f>
        <v/>
      </c>
      <c r="AB353" s="4">
        <f>Q353*1000000/(365*R353*S353)</f>
        <v/>
      </c>
      <c r="AC353">
        <f>RANK(AA353,$AA$2:$AA$395,0)</f>
        <v/>
      </c>
    </row>
    <row r="354">
      <c r="A354" t="inlineStr">
        <is>
          <t>zone_584</t>
        </is>
      </c>
      <c r="B354" t="inlineStr">
        <is>
          <t>แสมดำ - สะพานข้ามแม่น้ำท่าจีนฝั่งตะวันตก</t>
        </is>
      </c>
      <c r="C354" t="inlineStr">
        <is>
          <t>สมุทรสาคร</t>
        </is>
      </c>
      <c r="D354" t="n">
        <v>35</v>
      </c>
      <c r="E354" t="inlineStr">
        <is>
          <t>0201</t>
        </is>
      </c>
      <c r="F354" t="inlineStr">
        <is>
          <t>16–16.3</t>
        </is>
      </c>
      <c r="G354" t="n">
        <v>13.600618</v>
      </c>
      <c r="H354" t="n">
        <v>100.368337</v>
      </c>
      <c r="I354" t="inlineStr">
        <is>
          <t>hods_aadt_pnt_2568.fid-6461857d_1a0f2643074_4a99</t>
        </is>
      </c>
      <c r="J354" t="inlineStr">
        <is>
          <t>แสมดำ - สะพานข้ามแม่น้ำท่าจีนฝั่งตะวันตก</t>
        </is>
      </c>
      <c r="K354" t="inlineStr">
        <is>
          <t>24+550</t>
        </is>
      </c>
      <c r="L354" t="inlineStr">
        <is>
          <t>สถานีหลัก (P)</t>
        </is>
      </c>
      <c r="M354" t="n">
        <v>1</v>
      </c>
      <c r="N354" t="n">
        <v>13.575463</v>
      </c>
      <c r="O354" t="n">
        <v>100.298629</v>
      </c>
      <c r="P354" t="n">
        <v>8.039999999999999</v>
      </c>
      <c r="Q354" t="n">
        <v>17</v>
      </c>
      <c r="R354" t="n">
        <v>3</v>
      </c>
      <c r="S354" s="3" t="n">
        <v>143116</v>
      </c>
      <c r="T354" t="n">
        <v>1</v>
      </c>
      <c r="U354" t="n">
        <v>0</v>
      </c>
      <c r="V354" t="n">
        <v>2</v>
      </c>
      <c r="W354" t="n">
        <v>0.1176</v>
      </c>
      <c r="X354" t="inlineStr">
        <is>
          <t>low</t>
        </is>
      </c>
      <c r="Y354" s="3">
        <f>Q354*1000000</f>
        <v/>
      </c>
      <c r="Z354" s="3">
        <f>365*R354*S354*T354</f>
        <v/>
      </c>
      <c r="AA354" s="4">
        <f>Y354/Z354</f>
        <v/>
      </c>
      <c r="AB354" s="4">
        <f>Q354*1000000/(365*R354*S354)</f>
        <v/>
      </c>
      <c r="AC354">
        <f>RANK(AA354,$AA$2:$AA$395,0)</f>
        <v/>
      </c>
    </row>
    <row r="355">
      <c r="A355" t="inlineStr">
        <is>
          <t>zone_585</t>
        </is>
      </c>
      <c r="B355" t="inlineStr">
        <is>
          <t>แสมดำ - สะพานข้ามแม่น้ำท่าจีนฝั่งตะวันตก</t>
        </is>
      </c>
      <c r="C355" t="inlineStr">
        <is>
          <t>สมุทรสาคร</t>
        </is>
      </c>
      <c r="D355" t="n">
        <v>35</v>
      </c>
      <c r="E355" t="inlineStr">
        <is>
          <t>0201</t>
        </is>
      </c>
      <c r="F355" t="inlineStr">
        <is>
          <t>16–16</t>
        </is>
      </c>
      <c r="G355" t="n">
        <v>13.601852</v>
      </c>
      <c r="H355" t="n">
        <v>100.3694</v>
      </c>
      <c r="I355" t="inlineStr">
        <is>
          <t>hods_aadt_pnt_2568.fid-6461857d_1a0f2643074_4a99</t>
        </is>
      </c>
      <c r="J355" t="inlineStr">
        <is>
          <t>แสมดำ - สะพานข้ามแม่น้ำท่าจีนฝั่งตะวันตก</t>
        </is>
      </c>
      <c r="K355" t="inlineStr">
        <is>
          <t>24+550</t>
        </is>
      </c>
      <c r="L355" t="inlineStr">
        <is>
          <t>สถานีหลัก (P)</t>
        </is>
      </c>
      <c r="M355" t="n">
        <v>1</v>
      </c>
      <c r="N355" t="n">
        <v>13.575463</v>
      </c>
      <c r="O355" t="n">
        <v>100.298629</v>
      </c>
      <c r="P355" t="n">
        <v>8.19</v>
      </c>
      <c r="Q355" t="n">
        <v>5</v>
      </c>
      <c r="R355" t="n">
        <v>3</v>
      </c>
      <c r="S355" s="3" t="n">
        <v>143116</v>
      </c>
      <c r="T355" t="n">
        <v>1</v>
      </c>
      <c r="U355" t="n">
        <v>0</v>
      </c>
      <c r="V355" t="n">
        <v>5</v>
      </c>
      <c r="W355" t="n">
        <v>1</v>
      </c>
      <c r="X355" t="inlineStr">
        <is>
          <t>medium</t>
        </is>
      </c>
      <c r="Y355" s="3">
        <f>Q355*1000000</f>
        <v/>
      </c>
      <c r="Z355" s="3">
        <f>365*R355*S355*T355</f>
        <v/>
      </c>
      <c r="AA355" s="4">
        <f>Y355/Z355</f>
        <v/>
      </c>
      <c r="AB355" s="4">
        <f>Q355*1000000/(365*R355*S355)</f>
        <v/>
      </c>
      <c r="AC355">
        <f>RANK(AA355,$AA$2:$AA$395,0)</f>
        <v/>
      </c>
    </row>
    <row r="356">
      <c r="A356" t="inlineStr">
        <is>
          <t>zone_586</t>
        </is>
      </c>
      <c r="B356" t="inlineStr">
        <is>
          <t>แสมดำ - สะพานข้ามแม่น้ำท่าจีนฝั่งตะวันตก</t>
        </is>
      </c>
      <c r="C356" t="inlineStr">
        <is>
          <t>สมุทรสาคร</t>
        </is>
      </c>
      <c r="D356" t="n">
        <v>35</v>
      </c>
      <c r="E356" t="inlineStr">
        <is>
          <t>0201</t>
        </is>
      </c>
      <c r="F356" t="inlineStr">
        <is>
          <t>19.8–22.85</t>
        </is>
      </c>
      <c r="G356" t="n">
        <v>13.588011</v>
      </c>
      <c r="H356" t="n">
        <v>100.325058</v>
      </c>
      <c r="I356" t="inlineStr">
        <is>
          <t>hods_aadt_pnt_2568.fid-6461857d_1a0f2643074_4a99</t>
        </is>
      </c>
      <c r="J356" t="inlineStr">
        <is>
          <t>แสมดำ - สะพานข้ามแม่น้ำท่าจีนฝั่งตะวันตก</t>
        </is>
      </c>
      <c r="K356" t="inlineStr">
        <is>
          <t>24+550</t>
        </is>
      </c>
      <c r="L356" t="inlineStr">
        <is>
          <t>สถานีหลัก (P)</t>
        </is>
      </c>
      <c r="M356" t="n">
        <v>1</v>
      </c>
      <c r="N356" t="n">
        <v>13.575463</v>
      </c>
      <c r="O356" t="n">
        <v>100.298629</v>
      </c>
      <c r="P356" t="n">
        <v>3.18</v>
      </c>
      <c r="Q356" t="n">
        <v>89</v>
      </c>
      <c r="R356" t="n">
        <v>3</v>
      </c>
      <c r="S356" s="3" t="n">
        <v>143116</v>
      </c>
      <c r="T356" t="n">
        <v>1</v>
      </c>
      <c r="U356" t="n">
        <v>5</v>
      </c>
      <c r="V356" t="n">
        <v>28</v>
      </c>
      <c r="W356" t="n">
        <v>0.3596</v>
      </c>
      <c r="X356" t="inlineStr">
        <is>
          <t>low</t>
        </is>
      </c>
      <c r="Y356" s="3">
        <f>Q356*1000000</f>
        <v/>
      </c>
      <c r="Z356" s="3">
        <f>365*R356*S356*T356</f>
        <v/>
      </c>
      <c r="AA356" s="4">
        <f>Y356/Z356</f>
        <v/>
      </c>
      <c r="AB356" s="4">
        <f>Q356*1000000/(365*R356*S356)</f>
        <v/>
      </c>
      <c r="AC356">
        <f>RANK(AA356,$AA$2:$AA$395,0)</f>
        <v/>
      </c>
    </row>
    <row r="357">
      <c r="A357" t="inlineStr">
        <is>
          <t>zone_587</t>
        </is>
      </c>
      <c r="B357" t="inlineStr">
        <is>
          <t>แสมดำ - สะพานข้ามแม่น้ำท่าจีนฝั่งตะวันตก</t>
        </is>
      </c>
      <c r="C357" t="inlineStr">
        <is>
          <t>สมุทรสาคร</t>
        </is>
      </c>
      <c r="D357" t="n">
        <v>35</v>
      </c>
      <c r="E357" t="inlineStr">
        <is>
          <t>0201</t>
        </is>
      </c>
      <c r="F357" t="inlineStr">
        <is>
          <t>7.5–22.3</t>
        </is>
      </c>
      <c r="G357" t="n">
        <v>13.589169</v>
      </c>
      <c r="H357" t="n">
        <v>100.327721</v>
      </c>
      <c r="I357" t="inlineStr">
        <is>
          <t>hods_aadt_pnt_2568.fid-6461857d_1a0f2643074_4a99</t>
        </is>
      </c>
      <c r="J357" t="inlineStr">
        <is>
          <t>แสมดำ - สะพานข้ามแม่น้ำท่าจีนฝั่งตะวันตก</t>
        </is>
      </c>
      <c r="K357" t="inlineStr">
        <is>
          <t>24+550</t>
        </is>
      </c>
      <c r="L357" t="inlineStr">
        <is>
          <t>สถานีหลัก (P)</t>
        </is>
      </c>
      <c r="M357" t="n">
        <v>1</v>
      </c>
      <c r="N357" t="n">
        <v>13.575463</v>
      </c>
      <c r="O357" t="n">
        <v>100.298629</v>
      </c>
      <c r="P357" t="n">
        <v>3.49</v>
      </c>
      <c r="Q357" t="n">
        <v>25</v>
      </c>
      <c r="R357" t="n">
        <v>3</v>
      </c>
      <c r="S357" s="3" t="n">
        <v>143116</v>
      </c>
      <c r="T357" t="n">
        <v>1</v>
      </c>
      <c r="U357" t="n">
        <v>0</v>
      </c>
      <c r="V357" t="n">
        <v>5</v>
      </c>
      <c r="W357" t="n">
        <v>0.2</v>
      </c>
      <c r="X357" t="inlineStr">
        <is>
          <t>low</t>
        </is>
      </c>
      <c r="Y357" s="3">
        <f>Q357*1000000</f>
        <v/>
      </c>
      <c r="Z357" s="3">
        <f>365*R357*S357*T357</f>
        <v/>
      </c>
      <c r="AA357" s="4">
        <f>Y357/Z357</f>
        <v/>
      </c>
      <c r="AB357" s="4">
        <f>Q357*1000000/(365*R357*S357)</f>
        <v/>
      </c>
      <c r="AC357">
        <f>RANK(AA357,$AA$2:$AA$395,0)</f>
        <v/>
      </c>
    </row>
    <row r="358">
      <c r="A358" t="inlineStr">
        <is>
          <t>zone_588</t>
        </is>
      </c>
      <c r="B358" t="inlineStr">
        <is>
          <t>แสมดำ - สะพานข้ามแม่น้ำท่าจีนฝั่งตะวันตก</t>
        </is>
      </c>
      <c r="C358" t="inlineStr">
        <is>
          <t>สมุทรสาคร</t>
        </is>
      </c>
      <c r="D358" t="n">
        <v>35</v>
      </c>
      <c r="E358" t="inlineStr">
        <is>
          <t>0201</t>
        </is>
      </c>
      <c r="F358" t="inlineStr">
        <is>
          <t>22.3–22.8</t>
        </is>
      </c>
      <c r="G358" t="n">
        <v>13.583589</v>
      </c>
      <c r="H358" t="n">
        <v>100.314485</v>
      </c>
      <c r="I358" t="inlineStr">
        <is>
          <t>hods_aadt_pnt_2568.fid-6461857d_1a0f2643074_4a99</t>
        </is>
      </c>
      <c r="J358" t="inlineStr">
        <is>
          <t>แสมดำ - สะพานข้ามแม่น้ำท่าจีนฝั่งตะวันตก</t>
        </is>
      </c>
      <c r="K358" t="inlineStr">
        <is>
          <t>24+550</t>
        </is>
      </c>
      <c r="L358" t="inlineStr">
        <is>
          <t>สถานีหลัก (P)</t>
        </is>
      </c>
      <c r="M358" t="n">
        <v>1</v>
      </c>
      <c r="N358" t="n">
        <v>13.575463</v>
      </c>
      <c r="O358" t="n">
        <v>100.298629</v>
      </c>
      <c r="P358" t="n">
        <v>1.94</v>
      </c>
      <c r="Q358" t="n">
        <v>8</v>
      </c>
      <c r="R358" t="n">
        <v>3</v>
      </c>
      <c r="S358" s="3" t="n">
        <v>143116</v>
      </c>
      <c r="T358" t="n">
        <v>1</v>
      </c>
      <c r="U358" t="n">
        <v>0</v>
      </c>
      <c r="V358" t="n">
        <v>3</v>
      </c>
      <c r="W358" t="n">
        <v>0.375</v>
      </c>
      <c r="X358" t="inlineStr">
        <is>
          <t>low</t>
        </is>
      </c>
      <c r="Y358" s="3">
        <f>Q358*1000000</f>
        <v/>
      </c>
      <c r="Z358" s="3">
        <f>365*R358*S358*T358</f>
        <v/>
      </c>
      <c r="AA358" s="4">
        <f>Y358/Z358</f>
        <v/>
      </c>
      <c r="AB358" s="4">
        <f>Q358*1000000/(365*R358*S358)</f>
        <v/>
      </c>
      <c r="AC358">
        <f>RANK(AA358,$AA$2:$AA$395,0)</f>
        <v/>
      </c>
    </row>
    <row r="359">
      <c r="A359" t="inlineStr">
        <is>
          <t>zone_589</t>
        </is>
      </c>
      <c r="B359" t="inlineStr">
        <is>
          <t>แสมดำ - สะพานข้ามแม่น้ำท่าจีนฝั่งตะวันตก</t>
        </is>
      </c>
      <c r="C359" t="inlineStr">
        <is>
          <t>สมุทรสาคร</t>
        </is>
      </c>
      <c r="D359" t="n">
        <v>35</v>
      </c>
      <c r="E359" t="inlineStr">
        <is>
          <t>0201</t>
        </is>
      </c>
      <c r="F359" t="inlineStr">
        <is>
          <t>19.8–20.2</t>
        </is>
      </c>
      <c r="G359" t="n">
        <v>13.59252</v>
      </c>
      <c r="H359" t="n">
        <v>100.336451</v>
      </c>
      <c r="I359" t="inlineStr">
        <is>
          <t>hods_aadt_pnt_2568.fid-6461857d_1a0f2643074_4a99</t>
        </is>
      </c>
      <c r="J359" t="inlineStr">
        <is>
          <t>แสมดำ - สะพานข้ามแม่น้ำท่าจีนฝั่งตะวันตก</t>
        </is>
      </c>
      <c r="K359" t="inlineStr">
        <is>
          <t>24+550</t>
        </is>
      </c>
      <c r="L359" t="inlineStr">
        <is>
          <t>สถานีหลัก (P)</t>
        </is>
      </c>
      <c r="M359" t="n">
        <v>1</v>
      </c>
      <c r="N359" t="n">
        <v>13.575463</v>
      </c>
      <c r="O359" t="n">
        <v>100.298629</v>
      </c>
      <c r="P359" t="n">
        <v>4.51</v>
      </c>
      <c r="Q359" t="n">
        <v>4</v>
      </c>
      <c r="R359" t="n">
        <v>3</v>
      </c>
      <c r="S359" s="3" t="n">
        <v>143116</v>
      </c>
      <c r="T359" t="n">
        <v>1</v>
      </c>
      <c r="U359" t="n">
        <v>0</v>
      </c>
      <c r="V359" t="n">
        <v>5</v>
      </c>
      <c r="W359" t="n">
        <v>1.25</v>
      </c>
      <c r="X359" t="inlineStr">
        <is>
          <t>medium</t>
        </is>
      </c>
      <c r="Y359" s="3">
        <f>Q359*1000000</f>
        <v/>
      </c>
      <c r="Z359" s="3">
        <f>365*R359*S359*T359</f>
        <v/>
      </c>
      <c r="AA359" s="4">
        <f>Y359/Z359</f>
        <v/>
      </c>
      <c r="AB359" s="4">
        <f>Q359*1000000/(365*R359*S359)</f>
        <v/>
      </c>
      <c r="AC359">
        <f>RANK(AA359,$AA$2:$AA$395,0)</f>
        <v/>
      </c>
    </row>
    <row r="360">
      <c r="A360" t="inlineStr">
        <is>
          <t>zone_590</t>
        </is>
      </c>
      <c r="B360" t="inlineStr">
        <is>
          <t>สะพานข้ามแม่น้ำท่าจีนฝั่งตะวันตก - นาโคก</t>
        </is>
      </c>
      <c r="C360" t="inlineStr">
        <is>
          <t>สมุทรสาคร</t>
        </is>
      </c>
      <c r="D360" t="n">
        <v>35</v>
      </c>
      <c r="E360" t="inlineStr">
        <is>
          <t>0202</t>
        </is>
      </c>
      <c r="F360" t="inlineStr">
        <is>
          <t>43.49–43.75</t>
        </is>
      </c>
      <c r="G360" t="n">
        <v>13.51029</v>
      </c>
      <c r="H360" t="n">
        <v>100.139766</v>
      </c>
      <c r="I360" t="inlineStr">
        <is>
          <t>hods_aadt_pnt_2568.fid-6461857d_1a0f2643074_4a9a</t>
        </is>
      </c>
      <c r="J360" t="inlineStr">
        <is>
          <t>สะพานข้ามแม่น้ำท่าจีนฝั่งตะวันตก - นาโคก</t>
        </is>
      </c>
      <c r="K360" t="inlineStr">
        <is>
          <t>30+700</t>
        </is>
      </c>
      <c r="L360" t="inlineStr">
        <is>
          <t>สถานีย่อย (C)</t>
        </is>
      </c>
      <c r="M360" t="n">
        <v>1</v>
      </c>
      <c r="N360" t="n">
        <v>13.544191</v>
      </c>
      <c r="O360" t="n">
        <v>100.252408</v>
      </c>
      <c r="P360" t="n">
        <v>12.75</v>
      </c>
      <c r="Q360" t="n">
        <v>8</v>
      </c>
      <c r="R360" t="n">
        <v>3</v>
      </c>
      <c r="S360" s="3" t="n">
        <v>149785</v>
      </c>
      <c r="T360" t="n">
        <v>1</v>
      </c>
      <c r="U360" t="n">
        <v>2</v>
      </c>
      <c r="V360" t="n">
        <v>2</v>
      </c>
      <c r="W360" t="n">
        <v>0.5</v>
      </c>
      <c r="X360" t="inlineStr">
        <is>
          <t>low</t>
        </is>
      </c>
      <c r="Y360" s="3">
        <f>Q360*1000000</f>
        <v/>
      </c>
      <c r="Z360" s="3">
        <f>365*R360*S360*T360</f>
        <v/>
      </c>
      <c r="AA360" s="4">
        <f>Y360/Z360</f>
        <v/>
      </c>
      <c r="AB360" s="4">
        <f>Q360*1000000/(365*R360*S360)</f>
        <v/>
      </c>
      <c r="AC360">
        <f>RANK(AA360,$AA$2:$AA$395,0)</f>
        <v/>
      </c>
    </row>
    <row r="361">
      <c r="A361" t="inlineStr">
        <is>
          <t>zone_591</t>
        </is>
      </c>
      <c r="B361" t="inlineStr">
        <is>
          <t>สะพานข้ามแม่น้ำท่าจีนฝั่งตะวันตก - นาโคก</t>
        </is>
      </c>
      <c r="C361" t="inlineStr">
        <is>
          <t>สมุทรสาคร</t>
        </is>
      </c>
      <c r="D361" t="n">
        <v>35</v>
      </c>
      <c r="E361" t="inlineStr">
        <is>
          <t>0202</t>
        </is>
      </c>
      <c r="F361" t="inlineStr">
        <is>
          <t>43.57–43.6</t>
        </is>
      </c>
      <c r="G361" t="n">
        <v>13.510265</v>
      </c>
      <c r="H361" t="n">
        <v>100.139678</v>
      </c>
      <c r="I361" t="inlineStr">
        <is>
          <t>hods_aadt_pnt_2568.fid-6461857d_1a0f2643074_4a9a</t>
        </is>
      </c>
      <c r="J361" t="inlineStr">
        <is>
          <t>สะพานข้ามแม่น้ำท่าจีนฝั่งตะวันตก - นาโคก</t>
        </is>
      </c>
      <c r="K361" t="inlineStr">
        <is>
          <t>30+700</t>
        </is>
      </c>
      <c r="L361" t="inlineStr">
        <is>
          <t>สถานีย่อย (C)</t>
        </is>
      </c>
      <c r="M361" t="n">
        <v>1</v>
      </c>
      <c r="N361" t="n">
        <v>13.544191</v>
      </c>
      <c r="O361" t="n">
        <v>100.252408</v>
      </c>
      <c r="P361" t="n">
        <v>12.76</v>
      </c>
      <c r="Q361" t="n">
        <v>3</v>
      </c>
      <c r="R361" t="n">
        <v>3</v>
      </c>
      <c r="S361" s="3" t="n">
        <v>149785</v>
      </c>
      <c r="T361" t="n">
        <v>1</v>
      </c>
      <c r="U361" t="n">
        <v>0</v>
      </c>
      <c r="V361" t="n">
        <v>1</v>
      </c>
      <c r="W361" t="n">
        <v>0.3333</v>
      </c>
      <c r="X361" t="inlineStr">
        <is>
          <t>low</t>
        </is>
      </c>
      <c r="Y361" s="3">
        <f>Q361*1000000</f>
        <v/>
      </c>
      <c r="Z361" s="3">
        <f>365*R361*S361*T361</f>
        <v/>
      </c>
      <c r="AA361" s="4">
        <f>Y361/Z361</f>
        <v/>
      </c>
      <c r="AB361" s="4">
        <f>Q361*1000000/(365*R361*S361)</f>
        <v/>
      </c>
      <c r="AC361">
        <f>RANK(AA361,$AA$2:$AA$395,0)</f>
        <v/>
      </c>
    </row>
    <row r="362">
      <c r="A362" t="inlineStr">
        <is>
          <t>zone_592</t>
        </is>
      </c>
      <c r="B362" t="inlineStr">
        <is>
          <t>สมุทรสาคร - บางบอน</t>
        </is>
      </c>
      <c r="C362" t="inlineStr">
        <is>
          <t>สมุทรสาคร</t>
        </is>
      </c>
      <c r="D362" t="n">
        <v>3242</v>
      </c>
      <c r="E362" t="inlineStr">
        <is>
          <t>0100</t>
        </is>
      </c>
      <c r="F362" t="inlineStr">
        <is>
          <t>10.7–10.8</t>
        </is>
      </c>
      <c r="G362" t="n">
        <v>13.614034</v>
      </c>
      <c r="H362" t="n">
        <v>100.345912</v>
      </c>
      <c r="I362" t="inlineStr">
        <is>
          <t>hods_aadt_pnt_2568.fid-6461857d_1a0f2643074_51ef</t>
        </is>
      </c>
      <c r="J362" t="inlineStr">
        <is>
          <t>สมุทรสาคร - บางบอน</t>
        </is>
      </c>
      <c r="K362" t="inlineStr">
        <is>
          <t>4+130</t>
        </is>
      </c>
      <c r="L362" t="inlineStr">
        <is>
          <t>สถานีย่อย (C)</t>
        </is>
      </c>
      <c r="M362" t="n">
        <v>1</v>
      </c>
      <c r="N362" t="n">
        <v>13.571677</v>
      </c>
      <c r="O362" t="n">
        <v>100.30426</v>
      </c>
      <c r="P362" t="n">
        <v>6.52</v>
      </c>
      <c r="Q362" t="n">
        <v>4</v>
      </c>
      <c r="R362" t="n">
        <v>3</v>
      </c>
      <c r="S362" s="3" t="n">
        <v>49217</v>
      </c>
      <c r="T362" t="n">
        <v>1</v>
      </c>
      <c r="U362" t="n">
        <v>0</v>
      </c>
      <c r="V362" t="n">
        <v>11</v>
      </c>
      <c r="W362" t="n">
        <v>2.75</v>
      </c>
      <c r="X362" t="inlineStr">
        <is>
          <t>high</t>
        </is>
      </c>
      <c r="Y362" s="3">
        <f>Q362*1000000</f>
        <v/>
      </c>
      <c r="Z362" s="3">
        <f>365*R362*S362*T362</f>
        <v/>
      </c>
      <c r="AA362" s="4">
        <f>Y362/Z362</f>
        <v/>
      </c>
      <c r="AB362" s="4">
        <f>Q362*1000000/(365*R362*S362)</f>
        <v/>
      </c>
      <c r="AC362">
        <f>RANK(AA362,$AA$2:$AA$395,0)</f>
        <v/>
      </c>
    </row>
    <row r="363">
      <c r="A363" t="inlineStr">
        <is>
          <t>zone_593</t>
        </is>
      </c>
      <c r="B363" t="inlineStr">
        <is>
          <t>แสมดำ - สะพานข้ามแม่น้ำท่าจีนฝั่งตะวันตก</t>
        </is>
      </c>
      <c r="C363" t="inlineStr">
        <is>
          <t>สมุทรสาคร</t>
        </is>
      </c>
      <c r="D363" t="n">
        <v>35</v>
      </c>
      <c r="E363" t="inlineStr">
        <is>
          <t>0201</t>
        </is>
      </c>
      <c r="F363" t="inlineStr">
        <is>
          <t>16.9–17.4</t>
        </is>
      </c>
      <c r="G363" t="n">
        <v>13.594703</v>
      </c>
      <c r="H363" t="n">
        <v>100.36233</v>
      </c>
      <c r="I363" t="inlineStr">
        <is>
          <t>hods_aadt_pnt_2568.fid-6461857d_1a0f2643074_4a99</t>
        </is>
      </c>
      <c r="J363" t="inlineStr">
        <is>
          <t>แสมดำ - สะพานข้ามแม่น้ำท่าจีนฝั่งตะวันตก</t>
        </is>
      </c>
      <c r="K363" t="inlineStr">
        <is>
          <t>24+550</t>
        </is>
      </c>
      <c r="L363" t="inlineStr">
        <is>
          <t>สถานีหลัก (P)</t>
        </is>
      </c>
      <c r="M363" t="n">
        <v>1</v>
      </c>
      <c r="N363" t="n">
        <v>13.575463</v>
      </c>
      <c r="O363" t="n">
        <v>100.298629</v>
      </c>
      <c r="P363" t="n">
        <v>7.21</v>
      </c>
      <c r="Q363" t="n">
        <v>8</v>
      </c>
      <c r="R363" t="n">
        <v>3</v>
      </c>
      <c r="S363" s="3" t="n">
        <v>143116</v>
      </c>
      <c r="T363" t="n">
        <v>1</v>
      </c>
      <c r="U363" t="n">
        <v>0</v>
      </c>
      <c r="V363" t="n">
        <v>3</v>
      </c>
      <c r="W363" t="n">
        <v>0.375</v>
      </c>
      <c r="X363" t="inlineStr">
        <is>
          <t>low</t>
        </is>
      </c>
      <c r="Y363" s="3">
        <f>Q363*1000000</f>
        <v/>
      </c>
      <c r="Z363" s="3">
        <f>365*R363*S363*T363</f>
        <v/>
      </c>
      <c r="AA363" s="4">
        <f>Y363/Z363</f>
        <v/>
      </c>
      <c r="AB363" s="4">
        <f>Q363*1000000/(365*R363*S363)</f>
        <v/>
      </c>
      <c r="AC363">
        <f>RANK(AA363,$AA$2:$AA$395,0)</f>
        <v/>
      </c>
    </row>
    <row r="364">
      <c r="A364" t="inlineStr">
        <is>
          <t>zone_594</t>
        </is>
      </c>
      <c r="B364" t="inlineStr">
        <is>
          <t>แสมดำ - สะพานข้ามแม่น้ำท่าจีนฝั่งตะวันตก</t>
        </is>
      </c>
      <c r="C364" t="inlineStr">
        <is>
          <t>สมุทรสาคร</t>
        </is>
      </c>
      <c r="D364" t="n">
        <v>35</v>
      </c>
      <c r="E364" t="inlineStr">
        <is>
          <t>0201</t>
        </is>
      </c>
      <c r="F364" t="inlineStr">
        <is>
          <t>17.6–17.6</t>
        </is>
      </c>
      <c r="G364" t="n">
        <v>13.592678</v>
      </c>
      <c r="H364" t="n">
        <v>100.358316</v>
      </c>
      <c r="I364" t="inlineStr">
        <is>
          <t>hods_aadt_pnt_2568.fid-6461857d_1a0f2643074_4a99</t>
        </is>
      </c>
      <c r="J364" t="inlineStr">
        <is>
          <t>แสมดำ - สะพานข้ามแม่น้ำท่าจีนฝั่งตะวันตก</t>
        </is>
      </c>
      <c r="K364" t="inlineStr">
        <is>
          <t>24+550</t>
        </is>
      </c>
      <c r="L364" t="inlineStr">
        <is>
          <t>สถานีหลัก (P)</t>
        </is>
      </c>
      <c r="M364" t="n">
        <v>1</v>
      </c>
      <c r="N364" t="n">
        <v>13.575463</v>
      </c>
      <c r="O364" t="n">
        <v>100.298629</v>
      </c>
      <c r="P364" t="n">
        <v>6.73</v>
      </c>
      <c r="Q364" t="n">
        <v>3</v>
      </c>
      <c r="R364" t="n">
        <v>3</v>
      </c>
      <c r="S364" s="3" t="n">
        <v>143116</v>
      </c>
      <c r="T364" t="n">
        <v>1</v>
      </c>
      <c r="U364" t="n">
        <v>0</v>
      </c>
      <c r="V364" t="n">
        <v>2</v>
      </c>
      <c r="W364" t="n">
        <v>0.6667</v>
      </c>
      <c r="X364" t="inlineStr">
        <is>
          <t>low</t>
        </is>
      </c>
      <c r="Y364" s="3">
        <f>Q364*1000000</f>
        <v/>
      </c>
      <c r="Z364" s="3">
        <f>365*R364*S364*T364</f>
        <v/>
      </c>
      <c r="AA364" s="4">
        <f>Y364/Z364</f>
        <v/>
      </c>
      <c r="AB364" s="4">
        <f>Q364*1000000/(365*R364*S364)</f>
        <v/>
      </c>
      <c r="AC364">
        <f>RANK(AA364,$AA$2:$AA$395,0)</f>
        <v/>
      </c>
    </row>
    <row r="365">
      <c r="A365" t="inlineStr">
        <is>
          <t>zone_595</t>
        </is>
      </c>
      <c r="B365" t="inlineStr">
        <is>
          <t>แสมดำ - สะพานข้ามแม่น้ำท่าจีนฝั่งตะวันตก</t>
        </is>
      </c>
      <c r="C365" t="inlineStr">
        <is>
          <t>สมุทรสาคร</t>
        </is>
      </c>
      <c r="D365" t="n">
        <v>35</v>
      </c>
      <c r="E365" t="inlineStr">
        <is>
          <t>0201</t>
        </is>
      </c>
      <c r="F365" t="inlineStr">
        <is>
          <t>16.7–18.5</t>
        </is>
      </c>
      <c r="G365" t="n">
        <v>13.596946</v>
      </c>
      <c r="H365" t="n">
        <v>100.364554</v>
      </c>
      <c r="I365" t="inlineStr">
        <is>
          <t>hods_aadt_pnt_2568.fid-6461857d_1a0f2643074_4a99</t>
        </is>
      </c>
      <c r="J365" t="inlineStr">
        <is>
          <t>แสมดำ - สะพานข้ามแม่น้ำท่าจีนฝั่งตะวันตก</t>
        </is>
      </c>
      <c r="K365" t="inlineStr">
        <is>
          <t>24+550</t>
        </is>
      </c>
      <c r="L365" t="inlineStr">
        <is>
          <t>สถานีหลัก (P)</t>
        </is>
      </c>
      <c r="M365" t="n">
        <v>1</v>
      </c>
      <c r="N365" t="n">
        <v>13.575463</v>
      </c>
      <c r="O365" t="n">
        <v>100.298629</v>
      </c>
      <c r="P365" t="n">
        <v>7.52</v>
      </c>
      <c r="Q365" t="n">
        <v>5</v>
      </c>
      <c r="R365" t="n">
        <v>3</v>
      </c>
      <c r="S365" s="3" t="n">
        <v>143116</v>
      </c>
      <c r="T365" t="n">
        <v>1</v>
      </c>
      <c r="U365" t="n">
        <v>0</v>
      </c>
      <c r="V365" t="n">
        <v>3</v>
      </c>
      <c r="W365" t="n">
        <v>0.6</v>
      </c>
      <c r="X365" t="inlineStr">
        <is>
          <t>low</t>
        </is>
      </c>
      <c r="Y365" s="3">
        <f>Q365*1000000</f>
        <v/>
      </c>
      <c r="Z365" s="3">
        <f>365*R365*S365*T365</f>
        <v/>
      </c>
      <c r="AA365" s="4">
        <f>Y365/Z365</f>
        <v/>
      </c>
      <c r="AB365" s="4">
        <f>Q365*1000000/(365*R365*S365)</f>
        <v/>
      </c>
      <c r="AC365">
        <f>RANK(AA365,$AA$2:$AA$395,0)</f>
        <v/>
      </c>
    </row>
    <row r="366">
      <c r="A366" t="inlineStr">
        <is>
          <t>zone_596</t>
        </is>
      </c>
      <c r="B366" t="inlineStr">
        <is>
          <t>สะพานข้ามแม่น้ำท่าจีนฝั่งตะวันตก - นาโคก</t>
        </is>
      </c>
      <c r="C366" t="inlineStr">
        <is>
          <t>สมุทรสาคร</t>
        </is>
      </c>
      <c r="D366" t="n">
        <v>35</v>
      </c>
      <c r="E366" t="inlineStr">
        <is>
          <t>0202</t>
        </is>
      </c>
      <c r="F366" t="inlineStr">
        <is>
          <t>50.9–51.4</t>
        </is>
      </c>
      <c r="G366" t="n">
        <v>13.46153</v>
      </c>
      <c r="H366" t="n">
        <v>100.097337</v>
      </c>
      <c r="I366" t="inlineStr">
        <is>
          <t>hods_aadt_pnt_2568.fid-6461857d_1a0f2643074_4a9a</t>
        </is>
      </c>
      <c r="J366" t="inlineStr">
        <is>
          <t>สะพานข้ามแม่น้ำท่าจีนฝั่งตะวันตก - นาโคก</t>
        </is>
      </c>
      <c r="K366" t="inlineStr">
        <is>
          <t>30+700</t>
        </is>
      </c>
      <c r="L366" t="inlineStr">
        <is>
          <t>สถานีย่อย (C)</t>
        </is>
      </c>
      <c r="M366" t="n">
        <v>1</v>
      </c>
      <c r="N366" t="n">
        <v>13.544191</v>
      </c>
      <c r="O366" t="n">
        <v>100.252408</v>
      </c>
      <c r="P366" t="n">
        <v>19.12</v>
      </c>
      <c r="Q366" t="n">
        <v>6</v>
      </c>
      <c r="R366" t="n">
        <v>3</v>
      </c>
      <c r="S366" s="3" t="n">
        <v>149785</v>
      </c>
      <c r="T366" t="n">
        <v>1</v>
      </c>
      <c r="U366" t="n">
        <v>1</v>
      </c>
      <c r="V366" t="n">
        <v>4</v>
      </c>
      <c r="W366" t="n">
        <v>0.8333</v>
      </c>
      <c r="X366" t="inlineStr">
        <is>
          <t>low</t>
        </is>
      </c>
      <c r="Y366" s="3">
        <f>Q366*1000000</f>
        <v/>
      </c>
      <c r="Z366" s="3">
        <f>365*R366*S366*T366</f>
        <v/>
      </c>
      <c r="AA366" s="4">
        <f>Y366/Z366</f>
        <v/>
      </c>
      <c r="AB366" s="4">
        <f>Q366*1000000/(365*R366*S366)</f>
        <v/>
      </c>
      <c r="AC366">
        <f>RANK(AA366,$AA$2:$AA$395,0)</f>
        <v/>
      </c>
    </row>
    <row r="367">
      <c r="A367" t="inlineStr">
        <is>
          <t>zone_597</t>
        </is>
      </c>
      <c r="B367" t="inlineStr">
        <is>
          <t>สะพานข้ามแม่น้ำท่าจีนฝั่งตะวันตก - นาโคก</t>
        </is>
      </c>
      <c r="C367" t="inlineStr">
        <is>
          <t>สมุทรสาคร</t>
        </is>
      </c>
      <c r="D367" t="n">
        <v>35</v>
      </c>
      <c r="E367" t="inlineStr">
        <is>
          <t>0202</t>
        </is>
      </c>
      <c r="F367" t="inlineStr">
        <is>
          <t>44.915–45.432</t>
        </is>
      </c>
      <c r="G367" t="n">
        <v>13.504271</v>
      </c>
      <c r="H367" t="n">
        <v>100.126958</v>
      </c>
      <c r="I367" t="inlineStr">
        <is>
          <t>hods_aadt_pnt_2568.fid-6461857d_1a0f2643074_4a9a</t>
        </is>
      </c>
      <c r="J367" t="inlineStr">
        <is>
          <t>สะพานข้ามแม่น้ำท่าจีนฝั่งตะวันตก - นาโคก</t>
        </is>
      </c>
      <c r="K367" t="inlineStr">
        <is>
          <t>30+700</t>
        </is>
      </c>
      <c r="L367" t="inlineStr">
        <is>
          <t>สถานีย่อย (C)</t>
        </is>
      </c>
      <c r="M367" t="n">
        <v>1</v>
      </c>
      <c r="N367" t="n">
        <v>13.544191</v>
      </c>
      <c r="O367" t="n">
        <v>100.252408</v>
      </c>
      <c r="P367" t="n">
        <v>14.27</v>
      </c>
      <c r="Q367" t="n">
        <v>6</v>
      </c>
      <c r="R367" t="n">
        <v>3</v>
      </c>
      <c r="S367" s="3" t="n">
        <v>149785</v>
      </c>
      <c r="T367" t="n">
        <v>1</v>
      </c>
      <c r="U367" t="n">
        <v>0</v>
      </c>
      <c r="V367" t="n">
        <v>2</v>
      </c>
      <c r="W367" t="n">
        <v>0.3333</v>
      </c>
      <c r="X367" t="inlineStr">
        <is>
          <t>low</t>
        </is>
      </c>
      <c r="Y367" s="3">
        <f>Q367*1000000</f>
        <v/>
      </c>
      <c r="Z367" s="3">
        <f>365*R367*S367*T367</f>
        <v/>
      </c>
      <c r="AA367" s="4">
        <f>Y367/Z367</f>
        <v/>
      </c>
      <c r="AB367" s="4">
        <f>Q367*1000000/(365*R367*S367)</f>
        <v/>
      </c>
      <c r="AC367">
        <f>RANK(AA367,$AA$2:$AA$395,0)</f>
        <v/>
      </c>
    </row>
    <row r="368">
      <c r="A368" t="inlineStr">
        <is>
          <t>zone_598</t>
        </is>
      </c>
      <c r="B368" t="inlineStr">
        <is>
          <t>แสมดำ - สะพานข้ามแม่น้ำท่าจีนฝั่งตะวันตก</t>
        </is>
      </c>
      <c r="C368" t="inlineStr">
        <is>
          <t>สมุทรสาคร</t>
        </is>
      </c>
      <c r="D368" t="n">
        <v>35</v>
      </c>
      <c r="E368" t="inlineStr">
        <is>
          <t>0201</t>
        </is>
      </c>
      <c r="F368" t="inlineStr">
        <is>
          <t>28.7–28.725</t>
        </is>
      </c>
      <c r="G368" t="n">
        <v>13.554033</v>
      </c>
      <c r="H368" t="n">
        <v>100.267243</v>
      </c>
      <c r="I368" t="inlineStr">
        <is>
          <t>hods_aadt_pnt_2568.fid-6461857d_1a0f2643074_4a99</t>
        </is>
      </c>
      <c r="J368" t="inlineStr">
        <is>
          <t>แสมดำ - สะพานข้ามแม่น้ำท่าจีนฝั่งตะวันตก</t>
        </is>
      </c>
      <c r="K368" t="inlineStr">
        <is>
          <t>24+550</t>
        </is>
      </c>
      <c r="L368" t="inlineStr">
        <is>
          <t>สถานีหลัก (P)</t>
        </is>
      </c>
      <c r="M368" t="n">
        <v>1</v>
      </c>
      <c r="N368" t="n">
        <v>13.575463</v>
      </c>
      <c r="O368" t="n">
        <v>100.298629</v>
      </c>
      <c r="P368" t="n">
        <v>4.15</v>
      </c>
      <c r="Q368" t="n">
        <v>3</v>
      </c>
      <c r="R368" t="n">
        <v>3</v>
      </c>
      <c r="S368" s="3" t="n">
        <v>143116</v>
      </c>
      <c r="T368" t="n">
        <v>1</v>
      </c>
      <c r="U368" t="n">
        <v>0</v>
      </c>
      <c r="V368" t="n">
        <v>0</v>
      </c>
      <c r="W368" t="n">
        <v>0</v>
      </c>
      <c r="X368" t="inlineStr">
        <is>
          <t>low</t>
        </is>
      </c>
      <c r="Y368" s="3">
        <f>Q368*1000000</f>
        <v/>
      </c>
      <c r="Z368" s="3">
        <f>365*R368*S368*T368</f>
        <v/>
      </c>
      <c r="AA368" s="4">
        <f>Y368/Z368</f>
        <v/>
      </c>
      <c r="AB368" s="4">
        <f>Q368*1000000/(365*R368*S368)</f>
        <v/>
      </c>
      <c r="AC368">
        <f>RANK(AA368,$AA$2:$AA$395,0)</f>
        <v/>
      </c>
    </row>
    <row r="369">
      <c r="A369" t="inlineStr">
        <is>
          <t>zone_599</t>
        </is>
      </c>
      <c r="B369" t="inlineStr">
        <is>
          <t>แสมดำ - สะพานข้ามแม่น้ำท่าจีนฝั่งตะวันตก</t>
        </is>
      </c>
      <c r="C369" t="inlineStr">
        <is>
          <t>สมุทรสาคร</t>
        </is>
      </c>
      <c r="D369" t="n">
        <v>35</v>
      </c>
      <c r="E369" t="inlineStr">
        <is>
          <t>0201</t>
        </is>
      </c>
      <c r="F369" t="inlineStr">
        <is>
          <t>28.3–28.45</t>
        </is>
      </c>
      <c r="G369" t="n">
        <v>13.555152</v>
      </c>
      <c r="H369" t="n">
        <v>100.268816</v>
      </c>
      <c r="I369" t="inlineStr">
        <is>
          <t>hods_aadt_pnt_2568.fid-6461857d_1a0f2643074_4a99</t>
        </is>
      </c>
      <c r="J369" t="inlineStr">
        <is>
          <t>แสมดำ - สะพานข้ามแม่น้ำท่าจีนฝั่งตะวันตก</t>
        </is>
      </c>
      <c r="K369" t="inlineStr">
        <is>
          <t>24+550</t>
        </is>
      </c>
      <c r="L369" t="inlineStr">
        <is>
          <t>สถานีหลัก (P)</t>
        </is>
      </c>
      <c r="M369" t="n">
        <v>1</v>
      </c>
      <c r="N369" t="n">
        <v>13.575463</v>
      </c>
      <c r="O369" t="n">
        <v>100.298629</v>
      </c>
      <c r="P369" t="n">
        <v>3.94</v>
      </c>
      <c r="Q369" t="n">
        <v>3</v>
      </c>
      <c r="R369" t="n">
        <v>3</v>
      </c>
      <c r="S369" s="3" t="n">
        <v>143116</v>
      </c>
      <c r="T369" t="n">
        <v>1</v>
      </c>
      <c r="U369" t="n">
        <v>0</v>
      </c>
      <c r="V369" t="n">
        <v>1</v>
      </c>
      <c r="W369" t="n">
        <v>0.3333</v>
      </c>
      <c r="X369" t="inlineStr">
        <is>
          <t>low</t>
        </is>
      </c>
      <c r="Y369" s="3">
        <f>Q369*1000000</f>
        <v/>
      </c>
      <c r="Z369" s="3">
        <f>365*R369*S369*T369</f>
        <v/>
      </c>
      <c r="AA369" s="4">
        <f>Y369/Z369</f>
        <v/>
      </c>
      <c r="AB369" s="4">
        <f>Q369*1000000/(365*R369*S369)</f>
        <v/>
      </c>
      <c r="AC369">
        <f>RANK(AA369,$AA$2:$AA$395,0)</f>
        <v/>
      </c>
    </row>
    <row r="370">
      <c r="A370" t="inlineStr">
        <is>
          <t>zone_600</t>
        </is>
      </c>
      <c r="B370" t="inlineStr">
        <is>
          <t>แสมดำ - สะพานข้ามแม่น้ำท่าจีนฝั่งตะวันตก</t>
        </is>
      </c>
      <c r="C370" t="inlineStr">
        <is>
          <t>สมุทรสาคร</t>
        </is>
      </c>
      <c r="D370" t="n">
        <v>35</v>
      </c>
      <c r="E370" t="inlineStr">
        <is>
          <t>0201</t>
        </is>
      </c>
      <c r="F370" t="inlineStr">
        <is>
          <t>28.375–28.65</t>
        </is>
      </c>
      <c r="G370" t="n">
        <v>13.55552</v>
      </c>
      <c r="H370" t="n">
        <v>100.268641</v>
      </c>
      <c r="I370" t="inlineStr">
        <is>
          <t>hods_aadt_pnt_2568.fid-6461857d_1a0f2643074_4a99</t>
        </is>
      </c>
      <c r="J370" t="inlineStr">
        <is>
          <t>แสมดำ - สะพานข้ามแม่น้ำท่าจีนฝั่งตะวันตก</t>
        </is>
      </c>
      <c r="K370" t="inlineStr">
        <is>
          <t>24+550</t>
        </is>
      </c>
      <c r="L370" t="inlineStr">
        <is>
          <t>สถานีหลัก (P)</t>
        </is>
      </c>
      <c r="M370" t="n">
        <v>1</v>
      </c>
      <c r="N370" t="n">
        <v>13.575463</v>
      </c>
      <c r="O370" t="n">
        <v>100.298629</v>
      </c>
      <c r="P370" t="n">
        <v>3.93</v>
      </c>
      <c r="Q370" t="n">
        <v>7</v>
      </c>
      <c r="R370" t="n">
        <v>3</v>
      </c>
      <c r="S370" s="3" t="n">
        <v>143116</v>
      </c>
      <c r="T370" t="n">
        <v>1</v>
      </c>
      <c r="U370" t="n">
        <v>1</v>
      </c>
      <c r="V370" t="n">
        <v>3</v>
      </c>
      <c r="W370" t="n">
        <v>0.5714</v>
      </c>
      <c r="X370" t="inlineStr">
        <is>
          <t>low</t>
        </is>
      </c>
      <c r="Y370" s="3">
        <f>Q370*1000000</f>
        <v/>
      </c>
      <c r="Z370" s="3">
        <f>365*R370*S370*T370</f>
        <v/>
      </c>
      <c r="AA370" s="4">
        <f>Y370/Z370</f>
        <v/>
      </c>
      <c r="AB370" s="4">
        <f>Q370*1000000/(365*R370*S370)</f>
        <v/>
      </c>
      <c r="AC370">
        <f>RANK(AA370,$AA$2:$AA$395,0)</f>
        <v/>
      </c>
    </row>
    <row r="371">
      <c r="A371" t="inlineStr">
        <is>
          <t>zone_601</t>
        </is>
      </c>
      <c r="B371" t="inlineStr">
        <is>
          <t>สะพานข้ามแม่น้ำท่าจีนฝั่งตะวันตก - นาโคก</t>
        </is>
      </c>
      <c r="C371" t="inlineStr">
        <is>
          <t>สมุทรสาคร</t>
        </is>
      </c>
      <c r="D371" t="n">
        <v>35</v>
      </c>
      <c r="E371" t="inlineStr">
        <is>
          <t>0202</t>
        </is>
      </c>
      <c r="F371" t="inlineStr">
        <is>
          <t>42.02–42.15</t>
        </is>
      </c>
      <c r="G371" t="n">
        <v>13.514257</v>
      </c>
      <c r="H371" t="n">
        <v>100.152965</v>
      </c>
      <c r="I371" t="inlineStr">
        <is>
          <t>hods_aadt_pnt_2568.fid-6461857d_1a0f2643074_4a9a</t>
        </is>
      </c>
      <c r="J371" t="inlineStr">
        <is>
          <t>สะพานข้ามแม่น้ำท่าจีนฝั่งตะวันตก - นาโคก</t>
        </is>
      </c>
      <c r="K371" t="inlineStr">
        <is>
          <t>30+700</t>
        </is>
      </c>
      <c r="L371" t="inlineStr">
        <is>
          <t>สถานีย่อย (C)</t>
        </is>
      </c>
      <c r="M371" t="n">
        <v>1</v>
      </c>
      <c r="N371" t="n">
        <v>13.544191</v>
      </c>
      <c r="O371" t="n">
        <v>100.252408</v>
      </c>
      <c r="P371" t="n">
        <v>11.25</v>
      </c>
      <c r="Q371" t="n">
        <v>3</v>
      </c>
      <c r="R371" t="n">
        <v>3</v>
      </c>
      <c r="S371" s="3" t="n">
        <v>149785</v>
      </c>
      <c r="T371" t="n">
        <v>1</v>
      </c>
      <c r="U371" t="n">
        <v>0</v>
      </c>
      <c r="V371" t="n">
        <v>1</v>
      </c>
      <c r="W371" t="n">
        <v>0.3333</v>
      </c>
      <c r="X371" t="inlineStr">
        <is>
          <t>low</t>
        </is>
      </c>
      <c r="Y371" s="3">
        <f>Q371*1000000</f>
        <v/>
      </c>
      <c r="Z371" s="3">
        <f>365*R371*S371*T371</f>
        <v/>
      </c>
      <c r="AA371" s="4">
        <f>Y371/Z371</f>
        <v/>
      </c>
      <c r="AB371" s="4">
        <f>Q371*1000000/(365*R371*S371)</f>
        <v/>
      </c>
      <c r="AC371">
        <f>RANK(AA371,$AA$2:$AA$395,0)</f>
        <v/>
      </c>
    </row>
    <row r="372">
      <c r="A372" t="inlineStr">
        <is>
          <t>zone_602</t>
        </is>
      </c>
      <c r="B372" t="inlineStr">
        <is>
          <t>สะพานข้ามแม่น้ำท่าจีนฝั่งตะวันตก - นาโคก</t>
        </is>
      </c>
      <c r="C372" t="inlineStr">
        <is>
          <t>สมุทรสาคร</t>
        </is>
      </c>
      <c r="D372" t="n">
        <v>35</v>
      </c>
      <c r="E372" t="inlineStr">
        <is>
          <t>0202</t>
        </is>
      </c>
      <c r="F372" t="inlineStr">
        <is>
          <t>41.39–41.8</t>
        </is>
      </c>
      <c r="G372" t="n">
        <v>13.515508</v>
      </c>
      <c r="H372" t="n">
        <v>100.157097</v>
      </c>
      <c r="I372" t="inlineStr">
        <is>
          <t>hods_aadt_pnt_2568.fid-6461857d_1a0f2643074_4a9a</t>
        </is>
      </c>
      <c r="J372" t="inlineStr">
        <is>
          <t>สะพานข้ามแม่น้ำท่าจีนฝั่งตะวันตก - นาโคก</t>
        </is>
      </c>
      <c r="K372" t="inlineStr">
        <is>
          <t>30+700</t>
        </is>
      </c>
      <c r="L372" t="inlineStr">
        <is>
          <t>สถานีย่อย (C)</t>
        </is>
      </c>
      <c r="M372" t="n">
        <v>1</v>
      </c>
      <c r="N372" t="n">
        <v>13.544191</v>
      </c>
      <c r="O372" t="n">
        <v>100.252408</v>
      </c>
      <c r="P372" t="n">
        <v>10.79</v>
      </c>
      <c r="Q372" t="n">
        <v>4</v>
      </c>
      <c r="R372" t="n">
        <v>3</v>
      </c>
      <c r="S372" s="3" t="n">
        <v>149785</v>
      </c>
      <c r="T372" t="n">
        <v>1</v>
      </c>
      <c r="U372" t="n">
        <v>0</v>
      </c>
      <c r="V372" t="n">
        <v>5</v>
      </c>
      <c r="W372" t="n">
        <v>1.25</v>
      </c>
      <c r="X372" t="inlineStr">
        <is>
          <t>medium</t>
        </is>
      </c>
      <c r="Y372" s="3">
        <f>Q372*1000000</f>
        <v/>
      </c>
      <c r="Z372" s="3">
        <f>365*R372*S372*T372</f>
        <v/>
      </c>
      <c r="AA372" s="4">
        <f>Y372/Z372</f>
        <v/>
      </c>
      <c r="AB372" s="4">
        <f>Q372*1000000/(365*R372*S372)</f>
        <v/>
      </c>
      <c r="AC372">
        <f>RANK(AA372,$AA$2:$AA$395,0)</f>
        <v/>
      </c>
    </row>
    <row r="373">
      <c r="A373" t="inlineStr">
        <is>
          <t>zone_605</t>
        </is>
      </c>
      <c r="B373" t="inlineStr">
        <is>
          <t>อ้อมน้อย - สมุทรสาคร</t>
        </is>
      </c>
      <c r="C373" t="inlineStr">
        <is>
          <t>สมุทรสาคร</t>
        </is>
      </c>
      <c r="D373" t="n">
        <v>3091</v>
      </c>
      <c r="E373" t="inlineStr">
        <is>
          <t>0100</t>
        </is>
      </c>
      <c r="F373" t="inlineStr">
        <is>
          <t>17.79–17.9</t>
        </is>
      </c>
      <c r="G373" t="n">
        <v>13.577126</v>
      </c>
      <c r="H373" t="n">
        <v>100.273753</v>
      </c>
      <c r="I373" t="inlineStr">
        <is>
          <t>hods_aadt_pnt_2568.fid-6461857d_1a0f2643074_5166</t>
        </is>
      </c>
      <c r="J373" t="inlineStr">
        <is>
          <t>อ้อมน้อย - สมุทรสาคร</t>
        </is>
      </c>
      <c r="K373" t="inlineStr">
        <is>
          <t>0+500</t>
        </is>
      </c>
      <c r="L373" t="inlineStr">
        <is>
          <t>สถานีย่อย (C)</t>
        </is>
      </c>
      <c r="M373" t="n">
        <v>2</v>
      </c>
      <c r="N373" t="n">
        <v>13.702281</v>
      </c>
      <c r="O373" t="n">
        <v>100.299615</v>
      </c>
      <c r="P373" t="n">
        <v>14.19</v>
      </c>
      <c r="Q373" t="n">
        <v>3</v>
      </c>
      <c r="R373" t="n">
        <v>3</v>
      </c>
      <c r="S373" s="3" t="n">
        <v>37588</v>
      </c>
      <c r="T373" t="n">
        <v>1</v>
      </c>
      <c r="U373" t="n">
        <v>0</v>
      </c>
      <c r="V373" t="n">
        <v>4</v>
      </c>
      <c r="W373" t="n">
        <v>1.3333</v>
      </c>
      <c r="X373" t="inlineStr">
        <is>
          <t>medium</t>
        </is>
      </c>
      <c r="Y373" s="3">
        <f>Q373*1000000</f>
        <v/>
      </c>
      <c r="Z373" s="3">
        <f>365*R373*S373*T373</f>
        <v/>
      </c>
      <c r="AA373" s="4">
        <f>Y373/Z373</f>
        <v/>
      </c>
      <c r="AB373" s="4">
        <f>Q373*1000000/(365*R373*S373)</f>
        <v/>
      </c>
      <c r="AC373">
        <f>RANK(AA373,$AA$2:$AA$395,0)</f>
        <v/>
      </c>
    </row>
    <row r="374">
      <c r="A374" t="inlineStr">
        <is>
          <t>zone_606</t>
        </is>
      </c>
      <c r="B374" t="inlineStr">
        <is>
          <t>แสมดำ - สะพานข้ามแม่น้ำท่าจีนฝั่งตะวันตก</t>
        </is>
      </c>
      <c r="C374" t="inlineStr">
        <is>
          <t>สมุทรสาคร</t>
        </is>
      </c>
      <c r="D374" t="n">
        <v>35</v>
      </c>
      <c r="E374" t="inlineStr">
        <is>
          <t>0201</t>
        </is>
      </c>
      <c r="F374" t="inlineStr">
        <is>
          <t>18.1–18.5</t>
        </is>
      </c>
      <c r="G374" t="n">
        <v>13.592724</v>
      </c>
      <c r="H374" t="n">
        <v>100.351939</v>
      </c>
      <c r="I374" t="inlineStr">
        <is>
          <t>hods_aadt_pnt_2568.fid-6461857d_1a0f2643074_4a99</t>
        </is>
      </c>
      <c r="J374" t="inlineStr">
        <is>
          <t>แสมดำ - สะพานข้ามแม่น้ำท่าจีนฝั่งตะวันตก</t>
        </is>
      </c>
      <c r="K374" t="inlineStr">
        <is>
          <t>24+550</t>
        </is>
      </c>
      <c r="L374" t="inlineStr">
        <is>
          <t>สถานีหลัก (P)</t>
        </is>
      </c>
      <c r="M374" t="n">
        <v>1</v>
      </c>
      <c r="N374" t="n">
        <v>13.575463</v>
      </c>
      <c r="O374" t="n">
        <v>100.298629</v>
      </c>
      <c r="P374" t="n">
        <v>6.07</v>
      </c>
      <c r="Q374" t="n">
        <v>5</v>
      </c>
      <c r="R374" t="n">
        <v>3</v>
      </c>
      <c r="S374" s="3" t="n">
        <v>143116</v>
      </c>
      <c r="T374" t="n">
        <v>1</v>
      </c>
      <c r="U374" t="n">
        <v>1</v>
      </c>
      <c r="V374" t="n">
        <v>2</v>
      </c>
      <c r="W374" t="n">
        <v>0.6</v>
      </c>
      <c r="X374" t="inlineStr">
        <is>
          <t>low</t>
        </is>
      </c>
      <c r="Y374" s="3">
        <f>Q374*1000000</f>
        <v/>
      </c>
      <c r="Z374" s="3">
        <f>365*R374*S374*T374</f>
        <v/>
      </c>
      <c r="AA374" s="4">
        <f>Y374/Z374</f>
        <v/>
      </c>
      <c r="AB374" s="4">
        <f>Q374*1000000/(365*R374*S374)</f>
        <v/>
      </c>
      <c r="AC374">
        <f>RANK(AA374,$AA$2:$AA$395,0)</f>
        <v/>
      </c>
    </row>
    <row r="375">
      <c r="A375" t="inlineStr">
        <is>
          <t>zone_607</t>
        </is>
      </c>
      <c r="B375" t="inlineStr">
        <is>
          <t>สมุทรสาคร - บางบอน</t>
        </is>
      </c>
      <c r="C375" t="inlineStr">
        <is>
          <t>สมุทรสาคร</t>
        </is>
      </c>
      <c r="D375" t="n">
        <v>3242</v>
      </c>
      <c r="E375" t="inlineStr">
        <is>
          <t>0100</t>
        </is>
      </c>
      <c r="F375" t="inlineStr">
        <is>
          <t>13.185–13.48</t>
        </is>
      </c>
      <c r="G375" t="n">
        <v>13.63097</v>
      </c>
      <c r="H375" t="n">
        <v>100.362989</v>
      </c>
      <c r="I375" t="inlineStr">
        <is>
          <t>hods_aadt_pnt_2568.fid-6461857d_1a0f2643074_51ef</t>
        </is>
      </c>
      <c r="J375" t="inlineStr">
        <is>
          <t>สมุทรสาคร - บางบอน</t>
        </is>
      </c>
      <c r="K375" t="inlineStr">
        <is>
          <t>4+130</t>
        </is>
      </c>
      <c r="L375" t="inlineStr">
        <is>
          <t>สถานีย่อย (C)</t>
        </is>
      </c>
      <c r="M375" t="n">
        <v>1</v>
      </c>
      <c r="N375" t="n">
        <v>13.571677</v>
      </c>
      <c r="O375" t="n">
        <v>100.30426</v>
      </c>
      <c r="P375" t="n">
        <v>9.15</v>
      </c>
      <c r="Q375" t="n">
        <v>5</v>
      </c>
      <c r="R375" t="n">
        <v>3</v>
      </c>
      <c r="S375" s="3" t="n">
        <v>49217</v>
      </c>
      <c r="T375" t="n">
        <v>1</v>
      </c>
      <c r="U375" t="n">
        <v>0</v>
      </c>
      <c r="V375" t="n">
        <v>3</v>
      </c>
      <c r="W375" t="n">
        <v>0.6</v>
      </c>
      <c r="X375" t="inlineStr">
        <is>
          <t>low</t>
        </is>
      </c>
      <c r="Y375" s="3">
        <f>Q375*1000000</f>
        <v/>
      </c>
      <c r="Z375" s="3">
        <f>365*R375*S375*T375</f>
        <v/>
      </c>
      <c r="AA375" s="4">
        <f>Y375/Z375</f>
        <v/>
      </c>
      <c r="AB375" s="4">
        <f>Q375*1000000/(365*R375*S375)</f>
        <v/>
      </c>
      <c r="AC375">
        <f>RANK(AA375,$AA$2:$AA$395,0)</f>
        <v/>
      </c>
    </row>
    <row r="376">
      <c r="A376" t="inlineStr">
        <is>
          <t>zone_608</t>
        </is>
      </c>
      <c r="B376" t="inlineStr">
        <is>
          <t>บ้านบ่อ - พระประโทน</t>
        </is>
      </c>
      <c r="C376" t="inlineStr">
        <is>
          <t>สมุทรสาคร</t>
        </is>
      </c>
      <c r="D376" t="n">
        <v>375</v>
      </c>
      <c r="E376" t="inlineStr">
        <is>
          <t>0101</t>
        </is>
      </c>
      <c r="F376" t="inlineStr">
        <is>
          <t>2.723–2.8</t>
        </is>
      </c>
      <c r="G376" t="n">
        <v>13.541905</v>
      </c>
      <c r="H376" t="n">
        <v>100.167643</v>
      </c>
      <c r="I376" t="inlineStr">
        <is>
          <t>hods_aadt_pnt_2568.fid-6461857d_1a0f2643074_4cd3</t>
        </is>
      </c>
      <c r="J376" t="inlineStr">
        <is>
          <t>บ้านบ่อ - พระประโทน</t>
        </is>
      </c>
      <c r="K376" t="inlineStr">
        <is>
          <t>16+521</t>
        </is>
      </c>
      <c r="L376" t="inlineStr">
        <is>
          <t>สถานีย่อย (C)</t>
        </is>
      </c>
      <c r="M376" t="n">
        <v>1</v>
      </c>
      <c r="N376" t="n">
        <v>13.628216</v>
      </c>
      <c r="O376" t="n">
        <v>100.094511</v>
      </c>
      <c r="P376" t="n">
        <v>12.43</v>
      </c>
      <c r="Q376" t="n">
        <v>3</v>
      </c>
      <c r="R376" t="n">
        <v>3</v>
      </c>
      <c r="S376" s="3" t="n">
        <v>42129</v>
      </c>
      <c r="T376" t="n">
        <v>1</v>
      </c>
      <c r="U376" t="n">
        <v>0</v>
      </c>
      <c r="V376" t="n">
        <v>6</v>
      </c>
      <c r="W376" t="n">
        <v>2</v>
      </c>
      <c r="X376" t="inlineStr">
        <is>
          <t>high</t>
        </is>
      </c>
      <c r="Y376" s="3">
        <f>Q376*1000000</f>
        <v/>
      </c>
      <c r="Z376" s="3">
        <f>365*R376*S376*T376</f>
        <v/>
      </c>
      <c r="AA376" s="4">
        <f>Y376/Z376</f>
        <v/>
      </c>
      <c r="AB376" s="4">
        <f>Q376*1000000/(365*R376*S376)</f>
        <v/>
      </c>
      <c r="AC376">
        <f>RANK(AA376,$AA$2:$AA$395,0)</f>
        <v/>
      </c>
    </row>
    <row r="377">
      <c r="A377" t="inlineStr">
        <is>
          <t>zone_609</t>
        </is>
      </c>
      <c r="B377" t="inlineStr">
        <is>
          <t>อ้อมน้อย - สมุทรสาคร</t>
        </is>
      </c>
      <c r="C377" t="inlineStr">
        <is>
          <t>สมุทรสาคร</t>
        </is>
      </c>
      <c r="D377" t="n">
        <v>3091</v>
      </c>
      <c r="E377" t="inlineStr">
        <is>
          <t>0100</t>
        </is>
      </c>
      <c r="F377" t="inlineStr">
        <is>
          <t>19.69–19.8</t>
        </is>
      </c>
      <c r="G377" t="n">
        <v>13.562057</v>
      </c>
      <c r="H377" t="n">
        <v>100.273992</v>
      </c>
      <c r="I377" t="inlineStr">
        <is>
          <t>hods_aadt_pnt_2568.fid-6461857d_1a0f2643074_5166</t>
        </is>
      </c>
      <c r="J377" t="inlineStr">
        <is>
          <t>อ้อมน้อย - สมุทรสาคร</t>
        </is>
      </c>
      <c r="K377" t="inlineStr">
        <is>
          <t>0+500</t>
        </is>
      </c>
      <c r="L377" t="inlineStr">
        <is>
          <t>สถานีย่อย (C)</t>
        </is>
      </c>
      <c r="M377" t="n">
        <v>2</v>
      </c>
      <c r="N377" t="n">
        <v>13.702281</v>
      </c>
      <c r="O377" t="n">
        <v>100.299615</v>
      </c>
      <c r="P377" t="n">
        <v>15.84</v>
      </c>
      <c r="Q377" t="n">
        <v>3</v>
      </c>
      <c r="R377" t="n">
        <v>3</v>
      </c>
      <c r="S377" s="3" t="n">
        <v>37588</v>
      </c>
      <c r="T377" t="n">
        <v>1</v>
      </c>
      <c r="U377" t="n">
        <v>2</v>
      </c>
      <c r="V377" t="n">
        <v>2</v>
      </c>
      <c r="W377" t="n">
        <v>1.3333</v>
      </c>
      <c r="X377" t="inlineStr">
        <is>
          <t>medium</t>
        </is>
      </c>
      <c r="Y377" s="3">
        <f>Q377*1000000</f>
        <v/>
      </c>
      <c r="Z377" s="3">
        <f>365*R377*S377*T377</f>
        <v/>
      </c>
      <c r="AA377" s="4">
        <f>Y377/Z377</f>
        <v/>
      </c>
      <c r="AB377" s="4">
        <f>Q377*1000000/(365*R377*S377)</f>
        <v/>
      </c>
      <c r="AC377">
        <f>RANK(AA377,$AA$2:$AA$395,0)</f>
        <v/>
      </c>
    </row>
    <row r="378">
      <c r="A378" t="inlineStr">
        <is>
          <t>zone_610</t>
        </is>
      </c>
      <c r="B378" t="inlineStr">
        <is>
          <t>แสมดำ - สะพานข้ามแม่น้ำท่าจีนฝั่งตะวันตก</t>
        </is>
      </c>
      <c r="C378" t="inlineStr">
        <is>
          <t>สมุทรสาคร</t>
        </is>
      </c>
      <c r="D378" t="n">
        <v>35</v>
      </c>
      <c r="E378" t="inlineStr">
        <is>
          <t>0201</t>
        </is>
      </c>
      <c r="F378" t="inlineStr">
        <is>
          <t>26.775–27.05</t>
        </is>
      </c>
      <c r="G378" t="n">
        <v>13.564825</v>
      </c>
      <c r="H378" t="n">
        <v>100.279214</v>
      </c>
      <c r="I378" t="inlineStr">
        <is>
          <t>hods_aadt_pnt_2568.fid-6461857d_1a0f2643074_4a99</t>
        </is>
      </c>
      <c r="J378" t="inlineStr">
        <is>
          <t>แสมดำ - สะพานข้ามแม่น้ำท่าจีนฝั่งตะวันตก</t>
        </is>
      </c>
      <c r="K378" t="inlineStr">
        <is>
          <t>24+550</t>
        </is>
      </c>
      <c r="L378" t="inlineStr">
        <is>
          <t>สถานีหลัก (P)</t>
        </is>
      </c>
      <c r="M378" t="n">
        <v>1</v>
      </c>
      <c r="N378" t="n">
        <v>13.575463</v>
      </c>
      <c r="O378" t="n">
        <v>100.298629</v>
      </c>
      <c r="P378" t="n">
        <v>2.41</v>
      </c>
      <c r="Q378" t="n">
        <v>9</v>
      </c>
      <c r="R378" t="n">
        <v>3</v>
      </c>
      <c r="S378" s="3" t="n">
        <v>143116</v>
      </c>
      <c r="T378" t="n">
        <v>1</v>
      </c>
      <c r="U378" t="n">
        <v>0</v>
      </c>
      <c r="V378" t="n">
        <v>0</v>
      </c>
      <c r="W378" t="n">
        <v>0</v>
      </c>
      <c r="X378" t="inlineStr">
        <is>
          <t>low</t>
        </is>
      </c>
      <c r="Y378" s="3">
        <f>Q378*1000000</f>
        <v/>
      </c>
      <c r="Z378" s="3">
        <f>365*R378*S378*T378</f>
        <v/>
      </c>
      <c r="AA378" s="4">
        <f>Y378/Z378</f>
        <v/>
      </c>
      <c r="AB378" s="4">
        <f>Q378*1000000/(365*R378*S378)</f>
        <v/>
      </c>
      <c r="AC378">
        <f>RANK(AA378,$AA$2:$AA$395,0)</f>
        <v/>
      </c>
    </row>
    <row r="379">
      <c r="A379" t="inlineStr">
        <is>
          <t>zone_611</t>
        </is>
      </c>
      <c r="B379" t="inlineStr">
        <is>
          <t>แสมดำ - สะพานข้ามแม่น้ำท่าจีนฝั่งตะวันตก</t>
        </is>
      </c>
      <c r="C379" t="inlineStr">
        <is>
          <t>สมุทรสาคร</t>
        </is>
      </c>
      <c r="D379" t="n">
        <v>35</v>
      </c>
      <c r="E379" t="inlineStr">
        <is>
          <t>0201</t>
        </is>
      </c>
      <c r="F379" t="inlineStr">
        <is>
          <t>27.2–28.2</t>
        </is>
      </c>
      <c r="G379" t="n">
        <v>13.560572</v>
      </c>
      <c r="H379" t="n">
        <v>100.274354</v>
      </c>
      <c r="I379" t="inlineStr">
        <is>
          <t>hods_aadt_pnt_2568.fid-6461857d_1a0f2643074_4a99</t>
        </is>
      </c>
      <c r="J379" t="inlineStr">
        <is>
          <t>แสมดำ - สะพานข้ามแม่น้ำท่าจีนฝั่งตะวันตก</t>
        </is>
      </c>
      <c r="K379" t="inlineStr">
        <is>
          <t>24+550</t>
        </is>
      </c>
      <c r="L379" t="inlineStr">
        <is>
          <t>สถานีหลัก (P)</t>
        </is>
      </c>
      <c r="M379" t="n">
        <v>1</v>
      </c>
      <c r="N379" t="n">
        <v>13.575463</v>
      </c>
      <c r="O379" t="n">
        <v>100.298629</v>
      </c>
      <c r="P379" t="n">
        <v>3.1</v>
      </c>
      <c r="Q379" t="n">
        <v>15</v>
      </c>
      <c r="R379" t="n">
        <v>3</v>
      </c>
      <c r="S379" s="3" t="n">
        <v>143116</v>
      </c>
      <c r="T379" t="n">
        <v>1</v>
      </c>
      <c r="U379" t="n">
        <v>2</v>
      </c>
      <c r="V379" t="n">
        <v>8</v>
      </c>
      <c r="W379" t="n">
        <v>0.6667</v>
      </c>
      <c r="X379" t="inlineStr">
        <is>
          <t>low</t>
        </is>
      </c>
      <c r="Y379" s="3">
        <f>Q379*1000000</f>
        <v/>
      </c>
      <c r="Z379" s="3">
        <f>365*R379*S379*T379</f>
        <v/>
      </c>
      <c r="AA379" s="4">
        <f>Y379/Z379</f>
        <v/>
      </c>
      <c r="AB379" s="4">
        <f>Q379*1000000/(365*R379*S379)</f>
        <v/>
      </c>
      <c r="AC379">
        <f>RANK(AA379,$AA$2:$AA$395,0)</f>
        <v/>
      </c>
    </row>
    <row r="380">
      <c r="A380" t="inlineStr">
        <is>
          <t>zone_612</t>
        </is>
      </c>
      <c r="B380" t="inlineStr">
        <is>
          <t>แสมดำ - สะพานข้ามแม่น้ำท่าจีนฝั่งตะวันตก</t>
        </is>
      </c>
      <c r="C380" t="inlineStr">
        <is>
          <t>สมุทรสาคร</t>
        </is>
      </c>
      <c r="D380" t="n">
        <v>35</v>
      </c>
      <c r="E380" t="inlineStr">
        <is>
          <t>0201</t>
        </is>
      </c>
      <c r="F380" t="inlineStr">
        <is>
          <t>26.8–27.3</t>
        </is>
      </c>
      <c r="G380" t="n">
        <v>13.564662</v>
      </c>
      <c r="H380" t="n">
        <v>100.278782</v>
      </c>
      <c r="I380" t="inlineStr">
        <is>
          <t>hods_aadt_pnt_2568.fid-6461857d_1a0f2643074_4a99</t>
        </is>
      </c>
      <c r="J380" t="inlineStr">
        <is>
          <t>แสมดำ - สะพานข้ามแม่น้ำท่าจีนฝั่งตะวันตก</t>
        </is>
      </c>
      <c r="K380" t="inlineStr">
        <is>
          <t>24+550</t>
        </is>
      </c>
      <c r="L380" t="inlineStr">
        <is>
          <t>สถานีหลัก (P)</t>
        </is>
      </c>
      <c r="M380" t="n">
        <v>1</v>
      </c>
      <c r="N380" t="n">
        <v>13.575463</v>
      </c>
      <c r="O380" t="n">
        <v>100.298629</v>
      </c>
      <c r="P380" t="n">
        <v>2.46</v>
      </c>
      <c r="Q380" t="n">
        <v>10</v>
      </c>
      <c r="R380" t="n">
        <v>3</v>
      </c>
      <c r="S380" s="3" t="n">
        <v>143116</v>
      </c>
      <c r="T380" t="n">
        <v>1</v>
      </c>
      <c r="U380" t="n">
        <v>1</v>
      </c>
      <c r="V380" t="n">
        <v>6</v>
      </c>
      <c r="W380" t="n">
        <v>0.7</v>
      </c>
      <c r="X380" t="inlineStr">
        <is>
          <t>low</t>
        </is>
      </c>
      <c r="Y380" s="3">
        <f>Q380*1000000</f>
        <v/>
      </c>
      <c r="Z380" s="3">
        <f>365*R380*S380*T380</f>
        <v/>
      </c>
      <c r="AA380" s="4">
        <f>Y380/Z380</f>
        <v/>
      </c>
      <c r="AB380" s="4">
        <f>Q380*1000000/(365*R380*S380)</f>
        <v/>
      </c>
      <c r="AC380">
        <f>RANK(AA380,$AA$2:$AA$395,0)</f>
        <v/>
      </c>
    </row>
    <row r="381">
      <c r="A381" t="inlineStr">
        <is>
          <t>zone_613</t>
        </is>
      </c>
      <c r="B381" t="inlineStr">
        <is>
          <t>แสมดำ - สะพานข้ามแม่น้ำท่าจีนฝั่งตะวันตก</t>
        </is>
      </c>
      <c r="C381" t="inlineStr">
        <is>
          <t>สมุทรสาคร</t>
        </is>
      </c>
      <c r="D381" t="n">
        <v>35</v>
      </c>
      <c r="E381" t="inlineStr">
        <is>
          <t>0201</t>
        </is>
      </c>
      <c r="F381" t="inlineStr">
        <is>
          <t>27.6–28.125</t>
        </is>
      </c>
      <c r="G381" t="n">
        <v>13.559315</v>
      </c>
      <c r="H381" t="n">
        <v>100.273049</v>
      </c>
      <c r="I381" t="inlineStr">
        <is>
          <t>hods_aadt_pnt_2568.fid-6461857d_1a0f2643074_4a99</t>
        </is>
      </c>
      <c r="J381" t="inlineStr">
        <is>
          <t>แสมดำ - สะพานข้ามแม่น้ำท่าจีนฝั่งตะวันตก</t>
        </is>
      </c>
      <c r="K381" t="inlineStr">
        <is>
          <t>24+550</t>
        </is>
      </c>
      <c r="L381" t="inlineStr">
        <is>
          <t>สถานีหลัก (P)</t>
        </is>
      </c>
      <c r="M381" t="n">
        <v>1</v>
      </c>
      <c r="N381" t="n">
        <v>13.575463</v>
      </c>
      <c r="O381" t="n">
        <v>100.298629</v>
      </c>
      <c r="P381" t="n">
        <v>3.3</v>
      </c>
      <c r="Q381" t="n">
        <v>7</v>
      </c>
      <c r="R381" t="n">
        <v>3</v>
      </c>
      <c r="S381" s="3" t="n">
        <v>143116</v>
      </c>
      <c r="T381" t="n">
        <v>1</v>
      </c>
      <c r="U381" t="n">
        <v>0</v>
      </c>
      <c r="V381" t="n">
        <v>0</v>
      </c>
      <c r="W381" t="n">
        <v>0</v>
      </c>
      <c r="X381" t="inlineStr">
        <is>
          <t>low</t>
        </is>
      </c>
      <c r="Y381" s="3">
        <f>Q381*1000000</f>
        <v/>
      </c>
      <c r="Z381" s="3">
        <f>365*R381*S381*T381</f>
        <v/>
      </c>
      <c r="AA381" s="4">
        <f>Y381/Z381</f>
        <v/>
      </c>
      <c r="AB381" s="4">
        <f>Q381*1000000/(365*R381*S381)</f>
        <v/>
      </c>
      <c r="AC381">
        <f>RANK(AA381,$AA$2:$AA$395,0)</f>
        <v/>
      </c>
    </row>
    <row r="382">
      <c r="A382" t="inlineStr">
        <is>
          <t>zone_615</t>
        </is>
      </c>
      <c r="B382" t="inlineStr">
        <is>
          <t>สะพานข้ามแม่น้ำท่าจีนฝั่งตะวันตก - นาโคก</t>
        </is>
      </c>
      <c r="C382" t="inlineStr">
        <is>
          <t>สมุทรสาคร</t>
        </is>
      </c>
      <c r="D382" t="n">
        <v>35</v>
      </c>
      <c r="E382" t="inlineStr">
        <is>
          <t>0202</t>
        </is>
      </c>
      <c r="F382" t="inlineStr">
        <is>
          <t>44.3–44.7</t>
        </is>
      </c>
      <c r="G382" t="n">
        <v>13.507799</v>
      </c>
      <c r="H382" t="n">
        <v>100.131597</v>
      </c>
      <c r="I382" t="inlineStr">
        <is>
          <t>hods_aadt_pnt_2568.fid-6461857d_1a0f2643074_4a9a</t>
        </is>
      </c>
      <c r="J382" t="inlineStr">
        <is>
          <t>สะพานข้ามแม่น้ำท่าจีนฝั่งตะวันตก - นาโคก</t>
        </is>
      </c>
      <c r="K382" t="inlineStr">
        <is>
          <t>30+700</t>
        </is>
      </c>
      <c r="L382" t="inlineStr">
        <is>
          <t>สถานีย่อย (C)</t>
        </is>
      </c>
      <c r="M382" t="n">
        <v>1</v>
      </c>
      <c r="N382" t="n">
        <v>13.544191</v>
      </c>
      <c r="O382" t="n">
        <v>100.252408</v>
      </c>
      <c r="P382" t="n">
        <v>13.67</v>
      </c>
      <c r="Q382" t="n">
        <v>4</v>
      </c>
      <c r="R382" t="n">
        <v>3</v>
      </c>
      <c r="S382" s="3" t="n">
        <v>149785</v>
      </c>
      <c r="T382" t="n">
        <v>1</v>
      </c>
      <c r="U382" t="n">
        <v>0</v>
      </c>
      <c r="V382" t="n">
        <v>2</v>
      </c>
      <c r="W382" t="n">
        <v>0.5</v>
      </c>
      <c r="X382" t="inlineStr">
        <is>
          <t>low</t>
        </is>
      </c>
      <c r="Y382" s="3">
        <f>Q382*1000000</f>
        <v/>
      </c>
      <c r="Z382" s="3">
        <f>365*R382*S382*T382</f>
        <v/>
      </c>
      <c r="AA382" s="4">
        <f>Y382/Z382</f>
        <v/>
      </c>
      <c r="AB382" s="4">
        <f>Q382*1000000/(365*R382*S382)</f>
        <v/>
      </c>
      <c r="AC382">
        <f>RANK(AA382,$AA$2:$AA$395,0)</f>
        <v/>
      </c>
    </row>
    <row r="383">
      <c r="A383" t="inlineStr">
        <is>
          <t>zone_616</t>
        </is>
      </c>
      <c r="B383" t="inlineStr">
        <is>
          <t>อ้อมน้อย - สมุทรสาคร</t>
        </is>
      </c>
      <c r="C383" t="inlineStr">
        <is>
          <t>สมุทรสาคร</t>
        </is>
      </c>
      <c r="D383" t="n">
        <v>3091</v>
      </c>
      <c r="E383" t="inlineStr">
        <is>
          <t>0100</t>
        </is>
      </c>
      <c r="F383" t="inlineStr">
        <is>
          <t>7.36–7.6</t>
        </is>
      </c>
      <c r="G383" t="n">
        <v>13.650796</v>
      </c>
      <c r="H383" t="n">
        <v>100.279806</v>
      </c>
      <c r="I383" t="inlineStr">
        <is>
          <t>hods_aadt_pnt_2568.fid-6461857d_1a0f2643074_5166</t>
        </is>
      </c>
      <c r="J383" t="inlineStr">
        <is>
          <t>อ้อมน้อย - สมุทรสาคร</t>
        </is>
      </c>
      <c r="K383" t="inlineStr">
        <is>
          <t>0+500</t>
        </is>
      </c>
      <c r="L383" t="inlineStr">
        <is>
          <t>สถานีย่อย (C)</t>
        </is>
      </c>
      <c r="M383" t="n">
        <v>2</v>
      </c>
      <c r="N383" t="n">
        <v>13.702281</v>
      </c>
      <c r="O383" t="n">
        <v>100.299615</v>
      </c>
      <c r="P383" t="n">
        <v>6.11</v>
      </c>
      <c r="Q383" t="n">
        <v>3</v>
      </c>
      <c r="R383" t="n">
        <v>3</v>
      </c>
      <c r="S383" s="3" t="n">
        <v>37588</v>
      </c>
      <c r="T383" t="n">
        <v>1</v>
      </c>
      <c r="U383" t="n">
        <v>1</v>
      </c>
      <c r="V383" t="n">
        <v>1</v>
      </c>
      <c r="W383" t="n">
        <v>0.6667</v>
      </c>
      <c r="X383" t="inlineStr">
        <is>
          <t>low</t>
        </is>
      </c>
      <c r="Y383" s="3">
        <f>Q383*1000000</f>
        <v/>
      </c>
      <c r="Z383" s="3">
        <f>365*R383*S383*T383</f>
        <v/>
      </c>
      <c r="AA383" s="4">
        <f>Y383/Z383</f>
        <v/>
      </c>
      <c r="AB383" s="4">
        <f>Q383*1000000/(365*R383*S383)</f>
        <v/>
      </c>
      <c r="AC383">
        <f>RANK(AA383,$AA$2:$AA$395,0)</f>
        <v/>
      </c>
    </row>
    <row r="384">
      <c r="A384" t="inlineStr">
        <is>
          <t>zone_617</t>
        </is>
      </c>
      <c r="B384" t="inlineStr">
        <is>
          <t>แสมดำ - สะพานข้ามแม่น้ำท่าจีนฝั่งตะวันตก</t>
        </is>
      </c>
      <c r="C384" t="inlineStr">
        <is>
          <t>สมุทรสาคร</t>
        </is>
      </c>
      <c r="D384" t="n">
        <v>35</v>
      </c>
      <c r="E384" t="inlineStr">
        <is>
          <t>0201</t>
        </is>
      </c>
      <c r="F384" t="inlineStr">
        <is>
          <t>26.3–26.54</t>
        </is>
      </c>
      <c r="G384" t="n">
        <v>13.567403</v>
      </c>
      <c r="H384" t="n">
        <v>100.283203</v>
      </c>
      <c r="I384" t="inlineStr">
        <is>
          <t>hods_aadt_pnt_2568.fid-6461857d_1a0f2643074_4a99</t>
        </is>
      </c>
      <c r="J384" t="inlineStr">
        <is>
          <t>แสมดำ - สะพานข้ามแม่น้ำท่าจีนฝั่งตะวันตก</t>
        </is>
      </c>
      <c r="K384" t="inlineStr">
        <is>
          <t>24+550</t>
        </is>
      </c>
      <c r="L384" t="inlineStr">
        <is>
          <t>สถานีหลัก (P)</t>
        </is>
      </c>
      <c r="M384" t="n">
        <v>1</v>
      </c>
      <c r="N384" t="n">
        <v>13.575463</v>
      </c>
      <c r="O384" t="n">
        <v>100.298629</v>
      </c>
      <c r="P384" t="n">
        <v>1.89</v>
      </c>
      <c r="Q384" t="n">
        <v>6</v>
      </c>
      <c r="R384" t="n">
        <v>3</v>
      </c>
      <c r="S384" s="3" t="n">
        <v>143116</v>
      </c>
      <c r="T384" t="n">
        <v>1</v>
      </c>
      <c r="U384" t="n">
        <v>0</v>
      </c>
      <c r="V384" t="n">
        <v>7</v>
      </c>
      <c r="W384" t="n">
        <v>1.1667</v>
      </c>
      <c r="X384" t="inlineStr">
        <is>
          <t>medium</t>
        </is>
      </c>
      <c r="Y384" s="3">
        <f>Q384*1000000</f>
        <v/>
      </c>
      <c r="Z384" s="3">
        <f>365*R384*S384*T384</f>
        <v/>
      </c>
      <c r="AA384" s="4">
        <f>Y384/Z384</f>
        <v/>
      </c>
      <c r="AB384" s="4">
        <f>Q384*1000000/(365*R384*S384)</f>
        <v/>
      </c>
      <c r="AC384">
        <f>RANK(AA384,$AA$2:$AA$395,0)</f>
        <v/>
      </c>
    </row>
    <row r="385">
      <c r="A385" t="inlineStr">
        <is>
          <t>zone_618</t>
        </is>
      </c>
      <c r="B385" t="inlineStr">
        <is>
          <t>แสมดำ - สะพานข้ามแม่น้ำท่าจีนฝั่งตะวันตก</t>
        </is>
      </c>
      <c r="C385" t="inlineStr">
        <is>
          <t>สมุทรสาคร</t>
        </is>
      </c>
      <c r="D385" t="n">
        <v>35</v>
      </c>
      <c r="E385" t="inlineStr">
        <is>
          <t>0201</t>
        </is>
      </c>
      <c r="F385" t="inlineStr">
        <is>
          <t>26–26.58</t>
        </is>
      </c>
      <c r="G385" t="n">
        <v>13.567403</v>
      </c>
      <c r="H385" t="n">
        <v>100.283203</v>
      </c>
      <c r="I385" t="inlineStr">
        <is>
          <t>hods_aadt_pnt_2568.fid-6461857d_1a0f2643074_4a99</t>
        </is>
      </c>
      <c r="J385" t="inlineStr">
        <is>
          <t>แสมดำ - สะพานข้ามแม่น้ำท่าจีนฝั่งตะวันตก</t>
        </is>
      </c>
      <c r="K385" t="inlineStr">
        <is>
          <t>24+550</t>
        </is>
      </c>
      <c r="L385" t="inlineStr">
        <is>
          <t>สถานีหลัก (P)</t>
        </is>
      </c>
      <c r="M385" t="n">
        <v>1</v>
      </c>
      <c r="N385" t="n">
        <v>13.575463</v>
      </c>
      <c r="O385" t="n">
        <v>100.298629</v>
      </c>
      <c r="P385" t="n">
        <v>1.89</v>
      </c>
      <c r="Q385" t="n">
        <v>9</v>
      </c>
      <c r="R385" t="n">
        <v>3</v>
      </c>
      <c r="S385" s="3" t="n">
        <v>143116</v>
      </c>
      <c r="T385" t="n">
        <v>1</v>
      </c>
      <c r="U385" t="n">
        <v>0</v>
      </c>
      <c r="V385" t="n">
        <v>12</v>
      </c>
      <c r="W385" t="n">
        <v>1.3333</v>
      </c>
      <c r="X385" t="inlineStr">
        <is>
          <t>medium</t>
        </is>
      </c>
      <c r="Y385" s="3">
        <f>Q385*1000000</f>
        <v/>
      </c>
      <c r="Z385" s="3">
        <f>365*R385*S385*T385</f>
        <v/>
      </c>
      <c r="AA385" s="4">
        <f>Y385/Z385</f>
        <v/>
      </c>
      <c r="AB385" s="4">
        <f>Q385*1000000/(365*R385*S385)</f>
        <v/>
      </c>
      <c r="AC385">
        <f>RANK(AA385,$AA$2:$AA$395,0)</f>
        <v/>
      </c>
    </row>
    <row r="386">
      <c r="A386" t="inlineStr">
        <is>
          <t>zone_619</t>
        </is>
      </c>
      <c r="B386" t="inlineStr">
        <is>
          <t>อ้อมน้อย - สมุทรสาคร</t>
        </is>
      </c>
      <c r="C386" t="inlineStr">
        <is>
          <t>สมุทรสาคร</t>
        </is>
      </c>
      <c r="D386" t="n">
        <v>3091</v>
      </c>
      <c r="E386" t="inlineStr">
        <is>
          <t>0100</t>
        </is>
      </c>
      <c r="F386" t="inlineStr">
        <is>
          <t>14.495–15.3</t>
        </is>
      </c>
      <c r="G386" t="n">
        <v>13.598598</v>
      </c>
      <c r="H386" t="n">
        <v>100.283486</v>
      </c>
      <c r="I386" t="inlineStr">
        <is>
          <t>hods_aadt_pnt_2568.fid-6461857d_1a0f2643074_5166</t>
        </is>
      </c>
      <c r="J386" t="inlineStr">
        <is>
          <t>อ้อมน้อย - สมุทรสาคร</t>
        </is>
      </c>
      <c r="K386" t="inlineStr">
        <is>
          <t>0+500</t>
        </is>
      </c>
      <c r="L386" t="inlineStr">
        <is>
          <t>สถานีย่อย (C)</t>
        </is>
      </c>
      <c r="M386" t="n">
        <v>2</v>
      </c>
      <c r="N386" t="n">
        <v>13.702281</v>
      </c>
      <c r="O386" t="n">
        <v>100.299615</v>
      </c>
      <c r="P386" t="n">
        <v>11.66</v>
      </c>
      <c r="Q386" t="n">
        <v>5</v>
      </c>
      <c r="R386" t="n">
        <v>3</v>
      </c>
      <c r="S386" s="3" t="n">
        <v>37588</v>
      </c>
      <c r="T386" t="n">
        <v>1</v>
      </c>
      <c r="U386" t="n">
        <v>0</v>
      </c>
      <c r="V386" t="n">
        <v>3</v>
      </c>
      <c r="W386" t="n">
        <v>0.6</v>
      </c>
      <c r="X386" t="inlineStr">
        <is>
          <t>low</t>
        </is>
      </c>
      <c r="Y386" s="3">
        <f>Q386*1000000</f>
        <v/>
      </c>
      <c r="Z386" s="3">
        <f>365*R386*S386*T386</f>
        <v/>
      </c>
      <c r="AA386" s="4">
        <f>Y386/Z386</f>
        <v/>
      </c>
      <c r="AB386" s="4">
        <f>Q386*1000000/(365*R386*S386)</f>
        <v/>
      </c>
      <c r="AC386">
        <f>RANK(AA386,$AA$2:$AA$395,0)</f>
        <v/>
      </c>
    </row>
    <row r="387">
      <c r="A387" t="inlineStr">
        <is>
          <t>zone_620</t>
        </is>
      </c>
      <c r="B387" t="inlineStr">
        <is>
          <t>สะพานข้ามแม่น้ำท่าจีนฝั่งตะวันตก - นาโคก</t>
        </is>
      </c>
      <c r="C387" t="inlineStr">
        <is>
          <t>สมุทรสาคร</t>
        </is>
      </c>
      <c r="D387" t="n">
        <v>35</v>
      </c>
      <c r="E387" t="inlineStr">
        <is>
          <t>0202</t>
        </is>
      </c>
      <c r="F387" t="inlineStr">
        <is>
          <t>47.45–47.55</t>
        </is>
      </c>
      <c r="G387" t="n">
        <v>13.483539</v>
      </c>
      <c r="H387" t="n">
        <v>100.120136</v>
      </c>
      <c r="I387" t="inlineStr">
        <is>
          <t>hods_aadt_pnt_2568.fid-6461857d_1a0f2643074_4a9a</t>
        </is>
      </c>
      <c r="J387" t="inlineStr">
        <is>
          <t>สะพานข้ามแม่น้ำท่าจีนฝั่งตะวันตก - นาโคก</t>
        </is>
      </c>
      <c r="K387" t="inlineStr">
        <is>
          <t>30+700</t>
        </is>
      </c>
      <c r="L387" t="inlineStr">
        <is>
          <t>สถานีย่อย (C)</t>
        </is>
      </c>
      <c r="M387" t="n">
        <v>1</v>
      </c>
      <c r="N387" t="n">
        <v>13.544191</v>
      </c>
      <c r="O387" t="n">
        <v>100.252408</v>
      </c>
      <c r="P387" t="n">
        <v>15.81</v>
      </c>
      <c r="Q387" t="n">
        <v>3</v>
      </c>
      <c r="R387" t="n">
        <v>3</v>
      </c>
      <c r="S387" s="3" t="n">
        <v>149785</v>
      </c>
      <c r="T387" t="n">
        <v>1</v>
      </c>
      <c r="U387" t="n">
        <v>0</v>
      </c>
      <c r="V387" t="n">
        <v>2</v>
      </c>
      <c r="W387" t="n">
        <v>0.6667</v>
      </c>
      <c r="X387" t="inlineStr">
        <is>
          <t>low</t>
        </is>
      </c>
      <c r="Y387" s="3">
        <f>Q387*1000000</f>
        <v/>
      </c>
      <c r="Z387" s="3">
        <f>365*R387*S387*T387</f>
        <v/>
      </c>
      <c r="AA387" s="4">
        <f>Y387/Z387</f>
        <v/>
      </c>
      <c r="AB387" s="4">
        <f>Q387*1000000/(365*R387*S387)</f>
        <v/>
      </c>
      <c r="AC387">
        <f>RANK(AA387,$AA$2:$AA$395,0)</f>
        <v/>
      </c>
    </row>
    <row r="388">
      <c r="A388" t="inlineStr">
        <is>
          <t>zone_621</t>
        </is>
      </c>
      <c r="B388" t="inlineStr">
        <is>
          <t>บ้านบ่อ - พระประโทน</t>
        </is>
      </c>
      <c r="C388" t="inlineStr">
        <is>
          <t>สมุทรสาคร</t>
        </is>
      </c>
      <c r="D388" t="n">
        <v>375</v>
      </c>
      <c r="E388" t="inlineStr">
        <is>
          <t>0101</t>
        </is>
      </c>
      <c r="F388" t="inlineStr">
        <is>
          <t>16.982–17.16</t>
        </is>
      </c>
      <c r="G388" t="n">
        <v>13.632562</v>
      </c>
      <c r="H388" t="n">
        <v>100.093538</v>
      </c>
      <c r="I388" t="inlineStr">
        <is>
          <t>hods_aadt_pnt_2568.fid-6461857d_1a0f2643074_4cd3</t>
        </is>
      </c>
      <c r="J388" t="inlineStr">
        <is>
          <t>บ้านบ่อ - พระประโทน</t>
        </is>
      </c>
      <c r="K388" t="inlineStr">
        <is>
          <t>16+521</t>
        </is>
      </c>
      <c r="L388" t="inlineStr">
        <is>
          <t>สถานีย่อย (C)</t>
        </is>
      </c>
      <c r="M388" t="n">
        <v>1</v>
      </c>
      <c r="N388" t="n">
        <v>13.628216</v>
      </c>
      <c r="O388" t="n">
        <v>100.094511</v>
      </c>
      <c r="P388" t="n">
        <v>0.49</v>
      </c>
      <c r="Q388" t="n">
        <v>3</v>
      </c>
      <c r="R388" t="n">
        <v>3</v>
      </c>
      <c r="S388" s="3" t="n">
        <v>42129</v>
      </c>
      <c r="T388" t="n">
        <v>1</v>
      </c>
      <c r="U388" t="n">
        <v>0</v>
      </c>
      <c r="V388" t="n">
        <v>1</v>
      </c>
      <c r="W388" t="n">
        <v>0.3333</v>
      </c>
      <c r="X388" t="inlineStr">
        <is>
          <t>low</t>
        </is>
      </c>
      <c r="Y388" s="3">
        <f>Q388*1000000</f>
        <v/>
      </c>
      <c r="Z388" s="3">
        <f>365*R388*S388*T388</f>
        <v/>
      </c>
      <c r="AA388" s="4">
        <f>Y388/Z388</f>
        <v/>
      </c>
      <c r="AB388" s="4">
        <f>Q388*1000000/(365*R388*S388)</f>
        <v/>
      </c>
      <c r="AC388">
        <f>RANK(AA388,$AA$2:$AA$395,0)</f>
        <v/>
      </c>
    </row>
    <row r="389">
      <c r="A389" t="inlineStr">
        <is>
          <t>zone_622</t>
        </is>
      </c>
      <c r="B389" t="inlineStr">
        <is>
          <t>บ้านบ่อ - พระประโทน</t>
        </is>
      </c>
      <c r="C389" t="inlineStr">
        <is>
          <t>สมุทรสาคร</t>
        </is>
      </c>
      <c r="D389" t="n">
        <v>375</v>
      </c>
      <c r="E389" t="inlineStr">
        <is>
          <t>0101</t>
        </is>
      </c>
      <c r="F389" t="inlineStr">
        <is>
          <t>0.615–0.885</t>
        </is>
      </c>
      <c r="G389" t="n">
        <v>13.53002</v>
      </c>
      <c r="H389" t="n">
        <v>100.1813</v>
      </c>
      <c r="I389" t="inlineStr">
        <is>
          <t>hods_aadt_pnt_2568.fid-6461857d_1a0f2643074_4cd3</t>
        </is>
      </c>
      <c r="J389" t="inlineStr">
        <is>
          <t>บ้านบ่อ - พระประโทน</t>
        </is>
      </c>
      <c r="K389" t="inlineStr">
        <is>
          <t>16+521</t>
        </is>
      </c>
      <c r="L389" t="inlineStr">
        <is>
          <t>สถานีย่อย (C)</t>
        </is>
      </c>
      <c r="M389" t="n">
        <v>1</v>
      </c>
      <c r="N389" t="n">
        <v>13.628216</v>
      </c>
      <c r="O389" t="n">
        <v>100.094511</v>
      </c>
      <c r="P389" t="n">
        <v>14.4</v>
      </c>
      <c r="Q389" t="n">
        <v>3</v>
      </c>
      <c r="R389" t="n">
        <v>3</v>
      </c>
      <c r="S389" s="3" t="n">
        <v>42129</v>
      </c>
      <c r="T389" t="n">
        <v>1</v>
      </c>
      <c r="U389" t="n">
        <v>0</v>
      </c>
      <c r="V389" t="n">
        <v>0</v>
      </c>
      <c r="W389" t="n">
        <v>0</v>
      </c>
      <c r="X389" t="inlineStr">
        <is>
          <t>low</t>
        </is>
      </c>
      <c r="Y389" s="3">
        <f>Q389*1000000</f>
        <v/>
      </c>
      <c r="Z389" s="3">
        <f>365*R389*S389*T389</f>
        <v/>
      </c>
      <c r="AA389" s="4">
        <f>Y389/Z389</f>
        <v/>
      </c>
      <c r="AB389" s="4">
        <f>Q389*1000000/(365*R389*S389)</f>
        <v/>
      </c>
      <c r="AC389">
        <f>RANK(AA389,$AA$2:$AA$395,0)</f>
        <v/>
      </c>
    </row>
    <row r="390">
      <c r="A390" t="inlineStr">
        <is>
          <t>zone_623</t>
        </is>
      </c>
      <c r="B390" t="inlineStr">
        <is>
          <t>สมุทรสาคร - บางบอน</t>
        </is>
      </c>
      <c r="C390" t="inlineStr">
        <is>
          <t>สมุทรสาคร</t>
        </is>
      </c>
      <c r="D390" t="n">
        <v>3242</v>
      </c>
      <c r="E390" t="inlineStr">
        <is>
          <t>0100</t>
        </is>
      </c>
      <c r="F390" t="inlineStr">
        <is>
          <t>11.04–11.63</t>
        </is>
      </c>
      <c r="G390" t="n">
        <v>13.618376</v>
      </c>
      <c r="H390" t="n">
        <v>100.349104</v>
      </c>
      <c r="I390" t="inlineStr">
        <is>
          <t>hods_aadt_pnt_2568.fid-6461857d_1a0f2643074_51ef</t>
        </is>
      </c>
      <c r="J390" t="inlineStr">
        <is>
          <t>สมุทรสาคร - บางบอน</t>
        </is>
      </c>
      <c r="K390" t="inlineStr">
        <is>
          <t>4+130</t>
        </is>
      </c>
      <c r="L390" t="inlineStr">
        <is>
          <t>สถานีย่อย (C)</t>
        </is>
      </c>
      <c r="M390" t="n">
        <v>1</v>
      </c>
      <c r="N390" t="n">
        <v>13.571677</v>
      </c>
      <c r="O390" t="n">
        <v>100.30426</v>
      </c>
      <c r="P390" t="n">
        <v>7.1</v>
      </c>
      <c r="Q390" t="n">
        <v>9</v>
      </c>
      <c r="R390" t="n">
        <v>3</v>
      </c>
      <c r="S390" s="3" t="n">
        <v>49217</v>
      </c>
      <c r="T390" t="n">
        <v>1</v>
      </c>
      <c r="U390" t="n">
        <v>1</v>
      </c>
      <c r="V390" t="n">
        <v>8</v>
      </c>
      <c r="W390" t="n">
        <v>1</v>
      </c>
      <c r="X390" t="inlineStr">
        <is>
          <t>medium</t>
        </is>
      </c>
      <c r="Y390" s="3">
        <f>Q390*1000000</f>
        <v/>
      </c>
      <c r="Z390" s="3">
        <f>365*R390*S390*T390</f>
        <v/>
      </c>
      <c r="AA390" s="4">
        <f>Y390/Z390</f>
        <v/>
      </c>
      <c r="AB390" s="4">
        <f>Q390*1000000/(365*R390*S390)</f>
        <v/>
      </c>
      <c r="AC390">
        <f>RANK(AA390,$AA$2:$AA$395,0)</f>
        <v/>
      </c>
    </row>
    <row r="391">
      <c r="A391" t="inlineStr">
        <is>
          <t>zone_624</t>
        </is>
      </c>
      <c r="B391" t="inlineStr">
        <is>
          <t>สะพานข้ามแม่น้ำท่าจีนฝั่งตะวันตก - นาโคก</t>
        </is>
      </c>
      <c r="C391" t="inlineStr">
        <is>
          <t>สมุทรสาคร</t>
        </is>
      </c>
      <c r="D391" t="n">
        <v>35</v>
      </c>
      <c r="E391" t="inlineStr">
        <is>
          <t>0202</t>
        </is>
      </c>
      <c r="F391" t="inlineStr">
        <is>
          <t>48.7–48.74</t>
        </is>
      </c>
      <c r="G391" t="n">
        <v>13.473755</v>
      </c>
      <c r="H391" t="n">
        <v>100.115386</v>
      </c>
      <c r="I391" t="inlineStr">
        <is>
          <t>hods_aadt_pnt_2568.fid-6461857d_1a0f2643074_4a9a</t>
        </is>
      </c>
      <c r="J391" t="inlineStr">
        <is>
          <t>สะพานข้ามแม่น้ำท่าจีนฝั่งตะวันตก - นาโคก</t>
        </is>
      </c>
      <c r="K391" t="inlineStr">
        <is>
          <t>30+700</t>
        </is>
      </c>
      <c r="L391" t="inlineStr">
        <is>
          <t>สถานีย่อย (C)</t>
        </is>
      </c>
      <c r="M391" t="n">
        <v>1</v>
      </c>
      <c r="N391" t="n">
        <v>13.544191</v>
      </c>
      <c r="O391" t="n">
        <v>100.252408</v>
      </c>
      <c r="P391" t="n">
        <v>16.76</v>
      </c>
      <c r="Q391" t="n">
        <v>3</v>
      </c>
      <c r="R391" t="n">
        <v>3</v>
      </c>
      <c r="S391" s="3" t="n">
        <v>149785</v>
      </c>
      <c r="T391" t="n">
        <v>1</v>
      </c>
      <c r="U391" t="n">
        <v>0</v>
      </c>
      <c r="V391" t="n">
        <v>2</v>
      </c>
      <c r="W391" t="n">
        <v>0.6667</v>
      </c>
      <c r="X391" t="inlineStr">
        <is>
          <t>low</t>
        </is>
      </c>
      <c r="Y391" s="3">
        <f>Q391*1000000</f>
        <v/>
      </c>
      <c r="Z391" s="3">
        <f>365*R391*S391*T391</f>
        <v/>
      </c>
      <c r="AA391" s="4">
        <f>Y391/Z391</f>
        <v/>
      </c>
      <c r="AB391" s="4">
        <f>Q391*1000000/(365*R391*S391)</f>
        <v/>
      </c>
      <c r="AC391">
        <f>RANK(AA391,$AA$2:$AA$395,0)</f>
        <v/>
      </c>
    </row>
    <row r="392">
      <c r="A392" t="inlineStr">
        <is>
          <t>zone_625</t>
        </is>
      </c>
      <c r="B392" t="inlineStr">
        <is>
          <t>สะพานข้ามแม่น้ำท่าจีนฝั่งตะวันตก - นาโคก</t>
        </is>
      </c>
      <c r="C392" t="inlineStr">
        <is>
          <t>สมุทรสาคร</t>
        </is>
      </c>
      <c r="D392" t="n">
        <v>35</v>
      </c>
      <c r="E392" t="inlineStr">
        <is>
          <t>0202</t>
        </is>
      </c>
      <c r="F392" t="inlineStr">
        <is>
          <t>42.84–42.95</t>
        </is>
      </c>
      <c r="G392" t="n">
        <v>13.512175</v>
      </c>
      <c r="H392" t="n">
        <v>100.14524</v>
      </c>
      <c r="I392" t="inlineStr">
        <is>
          <t>hods_aadt_pnt_2568.fid-6461857d_1a0f2643074_4a9a</t>
        </is>
      </c>
      <c r="J392" t="inlineStr">
        <is>
          <t>สะพานข้ามแม่น้ำท่าจีนฝั่งตะวันตก - นาโคก</t>
        </is>
      </c>
      <c r="K392" t="inlineStr">
        <is>
          <t>30+700</t>
        </is>
      </c>
      <c r="L392" t="inlineStr">
        <is>
          <t>สถานีย่อย (C)</t>
        </is>
      </c>
      <c r="M392" t="n">
        <v>1</v>
      </c>
      <c r="N392" t="n">
        <v>13.544191</v>
      </c>
      <c r="O392" t="n">
        <v>100.252408</v>
      </c>
      <c r="P392" t="n">
        <v>12.12</v>
      </c>
      <c r="Q392" t="n">
        <v>3</v>
      </c>
      <c r="R392" t="n">
        <v>3</v>
      </c>
      <c r="S392" s="3" t="n">
        <v>149785</v>
      </c>
      <c r="T392" t="n">
        <v>1</v>
      </c>
      <c r="U392" t="n">
        <v>0</v>
      </c>
      <c r="V392" t="n">
        <v>0</v>
      </c>
      <c r="W392" t="n">
        <v>0</v>
      </c>
      <c r="X392" t="inlineStr">
        <is>
          <t>low</t>
        </is>
      </c>
      <c r="Y392" s="3">
        <f>Q392*1000000</f>
        <v/>
      </c>
      <c r="Z392" s="3">
        <f>365*R392*S392*T392</f>
        <v/>
      </c>
      <c r="AA392" s="4">
        <f>Y392/Z392</f>
        <v/>
      </c>
      <c r="AB392" s="4">
        <f>Q392*1000000/(365*R392*S392)</f>
        <v/>
      </c>
      <c r="AC392">
        <f>RANK(AA392,$AA$2:$AA$395,0)</f>
        <v/>
      </c>
    </row>
    <row r="393">
      <c r="A393" t="inlineStr">
        <is>
          <t>zone_627</t>
        </is>
      </c>
      <c r="B393" t="inlineStr">
        <is>
          <t>แสมดำ - สะพานข้ามแม่น้ำท่าจีนฝั่งตะวันตก</t>
        </is>
      </c>
      <c r="C393" t="inlineStr">
        <is>
          <t>สมุทรสาคร</t>
        </is>
      </c>
      <c r="D393" t="n">
        <v>35</v>
      </c>
      <c r="E393" t="inlineStr">
        <is>
          <t>0201</t>
        </is>
      </c>
      <c r="F393" t="inlineStr">
        <is>
          <t>19.21–22.3</t>
        </is>
      </c>
      <c r="G393" t="n">
        <v>13.593205</v>
      </c>
      <c r="H393" t="n">
        <v>100.341829</v>
      </c>
      <c r="I393" t="inlineStr">
        <is>
          <t>hods_aadt_pnt_2568.fid-6461857d_1a0f2643074_4a99</t>
        </is>
      </c>
      <c r="J393" t="inlineStr">
        <is>
          <t>แสมดำ - สะพานข้ามแม่น้ำท่าจีนฝั่งตะวันตก</t>
        </is>
      </c>
      <c r="K393" t="inlineStr">
        <is>
          <t>24+550</t>
        </is>
      </c>
      <c r="L393" t="inlineStr">
        <is>
          <t>สถานีหลัก (P)</t>
        </is>
      </c>
      <c r="M393" t="n">
        <v>1</v>
      </c>
      <c r="N393" t="n">
        <v>13.575463</v>
      </c>
      <c r="O393" t="n">
        <v>100.298629</v>
      </c>
      <c r="P393" t="n">
        <v>5.07</v>
      </c>
      <c r="Q393" t="n">
        <v>3</v>
      </c>
      <c r="R393" t="n">
        <v>3</v>
      </c>
      <c r="S393" s="3" t="n">
        <v>143116</v>
      </c>
      <c r="T393" t="n">
        <v>1</v>
      </c>
      <c r="U393" t="n">
        <v>0</v>
      </c>
      <c r="V393" t="n">
        <v>1</v>
      </c>
      <c r="W393" t="n">
        <v>0.3333</v>
      </c>
      <c r="X393" t="inlineStr">
        <is>
          <t>low</t>
        </is>
      </c>
      <c r="Y393" s="3">
        <f>Q393*1000000</f>
        <v/>
      </c>
      <c r="Z393" s="3">
        <f>365*R393*S393*T393</f>
        <v/>
      </c>
      <c r="AA393" s="4">
        <f>Y393/Z393</f>
        <v/>
      </c>
      <c r="AB393" s="4">
        <f>Q393*1000000/(365*R393*S393)</f>
        <v/>
      </c>
      <c r="AC393">
        <f>RANK(AA393,$AA$2:$AA$395,0)</f>
        <v/>
      </c>
    </row>
    <row r="394">
      <c r="A394" t="inlineStr">
        <is>
          <t>zone_628</t>
        </is>
      </c>
      <c r="B394" t="inlineStr">
        <is>
          <t>สมุทรสาคร - บางบอน</t>
        </is>
      </c>
      <c r="C394" t="inlineStr">
        <is>
          <t>สมุทรสาคร</t>
        </is>
      </c>
      <c r="D394" t="n">
        <v>3242</v>
      </c>
      <c r="E394" t="inlineStr">
        <is>
          <t>0100</t>
        </is>
      </c>
      <c r="F394" t="inlineStr">
        <is>
          <t>11.87–12.1</t>
        </is>
      </c>
      <c r="G394" t="n">
        <v>13.622624</v>
      </c>
      <c r="H394" t="n">
        <v>100.353336</v>
      </c>
      <c r="I394" t="inlineStr">
        <is>
          <t>hods_aadt_pnt_2568.fid-6461857d_1a0f2643074_51ef</t>
        </is>
      </c>
      <c r="J394" t="inlineStr">
        <is>
          <t>สมุทรสาคร - บางบอน</t>
        </is>
      </c>
      <c r="K394" t="inlineStr">
        <is>
          <t>4+130</t>
        </is>
      </c>
      <c r="L394" t="inlineStr">
        <is>
          <t>สถานีย่อย (C)</t>
        </is>
      </c>
      <c r="M394" t="n">
        <v>1</v>
      </c>
      <c r="N394" t="n">
        <v>13.571677</v>
      </c>
      <c r="O394" t="n">
        <v>100.30426</v>
      </c>
      <c r="P394" t="n">
        <v>7.76</v>
      </c>
      <c r="Q394" t="n">
        <v>3</v>
      </c>
      <c r="R394" t="n">
        <v>3</v>
      </c>
      <c r="S394" s="3" t="n">
        <v>49217</v>
      </c>
      <c r="T394" t="n">
        <v>1</v>
      </c>
      <c r="U394" t="n">
        <v>0</v>
      </c>
      <c r="V394" t="n">
        <v>1</v>
      </c>
      <c r="W394" t="n">
        <v>0.3333</v>
      </c>
      <c r="X394" t="inlineStr">
        <is>
          <t>low</t>
        </is>
      </c>
      <c r="Y394" s="3">
        <f>Q394*1000000</f>
        <v/>
      </c>
      <c r="Z394" s="3">
        <f>365*R394*S394*T394</f>
        <v/>
      </c>
      <c r="AA394" s="4">
        <f>Y394/Z394</f>
        <v/>
      </c>
      <c r="AB394" s="4">
        <f>Q394*1000000/(365*R394*S394)</f>
        <v/>
      </c>
      <c r="AC394">
        <f>RANK(AA394,$AA$2:$AA$395,0)</f>
        <v/>
      </c>
    </row>
    <row r="395">
      <c r="A395" t="inlineStr">
        <is>
          <t>zone_629</t>
        </is>
      </c>
      <c r="B395" t="inlineStr">
        <is>
          <t>สมุทรสาคร - บางบอน</t>
        </is>
      </c>
      <c r="C395" t="inlineStr">
        <is>
          <t>สมุทรสาคร</t>
        </is>
      </c>
      <c r="D395" t="n">
        <v>3242</v>
      </c>
      <c r="E395" t="inlineStr">
        <is>
          <t>0100</t>
        </is>
      </c>
      <c r="F395" t="inlineStr">
        <is>
          <t>10.2–10.35</t>
        </is>
      </c>
      <c r="G395" t="n">
        <v>13.61065</v>
      </c>
      <c r="H395" t="n">
        <v>100.343452</v>
      </c>
      <c r="I395" t="inlineStr">
        <is>
          <t>hods_aadt_pnt_2568.fid-6461857d_1a0f2643074_51ef</t>
        </is>
      </c>
      <c r="J395" t="inlineStr">
        <is>
          <t>สมุทรสาคร - บางบอน</t>
        </is>
      </c>
      <c r="K395" t="inlineStr">
        <is>
          <t>4+130</t>
        </is>
      </c>
      <c r="L395" t="inlineStr">
        <is>
          <t>สถานีย่อย (C)</t>
        </is>
      </c>
      <c r="M395" t="n">
        <v>1</v>
      </c>
      <c r="N395" t="n">
        <v>13.571677</v>
      </c>
      <c r="O395" t="n">
        <v>100.30426</v>
      </c>
      <c r="P395" t="n">
        <v>6.06</v>
      </c>
      <c r="Q395" t="n">
        <v>3</v>
      </c>
      <c r="R395" t="n">
        <v>3</v>
      </c>
      <c r="S395" s="3" t="n">
        <v>49217</v>
      </c>
      <c r="T395" t="n">
        <v>1</v>
      </c>
      <c r="U395" t="n">
        <v>0</v>
      </c>
      <c r="V395" t="n">
        <v>2</v>
      </c>
      <c r="W395" t="n">
        <v>0.6667</v>
      </c>
      <c r="X395" t="inlineStr">
        <is>
          <t>low</t>
        </is>
      </c>
      <c r="Y395" s="3">
        <f>Q395*1000000</f>
        <v/>
      </c>
      <c r="Z395" s="3">
        <f>365*R395*S395*T395</f>
        <v/>
      </c>
      <c r="AA395" s="4">
        <f>Y395/Z395</f>
        <v/>
      </c>
      <c r="AB395" s="4">
        <f>Q395*1000000/(365*R395*S395)</f>
        <v/>
      </c>
      <c r="AC395">
        <f>RANK(AA395,$AA$2:$AA$395,0)</f>
        <v/>
      </c>
    </row>
  </sheetData>
  <autoFilter ref="A1:AC3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FID</t>
        </is>
      </c>
      <c r="B1" s="5" t="inlineStr">
        <is>
          <t>highway_code</t>
        </is>
      </c>
      <c r="C1" s="5" t="inlineStr">
        <is>
          <t>highway_name</t>
        </is>
      </c>
      <c r="D1" s="5" t="inlineStr">
        <is>
          <t>road_code</t>
        </is>
      </c>
      <c r="E1" s="5" t="inlineStr">
        <is>
          <t>road_name</t>
        </is>
      </c>
      <c r="F1" s="5" t="inlineStr">
        <is>
          <t>km</t>
        </is>
      </c>
      <c r="G1" s="5" t="inlineStr">
        <is>
          <t>station_type</t>
        </is>
      </c>
      <c r="H1" s="5" t="inlineStr">
        <is>
          <t>vehcat_aadt_all</t>
        </is>
      </c>
      <c r="I1" s="5" t="inlineStr">
        <is>
          <t>traffic_year</t>
        </is>
      </c>
      <c r="J1" s="5" t="inlineStr">
        <is>
          <t>district_name</t>
        </is>
      </c>
      <c r="K1" s="5" t="inlineStr">
        <is>
          <t>province_name</t>
        </is>
      </c>
      <c r="L1" s="5" t="inlineStr">
        <is>
          <t>lat</t>
        </is>
      </c>
      <c r="M1" s="5" t="inlineStr">
        <is>
          <t>lon</t>
        </is>
      </c>
      <c r="N1" s="5" t="inlineStr">
        <is>
          <t>spatial_data</t>
        </is>
      </c>
    </row>
    <row r="2">
      <c r="A2" t="inlineStr">
        <is>
          <t>hods_aadt_pnt_2568.fid-6461857d_1a0f2643074_494c</t>
        </is>
      </c>
      <c r="B2" t="n">
        <v>1</v>
      </c>
      <c r="C2" t="inlineStr">
        <is>
          <t>อนุสาวรีย์หลักสี่ - กลางสะพานแม่น้ำสาย(เขตแดนไทย/เมียนมา)</t>
        </is>
      </c>
      <c r="D2" t="n">
        <v>102</v>
      </c>
      <c r="E2" t="inlineStr">
        <is>
          <t>แยกคปอ. - สนามกีฬาธูปะเตมีย์</t>
        </is>
      </c>
      <c r="F2" t="inlineStr">
        <is>
          <t>25+556</t>
        </is>
      </c>
      <c r="G2" t="inlineStr">
        <is>
          <t>สถานีย่อย (C)</t>
        </is>
      </c>
      <c r="H2" t="n">
        <v>47413</v>
      </c>
      <c r="I2" t="n">
        <v>2025</v>
      </c>
      <c r="J2" t="inlineStr">
        <is>
          <t>ขท.กรุงเทพ</t>
        </is>
      </c>
      <c r="K2" t="inlineStr">
        <is>
          <t>กรุงเทพมหานคร</t>
        </is>
      </c>
      <c r="L2" t="n">
        <v>13.93111149690699</v>
      </c>
      <c r="M2" t="n">
        <v>100.6258094184558</v>
      </c>
      <c r="N2" t="inlineStr">
        <is>
          <t>POINT (13.931111496906993 100.62580941845577)</t>
        </is>
      </c>
    </row>
    <row r="3">
      <c r="A3" t="inlineStr">
        <is>
          <t>hods_aadt_pnt_2568.fid-6461857d_1a0f2643074_494d</t>
        </is>
      </c>
      <c r="B3" t="n">
        <v>1</v>
      </c>
      <c r="C3" t="inlineStr">
        <is>
          <t>อนุสาวรีย์หลักสี่ - กลางสะพานแม่น้ำสาย(เขตแดนไทย/เมียนมา)</t>
        </is>
      </c>
      <c r="D3" t="n">
        <v>201</v>
      </c>
      <c r="E3" t="inlineStr">
        <is>
          <t>สนามกีฬาธูปะเตมีย์ - ต่างระดับคลองหลวง</t>
        </is>
      </c>
      <c r="F3" t="inlineStr">
        <is>
          <t>35+550</t>
        </is>
      </c>
      <c r="G3" t="inlineStr">
        <is>
          <t>สถานีย่อย (C)</t>
        </is>
      </c>
      <c r="H3" t="n">
        <v>204800</v>
      </c>
      <c r="I3" t="n">
        <v>2025</v>
      </c>
      <c r="J3" t="inlineStr">
        <is>
          <t>ขท.ปทุมธานี</t>
        </is>
      </c>
      <c r="K3" t="inlineStr">
        <is>
          <t>ปทุมธานี</t>
        </is>
      </c>
      <c r="L3" t="n">
        <v>14.02061960478036</v>
      </c>
      <c r="M3" t="n">
        <v>100.615591177331</v>
      </c>
      <c r="N3" t="inlineStr">
        <is>
          <t>POINT (14.020619604780364 100.61559117733101)</t>
        </is>
      </c>
    </row>
    <row r="4">
      <c r="A4" t="inlineStr">
        <is>
          <t>hods_aadt_pnt_2568.fid-6461857d_1a0f2643074_499a</t>
        </is>
      </c>
      <c r="B4" t="n">
        <v>3</v>
      </c>
      <c r="C4" t="inlineStr">
        <is>
          <t>บางนา - หาดเล็ก</t>
        </is>
      </c>
      <c r="D4" t="n">
        <v>102</v>
      </c>
      <c r="E4" t="inlineStr">
        <is>
          <t>แบริ่ง - ท้ายบ้าน</t>
        </is>
      </c>
      <c r="F4" t="inlineStr">
        <is>
          <t>20+000</t>
        </is>
      </c>
      <c r="G4" t="inlineStr">
        <is>
          <t>สถานีย่อย (C)</t>
        </is>
      </c>
      <c r="H4" t="n">
        <v>24082</v>
      </c>
      <c r="I4" t="n">
        <v>2025</v>
      </c>
      <c r="J4" t="inlineStr">
        <is>
          <t>ขท.สมุทรปราการ</t>
        </is>
      </c>
      <c r="K4" t="inlineStr">
        <is>
          <t>สมุทรปราการ</t>
        </is>
      </c>
      <c r="L4" t="n">
        <v>13.6454936979574</v>
      </c>
      <c r="M4" t="n">
        <v>100.595394351628</v>
      </c>
      <c r="N4" t="inlineStr">
        <is>
          <t>POINT (13.6454936979574 100.595394351628)</t>
        </is>
      </c>
    </row>
    <row r="5">
      <c r="A5" t="inlineStr">
        <is>
          <t>hods_aadt_pnt_2568.fid-6461857d_1a0f2643074_499b</t>
        </is>
      </c>
      <c r="B5" t="n">
        <v>3</v>
      </c>
      <c r="C5" t="inlineStr">
        <is>
          <t>บางนา - หาดเล็ก</t>
        </is>
      </c>
      <c r="D5" t="n">
        <v>104</v>
      </c>
      <c r="E5" t="inlineStr">
        <is>
          <t>บางตำหรุ - คลองด่าน</t>
        </is>
      </c>
      <c r="F5" t="inlineStr">
        <is>
          <t>40+800</t>
        </is>
      </c>
      <c r="G5" t="inlineStr">
        <is>
          <t>สถานีย่อย (C)</t>
        </is>
      </c>
      <c r="H5" t="n">
        <v>26664</v>
      </c>
      <c r="I5" t="n">
        <v>2025</v>
      </c>
      <c r="J5" t="inlineStr">
        <is>
          <t>ขท.สมุทรปราการ</t>
        </is>
      </c>
      <c r="K5" t="inlineStr">
        <is>
          <t>สมุทรปราการ</t>
        </is>
      </c>
      <c r="L5" t="n">
        <v>13.5151724082537</v>
      </c>
      <c r="M5" t="n">
        <v>100.68446592855</v>
      </c>
      <c r="N5" t="inlineStr">
        <is>
          <t>POINT (13.5151724082537 100.68446592855)</t>
        </is>
      </c>
    </row>
    <row r="6">
      <c r="A6" t="inlineStr">
        <is>
          <t>hods_aadt_pnt_2568.fid-6461857d_1a0f2643074_49af</t>
        </is>
      </c>
      <c r="B6" t="n">
        <v>4</v>
      </c>
      <c r="C6" t="inlineStr">
        <is>
          <t>กรุงเทพมหานคร - จุดผ่านแดนถาวรสะเดา (เขตแดนไทย/มาเลเซีย)</t>
        </is>
      </c>
      <c r="D6" t="n">
        <v>100</v>
      </c>
      <c r="E6" t="inlineStr">
        <is>
          <t>อ้อมใหญ่ - นครชัยศรี</t>
        </is>
      </c>
      <c r="F6" t="inlineStr">
        <is>
          <t>26+500</t>
        </is>
      </c>
      <c r="G6" t="inlineStr">
        <is>
          <t>สถานีย่อย (C)</t>
        </is>
      </c>
      <c r="H6" t="n">
        <v>77720</v>
      </c>
      <c r="I6" t="n">
        <v>2025</v>
      </c>
      <c r="J6" t="inlineStr">
        <is>
          <t>ขท.สมุทรสาคร</t>
        </is>
      </c>
      <c r="K6" t="inlineStr">
        <is>
          <t>นครปฐม</t>
        </is>
      </c>
      <c r="L6" t="n">
        <v>13.7078622412427</v>
      </c>
      <c r="M6" t="n">
        <v>100.285331941821</v>
      </c>
      <c r="N6" t="inlineStr">
        <is>
          <t>POINT (13.7078622412427 100.285331941821)</t>
        </is>
      </c>
    </row>
    <row r="7">
      <c r="A7" t="inlineStr">
        <is>
          <t>hods_aadt_pnt_2568.fid-6461857d_1a0f2643074_49b0</t>
        </is>
      </c>
      <c r="B7" t="n">
        <v>4</v>
      </c>
      <c r="C7" t="inlineStr">
        <is>
          <t>กรุงเทพมหานคร - จุดผ่านแดนถาวรสะเดา (เขตแดนไทย/มาเลเซีย)</t>
        </is>
      </c>
      <c r="D7" t="n">
        <v>100</v>
      </c>
      <c r="E7" t="inlineStr">
        <is>
          <t>อ้อมใหญ่ - นครชัยศรี</t>
        </is>
      </c>
      <c r="F7" t="inlineStr">
        <is>
          <t>31+500</t>
        </is>
      </c>
      <c r="G7" t="inlineStr">
        <is>
          <t>สถานีย่อย (C)</t>
        </is>
      </c>
      <c r="H7" t="n">
        <v>64992</v>
      </c>
      <c r="I7" t="n">
        <v>2025</v>
      </c>
      <c r="J7" t="inlineStr">
        <is>
          <t>ขท.สมุทรสาคร</t>
        </is>
      </c>
      <c r="K7" t="inlineStr">
        <is>
          <t>นครปฐม</t>
        </is>
      </c>
      <c r="L7" t="n">
        <v>13.7305711234612</v>
      </c>
      <c r="M7" t="n">
        <v>100.248669519709</v>
      </c>
      <c r="N7" t="inlineStr">
        <is>
          <t>POINT (13.7305711234612 100.248669519709)</t>
        </is>
      </c>
    </row>
    <row r="8">
      <c r="A8" t="inlineStr">
        <is>
          <t>hods_aadt_pnt_2568.fid-6461857d_1a0f2643074_49b1</t>
        </is>
      </c>
      <c r="B8" t="n">
        <v>4</v>
      </c>
      <c r="C8" t="inlineStr">
        <is>
          <t>กรุงเทพมหานคร - จุดผ่านแดนถาวรสะเดา (เขตแดนไทย/มาเลเซีย)</t>
        </is>
      </c>
      <c r="D8" t="n">
        <v>201</v>
      </c>
      <c r="E8" t="inlineStr">
        <is>
          <t>นครชัยศรี - พระประโทน</t>
        </is>
      </c>
      <c r="F8" t="inlineStr">
        <is>
          <t>41+500</t>
        </is>
      </c>
      <c r="G8" t="inlineStr">
        <is>
          <t>สถานีหลัก (P)</t>
        </is>
      </c>
      <c r="H8" t="n">
        <v>96217</v>
      </c>
      <c r="I8" t="n">
        <v>2025</v>
      </c>
      <c r="J8" t="inlineStr">
        <is>
          <t>ขท.นครปฐม</t>
        </is>
      </c>
      <c r="K8" t="inlineStr">
        <is>
          <t>นครปฐม</t>
        </is>
      </c>
      <c r="L8" t="n">
        <v>13.7771390968017</v>
      </c>
      <c r="M8" t="n">
        <v>100.178156613306</v>
      </c>
      <c r="N8" t="inlineStr">
        <is>
          <t>POINT (13.7771390968017 100.178156613306)</t>
        </is>
      </c>
    </row>
    <row r="9">
      <c r="A9" t="inlineStr">
        <is>
          <t>hods_aadt_pnt_2568.fid-6461857d_1a0f2643074_49b2</t>
        </is>
      </c>
      <c r="B9" t="n">
        <v>4</v>
      </c>
      <c r="C9" t="inlineStr">
        <is>
          <t>กรุงเทพมหานคร - จุดผ่านแดนถาวรสะเดา (เขตแดนไทย/มาเลเซีย)</t>
        </is>
      </c>
      <c r="D9" t="n">
        <v>202</v>
      </c>
      <c r="E9" t="inlineStr">
        <is>
          <t>พระประโทน - สระกระเทียม</t>
        </is>
      </c>
      <c r="F9" t="inlineStr">
        <is>
          <t>55+087</t>
        </is>
      </c>
      <c r="G9" t="inlineStr">
        <is>
          <t>สถานีย่อย (C)</t>
        </is>
      </c>
      <c r="H9" t="n">
        <v>100020</v>
      </c>
      <c r="I9" t="n">
        <v>2025</v>
      </c>
      <c r="J9" t="inlineStr">
        <is>
          <t>ขท.นครปฐม</t>
        </is>
      </c>
      <c r="K9" t="inlineStr">
        <is>
          <t>นครปฐม</t>
        </is>
      </c>
      <c r="L9" t="n">
        <v>13.81093775455788</v>
      </c>
      <c r="M9" t="n">
        <v>100.0693188573382</v>
      </c>
      <c r="N9" t="inlineStr">
        <is>
          <t>POINT (13.810937754557878 100.06931885733819)</t>
        </is>
      </c>
    </row>
    <row r="10">
      <c r="A10" t="inlineStr">
        <is>
          <t>hods_aadt_pnt_2568.fid-6461857d_1a0f2643074_49b3</t>
        </is>
      </c>
      <c r="B10" t="n">
        <v>4</v>
      </c>
      <c r="C10" t="inlineStr">
        <is>
          <t>กรุงเทพมหานคร - จุดผ่านแดนถาวรสะเดา (เขตแดนไทย/มาเลเซีย)</t>
        </is>
      </c>
      <c r="D10" t="n">
        <v>202</v>
      </c>
      <c r="E10" t="inlineStr">
        <is>
          <t>พระประโทน - สระกระเทียม</t>
        </is>
      </c>
      <c r="F10" t="inlineStr">
        <is>
          <t>64+387</t>
        </is>
      </c>
      <c r="G10" t="inlineStr">
        <is>
          <t>สถานีหลัก (P)</t>
        </is>
      </c>
      <c r="H10" t="n">
        <v>93247</v>
      </c>
      <c r="I10" t="n">
        <v>2025</v>
      </c>
      <c r="J10" t="inlineStr">
        <is>
          <t>ขท.นครปฐม</t>
        </is>
      </c>
      <c r="K10" t="inlineStr">
        <is>
          <t>นครปฐม</t>
        </is>
      </c>
      <c r="L10" t="n">
        <v>13.79915547269727</v>
      </c>
      <c r="M10" t="n">
        <v>99.98167545159211</v>
      </c>
      <c r="N10" t="inlineStr">
        <is>
          <t>POINT (13.799155472697269 99.98167545159211)</t>
        </is>
      </c>
    </row>
    <row r="11">
      <c r="A11" t="inlineStr">
        <is>
          <t>hods_aadt_pnt_2568.fid-6461857d_1a0f2643074_49ee</t>
        </is>
      </c>
      <c r="B11" t="n">
        <v>5</v>
      </c>
      <c r="C11" t="inlineStr">
        <is>
          <t>ทางยกระดับอุตราภิมุข</t>
        </is>
      </c>
      <c r="D11" t="n">
        <v>200</v>
      </c>
      <c r="E11" t="inlineStr">
        <is>
          <t>ทางยกระดับอนุสรณ์สถาน - รังสิต</t>
        </is>
      </c>
      <c r="F11" t="inlineStr">
        <is>
          <t>23+747</t>
        </is>
      </c>
      <c r="G11" t="inlineStr">
        <is>
          <t>สถานีย่อย (C)</t>
        </is>
      </c>
      <c r="H11" t="n">
        <v>28569</v>
      </c>
      <c r="I11" t="n">
        <v>2025</v>
      </c>
      <c r="J11" t="inlineStr">
        <is>
          <t>ขท.ปทุมธานี</t>
        </is>
      </c>
      <c r="K11" t="inlineStr">
        <is>
          <t>ปทุมธานี</t>
        </is>
      </c>
      <c r="L11" t="n">
        <v>13.96604205132275</v>
      </c>
      <c r="M11" t="n">
        <v>100.6193960713429</v>
      </c>
      <c r="N11" t="inlineStr">
        <is>
          <t>POINT (13.966042051322754 100.61939607134289)</t>
        </is>
      </c>
    </row>
    <row r="12">
      <c r="A12" t="inlineStr">
        <is>
          <t>hods_aadt_pnt_2568.fid-6461857d_1a0f2643074_49ef</t>
        </is>
      </c>
      <c r="B12" t="n">
        <v>7</v>
      </c>
      <c r="C12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ทางแยกเข้าท่าเรือแหลมฉบัง ทางแยกเข้าพัทยา และทางแยกไปบรรจบทางหลวงแผ่นดินหมายเลข 3 (บ้านอำเภอ)</t>
        </is>
      </c>
      <c r="D12" t="n">
        <v>103</v>
      </c>
      <c r="E12" t="inlineStr">
        <is>
          <t>แขวงคลองสองต้นนุ่น - พิมพา</t>
        </is>
      </c>
      <c r="F12" t="inlineStr">
        <is>
          <t>17+000</t>
        </is>
      </c>
      <c r="G12" t="inlineStr">
        <is>
          <t>สถานีย่อย (C)</t>
        </is>
      </c>
      <c r="H12" t="n">
        <v>262343</v>
      </c>
      <c r="I12" t="n">
        <v>2025</v>
      </c>
      <c r="J12" t="inlineStr">
        <is>
          <t>ขท.พิเศษระหว่างเมือง</t>
        </is>
      </c>
      <c r="K12" t="inlineStr">
        <is>
          <t>กรุงเทพมหานคร</t>
        </is>
      </c>
      <c r="L12" t="n">
        <v>13.7334002272752</v>
      </c>
      <c r="M12" t="n">
        <v>100.795132512936</v>
      </c>
      <c r="N12" t="inlineStr">
        <is>
          <t>POINT (13.7334002272752 100.795132512936)</t>
        </is>
      </c>
    </row>
    <row r="13">
      <c r="A13" t="inlineStr">
        <is>
          <t>hods_aadt_pnt_2568.fid-6461857d_1a0f2643074_49f0</t>
        </is>
      </c>
      <c r="B13" t="n">
        <v>7</v>
      </c>
      <c r="C13" t="inlineStr">
        <is>
          <t>กรุงเทพมหานคร - บ้านฉาง รวมทางแยกไปบรรจบทางหลวงหมายเลข 34 (บางวัว) ทางแยกเข้าชลบุรี ทางแยกเข้าท่าเรือแหลมฉบัง ทางแยกเข้าพัทยา และทางแยกไปบรรจบทางหลวงแผ่นดินหมายเลข 3 (บ้านอำเภอ)</t>
        </is>
      </c>
      <c r="D13" t="n">
        <v>103</v>
      </c>
      <c r="E13" t="inlineStr">
        <is>
          <t>แขวงคลองสองต้นนุ่น - พิมพา</t>
        </is>
      </c>
      <c r="F13" t="inlineStr">
        <is>
          <t>25+900</t>
        </is>
      </c>
      <c r="G13" t="inlineStr">
        <is>
          <t>สถานีย่อย (C)</t>
        </is>
      </c>
      <c r="H13" t="n">
        <v>245648</v>
      </c>
      <c r="I13" t="n">
        <v>2025</v>
      </c>
      <c r="J13" t="inlineStr">
        <is>
          <t>ขท.พิเศษระหว่างเมือง</t>
        </is>
      </c>
      <c r="K13" t="inlineStr">
        <is>
          <t>สมุทรปราการ</t>
        </is>
      </c>
      <c r="L13" t="n">
        <v>13.6729062866716</v>
      </c>
      <c r="M13" t="n">
        <v>100.839508708747</v>
      </c>
      <c r="N13" t="inlineStr">
        <is>
          <t>POINT (13.6729062866716 100.839508708747)</t>
        </is>
      </c>
    </row>
    <row r="14">
      <c r="A14" t="inlineStr">
        <is>
          <t>hods_aadt_pnt_2568.fid-6461857d_1a0f2643074_49fb</t>
        </is>
      </c>
      <c r="B14" t="n">
        <v>9</v>
      </c>
      <c r="C14" t="inlineStr">
        <is>
          <t>ถนนวงแหวนรอบนอกกรุงเทพมหานคร (ถนนกาญจนาภิเษก)</t>
        </is>
      </c>
      <c r="D14" t="n">
        <v>102</v>
      </c>
      <c r="E14" t="inlineStr">
        <is>
          <t>บางแค - คลองมหาสวัสดิ์</t>
        </is>
      </c>
      <c r="F14" t="inlineStr">
        <is>
          <t>20+430</t>
        </is>
      </c>
      <c r="G14" t="inlineStr">
        <is>
          <t>สถานีย่อย (C)</t>
        </is>
      </c>
      <c r="H14" t="n">
        <v>164129</v>
      </c>
      <c r="I14" t="n">
        <v>2025</v>
      </c>
      <c r="J14" t="inlineStr">
        <is>
          <t>ขท.ธนบุรี</t>
        </is>
      </c>
      <c r="K14" t="inlineStr">
        <is>
          <t>กรุงเทพมหานคร</t>
        </is>
      </c>
      <c r="L14" t="n">
        <v>13.6803793888704</v>
      </c>
      <c r="M14" t="n">
        <v>100.406707599345</v>
      </c>
      <c r="N14" t="inlineStr">
        <is>
          <t>POINT (13.6803793888704 100.406707599345)</t>
        </is>
      </c>
    </row>
    <row r="15">
      <c r="A15" t="inlineStr">
        <is>
          <t>hods_aadt_pnt_2568.fid-6461857d_1a0f2643074_49fc</t>
        </is>
      </c>
      <c r="B15" t="n">
        <v>9</v>
      </c>
      <c r="C15" t="inlineStr">
        <is>
          <t>ถนนวงแหวนรอบนอกกรุงเทพมหานคร (ถนนกาญจนาภิเษก)</t>
        </is>
      </c>
      <c r="D15" t="n">
        <v>201</v>
      </c>
      <c r="E15" t="inlineStr">
        <is>
          <t>คลองมหาสวัสดิ์ - คลองบางไผ่</t>
        </is>
      </c>
      <c r="F15" t="inlineStr">
        <is>
          <t>36+594</t>
        </is>
      </c>
      <c r="G15" t="inlineStr">
        <is>
          <t>สถานีหลัก (P)</t>
        </is>
      </c>
      <c r="H15" t="n">
        <v>185932</v>
      </c>
      <c r="I15" t="n">
        <v>2025</v>
      </c>
      <c r="J15" t="inlineStr">
        <is>
          <t>ขท.นนทบุรี</t>
        </is>
      </c>
      <c r="K15" t="inlineStr">
        <is>
          <t>นนทบุรี</t>
        </is>
      </c>
      <c r="L15" t="n">
        <v>13.8314805333964</v>
      </c>
      <c r="M15" t="n">
        <v>100.413305447103</v>
      </c>
      <c r="N15" t="inlineStr">
        <is>
          <t>POINT (13.8314805333964 100.413305447103)</t>
        </is>
      </c>
    </row>
    <row r="16">
      <c r="A16" t="inlineStr">
        <is>
          <t>hods_aadt_pnt_2568.fid-6461857d_1a0f2643074_49fd</t>
        </is>
      </c>
      <c r="B16" t="n">
        <v>9</v>
      </c>
      <c r="C16" t="inlineStr">
        <is>
          <t>ถนนวงแหวนรอบนอกกรุงเทพมหานคร (ถนนกาญจนาภิเษก)</t>
        </is>
      </c>
      <c r="D16" t="n">
        <v>201</v>
      </c>
      <c r="E16" t="inlineStr">
        <is>
          <t>คลองมหาสวัสดิ์ - คลองบางไผ่</t>
        </is>
      </c>
      <c r="F16" t="inlineStr">
        <is>
          <t>40+800</t>
        </is>
      </c>
      <c r="G16" t="inlineStr">
        <is>
          <t>สถานีย่อย (C)</t>
        </is>
      </c>
      <c r="H16" t="n">
        <v>169801</v>
      </c>
      <c r="I16" t="n">
        <v>2025</v>
      </c>
      <c r="J16" t="inlineStr">
        <is>
          <t>ขท.นนทบุรี</t>
        </is>
      </c>
      <c r="K16" t="inlineStr">
        <is>
          <t>นนทบุรี</t>
        </is>
      </c>
      <c r="L16" t="n">
        <v>13.8677558730176</v>
      </c>
      <c r="M16" t="n">
        <v>100.410532645042</v>
      </c>
      <c r="N16" t="inlineStr">
        <is>
          <t>POINT (13.8677558730176 100.410532645042)</t>
        </is>
      </c>
    </row>
    <row r="17">
      <c r="A17" t="inlineStr">
        <is>
          <t>hods_aadt_pnt_2568.fid-6461857d_1a0f2643074_49fe</t>
        </is>
      </c>
      <c r="B17" t="n">
        <v>9</v>
      </c>
      <c r="C17" t="inlineStr">
        <is>
          <t>ถนนวงแหวนรอบนอกกรุงเทพมหานคร (ถนนกาญจนาภิเษก)</t>
        </is>
      </c>
      <c r="D17" t="n">
        <v>202</v>
      </c>
      <c r="E17" t="inlineStr">
        <is>
          <t>คลองบางไผ่ - คลองบางหลวง</t>
        </is>
      </c>
      <c r="F17" t="inlineStr">
        <is>
          <t>47+744</t>
        </is>
      </c>
      <c r="G17" t="inlineStr">
        <is>
          <t>สถานีย่อย (C)</t>
        </is>
      </c>
      <c r="H17" t="n">
        <v>155949</v>
      </c>
      <c r="I17" t="n">
        <v>2025</v>
      </c>
      <c r="J17" t="inlineStr">
        <is>
          <t>ขท.นนทบุรี</t>
        </is>
      </c>
      <c r="K17" t="inlineStr">
        <is>
          <t>นนทบุรี</t>
        </is>
      </c>
      <c r="L17" t="n">
        <v>13.9268049555418</v>
      </c>
      <c r="M17" t="n">
        <v>100.413770603272</v>
      </c>
      <c r="N17" t="inlineStr">
        <is>
          <t>POINT (13.9268049555418 100.413770603272)</t>
        </is>
      </c>
    </row>
    <row r="18">
      <c r="A18" t="inlineStr">
        <is>
          <t>hods_aadt_pnt_2568.fid-6461857d_1a0f2643074_49ff</t>
        </is>
      </c>
      <c r="B18" t="n">
        <v>9</v>
      </c>
      <c r="C18" t="inlineStr">
        <is>
          <t>ถนนวงแหวนรอบนอกกรุงเทพมหานคร (ถนนกาญจนาภิเษก)</t>
        </is>
      </c>
      <c r="D18" t="n">
        <v>301</v>
      </c>
      <c r="E18" t="inlineStr">
        <is>
          <t>คลองบางหลวง - ต่างระดับเชียงรากน้อย</t>
        </is>
      </c>
      <c r="F18" t="inlineStr">
        <is>
          <t>64+069</t>
        </is>
      </c>
      <c r="G18" t="inlineStr">
        <is>
          <t>สถานีย่อย (C)</t>
        </is>
      </c>
      <c r="H18" t="n">
        <v>80266</v>
      </c>
      <c r="I18" t="n">
        <v>2025</v>
      </c>
      <c r="J18" t="inlineStr">
        <is>
          <t>ขท.ปทุมธานี</t>
        </is>
      </c>
      <c r="K18" t="inlineStr">
        <is>
          <t>ปทุมธานี</t>
        </is>
      </c>
      <c r="L18" t="n">
        <v>14.05779755962442</v>
      </c>
      <c r="M18" t="n">
        <v>100.4645479197853</v>
      </c>
      <c r="N18" t="inlineStr">
        <is>
          <t>POINT (14.057797559624419 100.46454791978533)</t>
        </is>
      </c>
    </row>
    <row r="19">
      <c r="A19" t="inlineStr">
        <is>
          <t>hods_aadt_pnt_2568.fid-6461857d_1a0f2643074_4a00</t>
        </is>
      </c>
      <c r="B19" t="n">
        <v>9</v>
      </c>
      <c r="C19" t="inlineStr">
        <is>
          <t>ถนนวงแหวนรอบนอกกรุงเทพมหานคร (ถนนกาญจนาภิเษก)</t>
        </is>
      </c>
      <c r="D19" t="n">
        <v>302</v>
      </c>
      <c r="E19" t="inlineStr">
        <is>
          <t>ต่างระดับเชียงรากน้อย - ต่างระดับบางปะอิน</t>
        </is>
      </c>
      <c r="F19" t="inlineStr">
        <is>
          <t>78+099</t>
        </is>
      </c>
      <c r="G19" t="inlineStr">
        <is>
          <t>สถานีย่อย (C)</t>
        </is>
      </c>
      <c r="H19" t="n">
        <v>79570</v>
      </c>
      <c r="I19" t="n">
        <v>2025</v>
      </c>
      <c r="J19" t="inlineStr">
        <is>
          <t>ขท.ปทุมธานี</t>
        </is>
      </c>
      <c r="K19" t="inlineStr">
        <is>
          <t>ปทุมธานี</t>
        </is>
      </c>
      <c r="L19" t="n">
        <v>14.14654229974385</v>
      </c>
      <c r="M19" t="n">
        <v>100.5498139495196</v>
      </c>
      <c r="N19" t="inlineStr">
        <is>
          <t>POINT (14.146542299743853 100.5498139495196)</t>
        </is>
      </c>
    </row>
    <row r="20">
      <c r="A20" t="inlineStr">
        <is>
          <t>hods_aadt_pnt_2568.fid-6461857d_1a0f2643074_4a02</t>
        </is>
      </c>
      <c r="B20" t="n">
        <v>9</v>
      </c>
      <c r="C20" t="inlineStr">
        <is>
          <t>ถนนวงแหวนรอบนอกกรุงเทพมหานคร (ถนนกาญจนาภิเษก)</t>
        </is>
      </c>
      <c r="D20" t="n">
        <v>401</v>
      </c>
      <c r="E20" t="inlineStr">
        <is>
          <t>บางปะอิน - แขวงรามอินทรา</t>
        </is>
      </c>
      <c r="F20" t="inlineStr">
        <is>
          <t>20+500</t>
        </is>
      </c>
      <c r="G20" t="inlineStr">
        <is>
          <t>สถานีย่อย (C)</t>
        </is>
      </c>
      <c r="H20" t="n">
        <v>155180</v>
      </c>
      <c r="I20" t="n">
        <v>2025</v>
      </c>
      <c r="J20" t="inlineStr">
        <is>
          <t>ขท.พิเศษระหว่างเมือง</t>
        </is>
      </c>
      <c r="K20" t="inlineStr">
        <is>
          <t>ปทุมธานี</t>
        </is>
      </c>
      <c r="L20" t="n">
        <v>14.0235175539194</v>
      </c>
      <c r="M20" t="n">
        <v>100.698411658239</v>
      </c>
      <c r="N20" t="inlineStr">
        <is>
          <t>POINT (14.0235175539194 100.698411658239)</t>
        </is>
      </c>
    </row>
    <row r="21">
      <c r="A21" t="inlineStr">
        <is>
          <t>hods_aadt_pnt_2568.fid-6461857d_1a0f2643074_4a03</t>
        </is>
      </c>
      <c r="B21" t="n">
        <v>9</v>
      </c>
      <c r="C21" t="inlineStr">
        <is>
          <t>ถนนวงแหวนรอบนอกกรุงเทพมหานคร (ถนนกาญจนาภิเษก)</t>
        </is>
      </c>
      <c r="D21" t="n">
        <v>402</v>
      </c>
      <c r="E21" t="inlineStr">
        <is>
          <t>แขวงรามอินทรา - บางพลี</t>
        </is>
      </c>
      <c r="F21" t="inlineStr">
        <is>
          <t>59+500</t>
        </is>
      </c>
      <c r="G21" t="inlineStr">
        <is>
          <t>สถานีย่อย (C)</t>
        </is>
      </c>
      <c r="H21" t="n">
        <v>117813</v>
      </c>
      <c r="I21" t="n">
        <v>2025</v>
      </c>
      <c r="J21" t="inlineStr">
        <is>
          <t>ขท.พิเศษระหว่างเมือง</t>
        </is>
      </c>
      <c r="K21" t="inlineStr">
        <is>
          <t>กรุงเทพมหานคร</t>
        </is>
      </c>
      <c r="L21" t="n">
        <v>13.685476708818</v>
      </c>
      <c r="M21" t="n">
        <v>100.699450264451</v>
      </c>
      <c r="N21" t="inlineStr">
        <is>
          <t>POINT (13.685476708818 100.699450264451)</t>
        </is>
      </c>
    </row>
    <row r="22">
      <c r="A22" t="inlineStr">
        <is>
          <t>hods_aadt_pnt_2568.fid-6461857d_1a0f2643074_4a93</t>
        </is>
      </c>
      <c r="B22" t="n">
        <v>34</v>
      </c>
      <c r="C22" t="inlineStr">
        <is>
          <t>บางนา - หนองไม้แดง(เทพรัตน)</t>
        </is>
      </c>
      <c r="D22" t="n">
        <v>101</v>
      </c>
      <c r="E22" t="inlineStr">
        <is>
          <t>บางนา - ทางเข้าท่าอากาศยานสุวรรณภูมิ</t>
        </is>
      </c>
      <c r="F22" t="inlineStr">
        <is>
          <t>3+904</t>
        </is>
      </c>
      <c r="G22" t="inlineStr">
        <is>
          <t>สถานีย่อย (C)</t>
        </is>
      </c>
      <c r="H22" t="n">
        <v>210050</v>
      </c>
      <c r="I22" t="n">
        <v>2025</v>
      </c>
      <c r="J22" t="inlineStr">
        <is>
          <t>ขท.สมุทรปราการ</t>
        </is>
      </c>
      <c r="K22" t="inlineStr">
        <is>
          <t>กรุงเทพมหานคร</t>
        </is>
      </c>
      <c r="L22" t="n">
        <v>13.66617332121921</v>
      </c>
      <c r="M22" t="n">
        <v>100.6422329383921</v>
      </c>
      <c r="N22" t="inlineStr">
        <is>
          <t>POINT (13.666173321219214 100.64223293839213)</t>
        </is>
      </c>
    </row>
    <row r="23">
      <c r="A23" t="inlineStr">
        <is>
          <t>hods_aadt_pnt_2568.fid-6461857d_1a0f2643074_4a94</t>
        </is>
      </c>
      <c r="B23" t="n">
        <v>34</v>
      </c>
      <c r="C23" t="inlineStr">
        <is>
          <t>บางนา - หนองไม้แดง(เทพรัตน)</t>
        </is>
      </c>
      <c r="D23" t="n">
        <v>102</v>
      </c>
      <c r="E23" t="inlineStr">
        <is>
          <t>ทางเข้าท่าอากาศยานสุวรรณภูมิ - บางวัว</t>
        </is>
      </c>
      <c r="F23" t="inlineStr">
        <is>
          <t>15+100</t>
        </is>
      </c>
      <c r="G23" t="inlineStr">
        <is>
          <t>สถานีย่อย (C)</t>
        </is>
      </c>
      <c r="H23" t="n">
        <v>250222</v>
      </c>
      <c r="I23" t="n">
        <v>2025</v>
      </c>
      <c r="J23" t="inlineStr">
        <is>
          <t>ขท.สมุทรปราการ</t>
        </is>
      </c>
      <c r="K23" t="inlineStr">
        <is>
          <t>สมุทรปราการ</t>
        </is>
      </c>
      <c r="L23" t="n">
        <v>13.62150291300826</v>
      </c>
      <c r="M23" t="n">
        <v>100.7360107256929</v>
      </c>
      <c r="N23" t="inlineStr">
        <is>
          <t>POINT (13.621502913008262 100.73601072569286)</t>
        </is>
      </c>
    </row>
    <row r="24">
      <c r="A24" t="inlineStr">
        <is>
          <t>hods_aadt_pnt_2568.fid-6461857d_1a0f2643074_4a98</t>
        </is>
      </c>
      <c r="B24" t="n">
        <v>35</v>
      </c>
      <c r="C24" t="inlineStr">
        <is>
          <t>ดาวคะนอง - วังมะนาว</t>
        </is>
      </c>
      <c r="D24" t="n">
        <v>100</v>
      </c>
      <c r="E24" t="inlineStr">
        <is>
          <t>ดาวคะนอง - แสมดำ</t>
        </is>
      </c>
      <c r="F24" t="inlineStr">
        <is>
          <t>6+500</t>
        </is>
      </c>
      <c r="G24" t="inlineStr">
        <is>
          <t>สถานีย่อย (C)</t>
        </is>
      </c>
      <c r="H24" t="n">
        <v>259277</v>
      </c>
      <c r="I24" t="n">
        <v>2025</v>
      </c>
      <c r="J24" t="inlineStr">
        <is>
          <t>ขท.ธนบุรี</t>
        </is>
      </c>
      <c r="K24" t="inlineStr">
        <is>
          <t>กรุงเทพมหานคร</t>
        </is>
      </c>
      <c r="L24" t="n">
        <v>13.65991101662352</v>
      </c>
      <c r="M24" t="n">
        <v>100.4352008556722</v>
      </c>
      <c r="N24" t="inlineStr">
        <is>
          <t>POINT (13.659911016623525 100.43520085567216)</t>
        </is>
      </c>
    </row>
    <row r="25">
      <c r="A25" t="inlineStr">
        <is>
          <t>hods_aadt_pnt_2568.fid-6461857d_1a0f2643074_4a99</t>
        </is>
      </c>
      <c r="B25" t="n">
        <v>35</v>
      </c>
      <c r="C25" t="inlineStr">
        <is>
          <t>ดาวคะนอง - วังมะนาว</t>
        </is>
      </c>
      <c r="D25" t="n">
        <v>201</v>
      </c>
      <c r="E25" t="inlineStr">
        <is>
          <t>แสมดำ - สะพานข้ามแม่น้ำท่าจีนฝั่งตะวันตก</t>
        </is>
      </c>
      <c r="F25" t="inlineStr">
        <is>
          <t>24+550</t>
        </is>
      </c>
      <c r="G25" t="inlineStr">
        <is>
          <t>สถานีหลัก (P)</t>
        </is>
      </c>
      <c r="H25" t="n">
        <v>143116</v>
      </c>
      <c r="I25" t="n">
        <v>2025</v>
      </c>
      <c r="J25" t="inlineStr">
        <is>
          <t>ขท.สมุทรสาคร</t>
        </is>
      </c>
      <c r="K25" t="inlineStr">
        <is>
          <t>สมุทรสาคร</t>
        </is>
      </c>
      <c r="L25" t="n">
        <v>13.57546281765929</v>
      </c>
      <c r="M25" t="n">
        <v>100.2986288499135</v>
      </c>
      <c r="N25" t="inlineStr">
        <is>
          <t>POINT (13.575462817659291 100.29862884991353)</t>
        </is>
      </c>
    </row>
    <row r="26">
      <c r="A26" t="inlineStr">
        <is>
          <t>hods_aadt_pnt_2568.fid-6461857d_1a0f2643074_4a9a</t>
        </is>
      </c>
      <c r="B26" t="n">
        <v>35</v>
      </c>
      <c r="C26" t="inlineStr">
        <is>
          <t>ดาวคะนอง - วังมะนาว</t>
        </is>
      </c>
      <c r="D26" t="n">
        <v>202</v>
      </c>
      <c r="E26" t="inlineStr">
        <is>
          <t>สะพานข้ามแม่น้ำท่าจีนฝั่งตะวันตก - นาโคก</t>
        </is>
      </c>
      <c r="F26" t="inlineStr">
        <is>
          <t>30+700</t>
        </is>
      </c>
      <c r="G26" t="inlineStr">
        <is>
          <t>สถานีย่อย (C)</t>
        </is>
      </c>
      <c r="H26" t="n">
        <v>149785</v>
      </c>
      <c r="I26" t="n">
        <v>2025</v>
      </c>
      <c r="J26" t="inlineStr">
        <is>
          <t>ขท.สมุทรสาคร</t>
        </is>
      </c>
      <c r="K26" t="inlineStr">
        <is>
          <t>สมุทรสาคร</t>
        </is>
      </c>
      <c r="L26" t="n">
        <v>13.54419136171245</v>
      </c>
      <c r="M26" t="n">
        <v>100.2524075181692</v>
      </c>
      <c r="N26" t="inlineStr">
        <is>
          <t>POINT (13.54419136171245 100.25240751816918)</t>
        </is>
      </c>
    </row>
    <row r="27">
      <c r="A27" t="inlineStr">
        <is>
          <t>hods_aadt_pnt_2568.fid-6461857d_1a0f2643074_4c21</t>
        </is>
      </c>
      <c r="B27" t="n">
        <v>301</v>
      </c>
      <c r="C27" t="inlineStr">
        <is>
          <t>คลองบางเขน - ติวานนท์</t>
        </is>
      </c>
      <c r="D27" t="n">
        <v>100</v>
      </c>
      <c r="E27" t="inlineStr">
        <is>
          <t>คลองบางเขน - ติวานนท์</t>
        </is>
      </c>
      <c r="F27" t="inlineStr">
        <is>
          <t>5+075</t>
        </is>
      </c>
      <c r="G27" t="inlineStr">
        <is>
          <t>สถานีย่อย (C)</t>
        </is>
      </c>
      <c r="H27" t="n">
        <v>106274</v>
      </c>
      <c r="I27" t="n">
        <v>2025</v>
      </c>
      <c r="J27" t="inlineStr">
        <is>
          <t>ขท.นนทบุรี</t>
        </is>
      </c>
      <c r="K27" t="inlineStr">
        <is>
          <t>นนทบุรี</t>
        </is>
      </c>
      <c r="L27" t="n">
        <v>13.84194433874895</v>
      </c>
      <c r="M27" t="n">
        <v>100.512148754963</v>
      </c>
      <c r="N27" t="inlineStr">
        <is>
          <t>POINT (13.841944338748947 100.51214875496302)</t>
        </is>
      </c>
    </row>
    <row r="28">
      <c r="A28" t="inlineStr">
        <is>
          <t>hods_aadt_pnt_2568.fid-6461857d_1a0f2643074_4c22</t>
        </is>
      </c>
      <c r="B28" t="n">
        <v>302</v>
      </c>
      <c r="C28" t="inlineStr">
        <is>
          <t>แยกมหาวิทยาลัยเกษตรศาสตร์ - ต่างระดับบางใหญ่</t>
        </is>
      </c>
      <c r="D28" t="n">
        <v>201</v>
      </c>
      <c r="E28" t="inlineStr">
        <is>
          <t>แยกพงษ์เพชร - สะพานพระนั่งเกล้า</t>
        </is>
      </c>
      <c r="F28" t="inlineStr">
        <is>
          <t>5+822</t>
        </is>
      </c>
      <c r="G28" t="inlineStr">
        <is>
          <t>สถานีย่อย (C)</t>
        </is>
      </c>
      <c r="H28" t="n">
        <v>111297</v>
      </c>
      <c r="I28" t="n">
        <v>2025</v>
      </c>
      <c r="J28" t="inlineStr">
        <is>
          <t>ขท.นนทบุรี</t>
        </is>
      </c>
      <c r="K28" t="inlineStr">
        <is>
          <t>นนทบุรี</t>
        </is>
      </c>
      <c r="L28" t="n">
        <v>13.85858621154275</v>
      </c>
      <c r="M28" t="n">
        <v>100.5256527058413</v>
      </c>
      <c r="N28" t="inlineStr">
        <is>
          <t>POINT (13.858586211542747 100.52565270584127)</t>
        </is>
      </c>
    </row>
    <row r="29">
      <c r="A29" t="inlineStr">
        <is>
          <t>hods_aadt_pnt_2568.fid-6461857d_1a0f2643074_4c23</t>
        </is>
      </c>
      <c r="B29" t="n">
        <v>302</v>
      </c>
      <c r="C29" t="inlineStr">
        <is>
          <t>แยกมหาวิทยาลัยเกษตรศาสตร์ - ต่างระดับบางใหญ่</t>
        </is>
      </c>
      <c r="D29" t="n">
        <v>202</v>
      </c>
      <c r="E29" t="inlineStr">
        <is>
          <t>สะพานพระนั่งเกล้า - ต่างระดับบางใหญ่</t>
        </is>
      </c>
      <c r="F29" t="inlineStr">
        <is>
          <t>12+500</t>
        </is>
      </c>
      <c r="G29" t="inlineStr">
        <is>
          <t>สถานีย่อย (C)</t>
        </is>
      </c>
      <c r="H29" t="n">
        <v>104815</v>
      </c>
      <c r="I29" t="n">
        <v>2025</v>
      </c>
      <c r="J29" t="inlineStr">
        <is>
          <t>ขท.นนทบุรี</t>
        </is>
      </c>
      <c r="K29" t="inlineStr">
        <is>
          <t>นนทบุรี</t>
        </is>
      </c>
      <c r="L29" t="n">
        <v>13.87039942765846</v>
      </c>
      <c r="M29" t="n">
        <v>100.4672646514145</v>
      </c>
      <c r="N29" t="inlineStr">
        <is>
          <t>POINT (13.870399427658464 100.46726465141452)</t>
        </is>
      </c>
    </row>
    <row r="30">
      <c r="A30" t="inlineStr">
        <is>
          <t>hods_aadt_pnt_2568.fid-6461857d_1a0f2643074_4c24</t>
        </is>
      </c>
      <c r="B30" t="n">
        <v>303</v>
      </c>
      <c r="C30" t="inlineStr">
        <is>
          <t>ราษฎร์บูรณะ - พระสมุทรเจดีย์</t>
        </is>
      </c>
      <c r="D30" t="n">
        <v>100</v>
      </c>
      <c r="E30" t="inlineStr">
        <is>
          <t>ราษฎร์บูรณะ - พระสมุทรเจดีย์</t>
        </is>
      </c>
      <c r="F30" t="inlineStr">
        <is>
          <t>14+000</t>
        </is>
      </c>
      <c r="G30" t="inlineStr">
        <is>
          <t>สถานีย่อย (C)</t>
        </is>
      </c>
      <c r="H30" t="n">
        <v>76209</v>
      </c>
      <c r="I30" t="n">
        <v>2025</v>
      </c>
      <c r="J30" t="inlineStr">
        <is>
          <t>ขท.สมุทรปราการ</t>
        </is>
      </c>
      <c r="K30" t="inlineStr">
        <is>
          <t>สมุทรปราการ</t>
        </is>
      </c>
      <c r="L30" t="n">
        <v>13.63531148332188</v>
      </c>
      <c r="M30" t="n">
        <v>100.5283665941565</v>
      </c>
      <c r="N30" t="inlineStr">
        <is>
          <t>POINT (13.635311483321878 100.52836659415654)</t>
        </is>
      </c>
    </row>
    <row r="31">
      <c r="A31" t="inlineStr">
        <is>
          <t>hods_aadt_pnt_2568.fid-6461857d_1a0f2643074_4c25</t>
        </is>
      </c>
      <c r="B31" t="n">
        <v>304</v>
      </c>
      <c r="C31" t="inlineStr">
        <is>
          <t>ปากเกร็ด - สะพานต่างระดับนครราชสีมา</t>
        </is>
      </c>
      <c r="D31" t="n">
        <v>100</v>
      </c>
      <c r="E31" t="inlineStr">
        <is>
          <t>ปากเกร็ด - คลองประปา</t>
        </is>
      </c>
      <c r="F31" t="inlineStr">
        <is>
          <t>4+750</t>
        </is>
      </c>
      <c r="G31" t="inlineStr">
        <is>
          <t>สถานีย่อย (C)</t>
        </is>
      </c>
      <c r="H31" t="n">
        <v>86479</v>
      </c>
      <c r="I31" t="n">
        <v>2025</v>
      </c>
      <c r="J31" t="inlineStr">
        <is>
          <t>ขท.นนทบุรี</t>
        </is>
      </c>
      <c r="K31" t="inlineStr">
        <is>
          <t>นนทบุรี</t>
        </is>
      </c>
      <c r="L31" t="n">
        <v>13.8980247462907</v>
      </c>
      <c r="M31" t="n">
        <v>100.5466718545836</v>
      </c>
      <c r="N31" t="inlineStr">
        <is>
          <t>POINT (13.898024746290703 100.54667185458356)</t>
        </is>
      </c>
    </row>
    <row r="32">
      <c r="A32" t="inlineStr">
        <is>
          <t>hods_aadt_pnt_2568.fid-6461857d_1a0f2643074_4c26</t>
        </is>
      </c>
      <c r="B32" t="n">
        <v>304</v>
      </c>
      <c r="C32" t="inlineStr">
        <is>
          <t>ปากเกร็ด - สะพานต่างระดับนครราชสีมา</t>
        </is>
      </c>
      <c r="D32" t="n">
        <v>201</v>
      </c>
      <c r="E32" t="inlineStr">
        <is>
          <t>คลองประปา - คันนายาว</t>
        </is>
      </c>
      <c r="F32" t="inlineStr">
        <is>
          <t>18+610</t>
        </is>
      </c>
      <c r="G32" t="inlineStr">
        <is>
          <t>สถานีย่อย (C)</t>
        </is>
      </c>
      <c r="H32" t="n">
        <v>93205</v>
      </c>
      <c r="I32" t="n">
        <v>2025</v>
      </c>
      <c r="J32" t="inlineStr">
        <is>
          <t>ขท.กรุงเทพ</t>
        </is>
      </c>
      <c r="K32" t="inlineStr">
        <is>
          <t>กรุงเทพมหานคร</t>
        </is>
      </c>
      <c r="L32" t="n">
        <v>13.8400214607712</v>
      </c>
      <c r="M32" t="n">
        <v>100.659832042403</v>
      </c>
      <c r="N32" t="inlineStr">
        <is>
          <t>POINT (13.8400214607712 100.659832042403)</t>
        </is>
      </c>
    </row>
    <row r="33">
      <c r="A33" t="inlineStr">
        <is>
          <t>hods_aadt_pnt_2568.fid-6461857d_1a0f2643074_4c27</t>
        </is>
      </c>
      <c r="B33" t="n">
        <v>304</v>
      </c>
      <c r="C33" t="inlineStr">
        <is>
          <t>ปากเกร็ด - สะพานต่างระดับนครราชสีมา</t>
        </is>
      </c>
      <c r="D33" t="n">
        <v>201</v>
      </c>
      <c r="E33" t="inlineStr">
        <is>
          <t>คลองประปา - คันนายาว</t>
        </is>
      </c>
      <c r="F33" t="inlineStr">
        <is>
          <t>7+050</t>
        </is>
      </c>
      <c r="G33" t="inlineStr">
        <is>
          <t>สถานีย่อย (C)</t>
        </is>
      </c>
      <c r="H33" t="n">
        <v>87185</v>
      </c>
      <c r="I33" t="n">
        <v>2025</v>
      </c>
      <c r="J33" t="inlineStr">
        <is>
          <t>ขท.กรุงเทพ</t>
        </is>
      </c>
      <c r="K33" t="inlineStr">
        <is>
          <t>กรุงเทพมหานคร</t>
        </is>
      </c>
      <c r="L33" t="n">
        <v>13.89102614096211</v>
      </c>
      <c r="M33" t="n">
        <v>100.5665384428516</v>
      </c>
      <c r="N33" t="inlineStr">
        <is>
          <t>POINT (13.891026140962113 100.56653844285155)</t>
        </is>
      </c>
    </row>
    <row r="34">
      <c r="A34" t="inlineStr">
        <is>
          <t>hods_aadt_pnt_2568.fid-6461857d_1a0f2643074_4c28</t>
        </is>
      </c>
      <c r="B34" t="n">
        <v>304</v>
      </c>
      <c r="C34" t="inlineStr">
        <is>
          <t>ปากเกร็ด - สะพานต่างระดับนครราชสีมา</t>
        </is>
      </c>
      <c r="D34" t="n">
        <v>203</v>
      </c>
      <c r="E34" t="inlineStr">
        <is>
          <t>แยกเข้ามีนบุรี - คลองหลวงแพ่ง</t>
        </is>
      </c>
      <c r="F34" t="inlineStr">
        <is>
          <t>28+250</t>
        </is>
      </c>
      <c r="G34" t="inlineStr">
        <is>
          <t>สถานีย่อย (C)</t>
        </is>
      </c>
      <c r="H34" t="n">
        <v>78286</v>
      </c>
      <c r="I34" t="n">
        <v>2025</v>
      </c>
      <c r="J34" t="inlineStr">
        <is>
          <t>ขท.กรุงเทพ</t>
        </is>
      </c>
      <c r="K34" t="inlineStr">
        <is>
          <t>กรุงเทพมหานคร</t>
        </is>
      </c>
      <c r="L34" t="n">
        <v>13.8193790899479</v>
      </c>
      <c r="M34" t="n">
        <v>100.736014118644</v>
      </c>
      <c r="N34" t="inlineStr">
        <is>
          <t>POINT (13.8193790899479 100.736014118644)</t>
        </is>
      </c>
    </row>
    <row r="35">
      <c r="A35" t="inlineStr">
        <is>
          <t>hods_aadt_pnt_2568.fid-6461857d_1a0f2643074_4c29</t>
        </is>
      </c>
      <c r="B35" t="n">
        <v>304</v>
      </c>
      <c r="C35" t="inlineStr">
        <is>
          <t>ปากเกร็ด - สะพานต่างระดับนครราชสีมา</t>
        </is>
      </c>
      <c r="D35" t="n">
        <v>203</v>
      </c>
      <c r="E35" t="inlineStr">
        <is>
          <t>แยกเข้ามีนบุรี - คลองหลวงแพ่ง</t>
        </is>
      </c>
      <c r="F35" t="inlineStr">
        <is>
          <t>40+107</t>
        </is>
      </c>
      <c r="G35" t="inlineStr">
        <is>
          <t>สถานีย่อย (C)</t>
        </is>
      </c>
      <c r="H35" t="n">
        <v>53150</v>
      </c>
      <c r="I35" t="n">
        <v>2025</v>
      </c>
      <c r="J35" t="inlineStr">
        <is>
          <t>ขท.กรุงเทพ</t>
        </is>
      </c>
      <c r="K35" t="inlineStr">
        <is>
          <t>กรุงเทพมหานคร</t>
        </is>
      </c>
      <c r="L35" t="n">
        <v>13.8065112257451</v>
      </c>
      <c r="M35" t="n">
        <v>100.843413211424</v>
      </c>
      <c r="N35" t="inlineStr">
        <is>
          <t>POINT (13.8065112257451 100.843413211424)</t>
        </is>
      </c>
    </row>
    <row r="36">
      <c r="A36" t="inlineStr">
        <is>
          <t>hods_aadt_pnt_2568.fid-6461857d_1a0f2643074_4c35</t>
        </is>
      </c>
      <c r="B36" t="n">
        <v>305</v>
      </c>
      <c r="C36" t="inlineStr">
        <is>
          <t>ต่างระดับรังสิต - นครนายก</t>
        </is>
      </c>
      <c r="D36" t="n">
        <v>100</v>
      </c>
      <c r="E36" t="inlineStr">
        <is>
          <t>ต่างระดับรังสิต - วัดนาบุญ</t>
        </is>
      </c>
      <c r="F36" t="inlineStr">
        <is>
          <t>4+550</t>
        </is>
      </c>
      <c r="G36" t="inlineStr">
        <is>
          <t>สถานีย่อย (C)</t>
        </is>
      </c>
      <c r="H36" t="n">
        <v>127131</v>
      </c>
      <c r="I36" t="n">
        <v>2025</v>
      </c>
      <c r="J36" t="inlineStr">
        <is>
          <t>ขท.ปทุมธานี</t>
        </is>
      </c>
      <c r="K36" t="inlineStr">
        <is>
          <t>ปทุมธานี</t>
        </is>
      </c>
      <c r="L36" t="n">
        <v>13.99376382111116</v>
      </c>
      <c r="M36" t="n">
        <v>100.657057906644</v>
      </c>
      <c r="N36" t="inlineStr">
        <is>
          <t>POINT (13.993763821111164 100.65705790664404)</t>
        </is>
      </c>
    </row>
    <row r="37">
      <c r="A37" t="inlineStr">
        <is>
          <t>hods_aadt_pnt_2568.fid-6461857d_1a0f2643074_4c36</t>
        </is>
      </c>
      <c r="B37" t="n">
        <v>305</v>
      </c>
      <c r="C37" t="inlineStr">
        <is>
          <t>ต่างระดับรังสิต - นครนายก</t>
        </is>
      </c>
      <c r="D37" t="n">
        <v>201</v>
      </c>
      <c r="E37" t="inlineStr">
        <is>
          <t>วัดนาบุญ - คลอง14</t>
        </is>
      </c>
      <c r="F37" t="inlineStr">
        <is>
          <t>25+870</t>
        </is>
      </c>
      <c r="G37" t="inlineStr">
        <is>
          <t>สถานีย่อย (C)</t>
        </is>
      </c>
      <c r="H37" t="n">
        <v>28156</v>
      </c>
      <c r="I37" t="n">
        <v>2025</v>
      </c>
      <c r="J37" t="inlineStr">
        <is>
          <t>ขท.นครนายก</t>
        </is>
      </c>
      <c r="K37" t="inlineStr">
        <is>
          <t>ปทุมธานี</t>
        </is>
      </c>
      <c r="L37" t="n">
        <v>14.06056430026092</v>
      </c>
      <c r="M37" t="n">
        <v>100.8464139188821</v>
      </c>
      <c r="N37" t="inlineStr">
        <is>
          <t>POINT (14.060564300260916 100.84641391888209)</t>
        </is>
      </c>
    </row>
    <row r="38">
      <c r="A38" t="inlineStr">
        <is>
          <t>hods_aadt_pnt_2568.fid-6461857d_1a0f2643074_4c38</t>
        </is>
      </c>
      <c r="B38" t="n">
        <v>306</v>
      </c>
      <c r="C38" t="inlineStr">
        <is>
          <t>พระราม 7 - บางพูน</t>
        </is>
      </c>
      <c r="D38" t="n">
        <v>101</v>
      </c>
      <c r="E38" t="inlineStr">
        <is>
          <t>พระราม7 - แคราย</t>
        </is>
      </c>
      <c r="F38" t="inlineStr">
        <is>
          <t>1+000</t>
        </is>
      </c>
      <c r="G38" t="inlineStr">
        <is>
          <t>สถานีย่อย (C)</t>
        </is>
      </c>
      <c r="H38" t="n">
        <v>92599</v>
      </c>
      <c r="I38" t="n">
        <v>2025</v>
      </c>
      <c r="J38" t="inlineStr">
        <is>
          <t>ขท.นนทบุรี</t>
        </is>
      </c>
      <c r="K38" t="inlineStr">
        <is>
          <t>กรุงเทพมหานคร</t>
        </is>
      </c>
      <c r="L38" t="n">
        <v>13.82739745543241</v>
      </c>
      <c r="M38" t="n">
        <v>100.5025925331862</v>
      </c>
      <c r="N38" t="inlineStr">
        <is>
          <t>POINT (13.827397455432406 100.50259253318622)</t>
        </is>
      </c>
    </row>
    <row r="39">
      <c r="A39" t="inlineStr">
        <is>
          <t>hods_aadt_pnt_2568.fid-6461857d_1a0f2643074_4c39</t>
        </is>
      </c>
      <c r="B39" t="n">
        <v>306</v>
      </c>
      <c r="C39" t="inlineStr">
        <is>
          <t>พระราม 7 - บางพูน</t>
        </is>
      </c>
      <c r="D39" t="n">
        <v>102</v>
      </c>
      <c r="E39" t="inlineStr">
        <is>
          <t>แคราย - คลองบ้านใหม่</t>
        </is>
      </c>
      <c r="F39" t="inlineStr">
        <is>
          <t>19+390</t>
        </is>
      </c>
      <c r="G39" t="inlineStr">
        <is>
          <t>สถานีย่อย (C)</t>
        </is>
      </c>
      <c r="H39" t="n">
        <v>43007</v>
      </c>
      <c r="I39" t="n">
        <v>2025</v>
      </c>
      <c r="J39" t="inlineStr">
        <is>
          <t>ขท.นนทบุรี</t>
        </is>
      </c>
      <c r="K39" t="inlineStr">
        <is>
          <t>นนทบุรี</t>
        </is>
      </c>
      <c r="L39" t="n">
        <v>13.9497174652702</v>
      </c>
      <c r="M39" t="n">
        <v>100.5468733308233</v>
      </c>
      <c r="N39" t="inlineStr">
        <is>
          <t>POINT (13.949717465270197 100.54687333082335)</t>
        </is>
      </c>
    </row>
    <row r="40">
      <c r="A40" t="inlineStr">
        <is>
          <t>hods_aadt_pnt_2568.fid-6461857d_1a0f2643074_4c3b</t>
        </is>
      </c>
      <c r="B40" t="n">
        <v>307</v>
      </c>
      <c r="C40" t="inlineStr">
        <is>
          <t>แยกสวนสมเด็จ - แยกปทุมวิไล</t>
        </is>
      </c>
      <c r="D40" t="n">
        <v>101</v>
      </c>
      <c r="E40" t="inlineStr">
        <is>
          <t>แยกสวนสมเด็จ - สะพานนนทบุรี</t>
        </is>
      </c>
      <c r="F40" t="inlineStr">
        <is>
          <t>0+100</t>
        </is>
      </c>
      <c r="G40" t="inlineStr">
        <is>
          <t>สถานีย่อย (C)</t>
        </is>
      </c>
      <c r="H40" t="n">
        <v>122691</v>
      </c>
      <c r="I40" t="n">
        <v>2025</v>
      </c>
      <c r="J40" t="inlineStr">
        <is>
          <t>ขท.นนทบุรี</t>
        </is>
      </c>
      <c r="K40" t="inlineStr">
        <is>
          <t>นนทบุรี</t>
        </is>
      </c>
      <c r="L40" t="n">
        <v>13.94174436404731</v>
      </c>
      <c r="M40" t="n">
        <v>100.5409433461953</v>
      </c>
      <c r="N40" t="inlineStr">
        <is>
          <t>POINT (13.94174436404731 100.54094334619528)</t>
        </is>
      </c>
    </row>
    <row r="41">
      <c r="A41" t="inlineStr">
        <is>
          <t>hods_aadt_pnt_2568.fid-6461857d_1a0f2643074_4c62</t>
        </is>
      </c>
      <c r="B41" t="n">
        <v>321</v>
      </c>
      <c r="C41" t="inlineStr">
        <is>
          <t>นครปฐม - สุพรรณบุรี</t>
        </is>
      </c>
      <c r="D41" t="n">
        <v>101</v>
      </c>
      <c r="E41" t="inlineStr">
        <is>
          <t>นครปฐม - หนองปลาไหล</t>
        </is>
      </c>
      <c r="F41" t="inlineStr">
        <is>
          <t>9+150</t>
        </is>
      </c>
      <c r="G41" t="inlineStr">
        <is>
          <t>สถานีย่อย (C)</t>
        </is>
      </c>
      <c r="H41" t="n">
        <v>62218</v>
      </c>
      <c r="I41" t="n">
        <v>2025</v>
      </c>
      <c r="J41" t="inlineStr">
        <is>
          <t>ขท.นครปฐม</t>
        </is>
      </c>
      <c r="K41" t="inlineStr">
        <is>
          <t>นครปฐม</t>
        </is>
      </c>
      <c r="L41" t="n">
        <v>13.87690780421084</v>
      </c>
      <c r="M41" t="n">
        <v>99.99624971171308</v>
      </c>
      <c r="N41" t="inlineStr">
        <is>
          <t>POINT (13.87690780421084 99.99624971171308)</t>
        </is>
      </c>
    </row>
    <row r="42">
      <c r="A42" t="inlineStr">
        <is>
          <t>hods_aadt_pnt_2568.fid-6461857d_1a0f2643074_4c63</t>
        </is>
      </c>
      <c r="B42" t="n">
        <v>321</v>
      </c>
      <c r="C42" t="inlineStr">
        <is>
          <t>นครปฐม - สุพรรณบุรี</t>
        </is>
      </c>
      <c r="D42" t="n">
        <v>102</v>
      </c>
      <c r="E42" t="inlineStr">
        <is>
          <t>หนองปลาไหล - กำแพงแสน</t>
        </is>
      </c>
      <c r="F42" t="inlineStr">
        <is>
          <t>22+800</t>
        </is>
      </c>
      <c r="G42" t="inlineStr">
        <is>
          <t>สถานีย่อย (C)</t>
        </is>
      </c>
      <c r="H42" t="n">
        <v>69187</v>
      </c>
      <c r="I42" t="n">
        <v>2025</v>
      </c>
      <c r="J42" t="inlineStr">
        <is>
          <t>ขท.นครปฐม</t>
        </is>
      </c>
      <c r="K42" t="inlineStr">
        <is>
          <t>นครปฐม</t>
        </is>
      </c>
      <c r="L42" t="n">
        <v>13.9791864187879</v>
      </c>
      <c r="M42" t="n">
        <v>99.9952208695463</v>
      </c>
      <c r="N42" t="inlineStr">
        <is>
          <t>POINT (13.9791864187879 99.9952208695463)</t>
        </is>
      </c>
    </row>
    <row r="43">
      <c r="A43" t="inlineStr">
        <is>
          <t>hods_aadt_pnt_2568.fid-6461857d_1a0f2643074_4c94</t>
        </is>
      </c>
      <c r="B43" t="n">
        <v>338</v>
      </c>
      <c r="C43" t="inlineStr">
        <is>
          <t>อรุณอมรินทร์ - นครชัยศรี</t>
        </is>
      </c>
      <c r="D43" t="n">
        <v>101</v>
      </c>
      <c r="E43" t="inlineStr">
        <is>
          <t>อรุณอมรินทร์ - พุทธมณฑลสาย4</t>
        </is>
      </c>
      <c r="F43" t="inlineStr">
        <is>
          <t>0+000</t>
        </is>
      </c>
      <c r="G43" t="inlineStr">
        <is>
          <t>สถานีย่อย (C)</t>
        </is>
      </c>
      <c r="H43" t="n">
        <v>112173</v>
      </c>
      <c r="I43" t="n">
        <v>2025</v>
      </c>
      <c r="J43" t="inlineStr">
        <is>
          <t>ขท.ธนบุรี</t>
        </is>
      </c>
      <c r="K43" t="inlineStr">
        <is>
          <t>กรุงเทพมหานคร</t>
        </is>
      </c>
      <c r="L43" t="n">
        <v>13.7862239741754</v>
      </c>
      <c r="M43" t="n">
        <v>100.469803065062</v>
      </c>
      <c r="N43" t="inlineStr">
        <is>
          <t>POINT (13.7862239741754 100.469803065062)</t>
        </is>
      </c>
    </row>
    <row r="44">
      <c r="A44" t="inlineStr">
        <is>
          <t>hods_aadt_pnt_2568.fid-6461857d_1a0f2643074_4c95</t>
        </is>
      </c>
      <c r="B44" t="n">
        <v>338</v>
      </c>
      <c r="C44" t="inlineStr">
        <is>
          <t>อรุณอมรินทร์ - นครชัยศรี</t>
        </is>
      </c>
      <c r="D44" t="n">
        <v>101</v>
      </c>
      <c r="E44" t="inlineStr">
        <is>
          <t>อรุณอมรินทร์ - พุทธมณฑลสาย4</t>
        </is>
      </c>
      <c r="F44" t="inlineStr">
        <is>
          <t>9+281</t>
        </is>
      </c>
      <c r="G44" t="inlineStr">
        <is>
          <t>สถานีย่อย (C)</t>
        </is>
      </c>
      <c r="H44" t="n">
        <v>145895</v>
      </c>
      <c r="I44" t="n">
        <v>2025</v>
      </c>
      <c r="J44" t="inlineStr">
        <is>
          <t>ขท.ธนบุรี</t>
        </is>
      </c>
      <c r="K44" t="inlineStr">
        <is>
          <t>กรุงเทพมหานคร</t>
        </is>
      </c>
      <c r="L44" t="n">
        <v>13.78557009480604</v>
      </c>
      <c r="M44" t="n">
        <v>100.3868819632583</v>
      </c>
      <c r="N44" t="inlineStr">
        <is>
          <t>POINT (13.785570094806038 100.38688196325833)</t>
        </is>
      </c>
    </row>
    <row r="45">
      <c r="A45" t="inlineStr">
        <is>
          <t>hods_aadt_pnt_2568.fid-6461857d_1a0f2643074_4c96</t>
        </is>
      </c>
      <c r="B45" t="n">
        <v>338</v>
      </c>
      <c r="C45" t="inlineStr">
        <is>
          <t>อรุณอมรินทร์ - นครชัยศรี</t>
        </is>
      </c>
      <c r="D45" t="n">
        <v>102</v>
      </c>
      <c r="E45" t="inlineStr">
        <is>
          <t>ทางยกระดับบางกอกน้อย - นครชัยศรี</t>
        </is>
      </c>
      <c r="F45" t="inlineStr">
        <is>
          <t>2+164</t>
        </is>
      </c>
      <c r="G45" t="inlineStr">
        <is>
          <t>สถานีย่อย (C)</t>
        </is>
      </c>
      <c r="H45" t="n">
        <v>69899</v>
      </c>
      <c r="I45" t="n">
        <v>2025</v>
      </c>
      <c r="J45" t="inlineStr">
        <is>
          <t>ขท.ธนบุรี</t>
        </is>
      </c>
      <c r="K45" t="inlineStr">
        <is>
          <t>กรุงเทพมหานคร</t>
        </is>
      </c>
      <c r="L45" t="n">
        <v>13.78057696074034</v>
      </c>
      <c r="M45" t="n">
        <v>100.4322886777887</v>
      </c>
      <c r="N45" t="inlineStr">
        <is>
          <t>POINT (13.780576960740344 100.43228867778873)</t>
        </is>
      </c>
    </row>
    <row r="46">
      <c r="A46" t="inlineStr">
        <is>
          <t>hods_aadt_pnt_2568.fid-6461857d_1a0f2643074_4c97</t>
        </is>
      </c>
      <c r="B46" t="n">
        <v>338</v>
      </c>
      <c r="C46" t="inlineStr">
        <is>
          <t>อรุณอมรินทร์ - นครชัยศรี</t>
        </is>
      </c>
      <c r="D46" t="n">
        <v>102</v>
      </c>
      <c r="E46" t="inlineStr">
        <is>
          <t>ทางยกระดับบางกอกน้อย - นครชัยศรี</t>
        </is>
      </c>
      <c r="F46" t="inlineStr">
        <is>
          <t>8+664</t>
        </is>
      </c>
      <c r="G46" t="inlineStr">
        <is>
          <t>สถานีย่อย (C)</t>
        </is>
      </c>
      <c r="H46" t="n">
        <v>69408</v>
      </c>
      <c r="I46" t="n">
        <v>2025</v>
      </c>
      <c r="J46" t="inlineStr">
        <is>
          <t>ขท.ธนบุรี</t>
        </is>
      </c>
      <c r="K46" t="inlineStr">
        <is>
          <t>กรุงเทพมหานคร</t>
        </is>
      </c>
      <c r="L46" t="n">
        <v>13.7861409143734</v>
      </c>
      <c r="M46" t="n">
        <v>100.379443813447</v>
      </c>
      <c r="N46" t="inlineStr">
        <is>
          <t>POINT (13.7861409143734 100.379443813447)</t>
        </is>
      </c>
    </row>
    <row r="47">
      <c r="A47" t="inlineStr">
        <is>
          <t>hods_aadt_pnt_2568.fid-6461857d_1a0f2643074_4c98</t>
        </is>
      </c>
      <c r="B47" t="n">
        <v>338</v>
      </c>
      <c r="C47" t="inlineStr">
        <is>
          <t>อรุณอมรินทร์ - นครชัยศรี</t>
        </is>
      </c>
      <c r="D47" t="n">
        <v>201</v>
      </c>
      <c r="E47" t="inlineStr">
        <is>
          <t>พุทธมณฑลสาย4 - นครชัยศรี</t>
        </is>
      </c>
      <c r="F47" t="inlineStr">
        <is>
          <t>22+081</t>
        </is>
      </c>
      <c r="G47" t="inlineStr">
        <is>
          <t>สถานีย่อย (C)</t>
        </is>
      </c>
      <c r="H47" t="n">
        <v>141795</v>
      </c>
      <c r="I47" t="n">
        <v>2025</v>
      </c>
      <c r="J47" t="inlineStr">
        <is>
          <t>ขท.สมุทรสาคร</t>
        </is>
      </c>
      <c r="K47" t="inlineStr">
        <is>
          <t>นครปฐม</t>
        </is>
      </c>
      <c r="L47" t="n">
        <v>13.7856111648898</v>
      </c>
      <c r="M47" t="n">
        <v>100.271943732561</v>
      </c>
      <c r="N47" t="inlineStr">
        <is>
          <t>POINT (13.7856111648898 100.271943732561)</t>
        </is>
      </c>
    </row>
    <row r="48">
      <c r="A48" t="inlineStr">
        <is>
          <t>hods_aadt_pnt_2568.fid-6461857d_1a0f2643074_4c99</t>
        </is>
      </c>
      <c r="B48" t="n">
        <v>340</v>
      </c>
      <c r="C48" t="inlineStr">
        <is>
          <t>บางบัวทอง - ชัยนาท</t>
        </is>
      </c>
      <c r="D48" t="n">
        <v>100</v>
      </c>
      <c r="E48" t="inlineStr">
        <is>
          <t>บางบัวทอง - ลาดบัวหลวง</t>
        </is>
      </c>
      <c r="F48" t="inlineStr">
        <is>
          <t>7+941</t>
        </is>
      </c>
      <c r="G48" t="inlineStr">
        <is>
          <t>สถานีย่อย (C)</t>
        </is>
      </c>
      <c r="H48" t="n">
        <v>45289</v>
      </c>
      <c r="I48" t="n">
        <v>2025</v>
      </c>
      <c r="J48" t="inlineStr">
        <is>
          <t>ขท.นนทบุรี</t>
        </is>
      </c>
      <c r="K48" t="inlineStr">
        <is>
          <t>ปทุมธานี</t>
        </is>
      </c>
      <c r="L48" t="n">
        <v>13.99766025000031</v>
      </c>
      <c r="M48" t="n">
        <v>100.3749567983049</v>
      </c>
      <c r="N48" t="inlineStr">
        <is>
          <t>POINT (13.997660250000306 100.37495679830494)</t>
        </is>
      </c>
    </row>
    <row r="49">
      <c r="A49" t="inlineStr">
        <is>
          <t>hods_aadt_pnt_2568.fid-6461857d_1a0f2643074_4ca5</t>
        </is>
      </c>
      <c r="B49" t="n">
        <v>345</v>
      </c>
      <c r="C49" t="inlineStr">
        <is>
          <t>บางบัวทอง - บางพูน</t>
        </is>
      </c>
      <c r="D49" t="n">
        <v>100</v>
      </c>
      <c r="E49" t="inlineStr">
        <is>
          <t>บางบัวทอง - บางคูวัด</t>
        </is>
      </c>
      <c r="F49" t="inlineStr">
        <is>
          <t>6+300</t>
        </is>
      </c>
      <c r="G49" t="inlineStr">
        <is>
          <t>สถานีย่อย (C)</t>
        </is>
      </c>
      <c r="H49" t="n">
        <v>67169</v>
      </c>
      <c r="I49" t="n">
        <v>2025</v>
      </c>
      <c r="J49" t="inlineStr">
        <is>
          <t>ขท.นนทบุรี</t>
        </is>
      </c>
      <c r="K49" t="inlineStr">
        <is>
          <t>นนทบุรี</t>
        </is>
      </c>
      <c r="L49" t="n">
        <v>13.9533469915283</v>
      </c>
      <c r="M49" t="n">
        <v>100.474904205889</v>
      </c>
      <c r="N49" t="inlineStr">
        <is>
          <t>POINT (13.9533469915283 100.474904205889)</t>
        </is>
      </c>
    </row>
    <row r="50">
      <c r="A50" t="inlineStr">
        <is>
          <t>hods_aadt_pnt_2568.fid-6461857d_1a0f2643074_4ca6</t>
        </is>
      </c>
      <c r="B50" t="n">
        <v>345</v>
      </c>
      <c r="C50" t="inlineStr">
        <is>
          <t>บางบัวทอง - บางพูน</t>
        </is>
      </c>
      <c r="D50" t="n">
        <v>200</v>
      </c>
      <c r="E50" t="inlineStr">
        <is>
          <t>บางคูวัด - บางพูน</t>
        </is>
      </c>
      <c r="F50" t="inlineStr">
        <is>
          <t>16+425</t>
        </is>
      </c>
      <c r="G50" t="inlineStr">
        <is>
          <t>สถานีย่อย (C)</t>
        </is>
      </c>
      <c r="H50" t="n">
        <v>99331</v>
      </c>
      <c r="I50" t="n">
        <v>2025</v>
      </c>
      <c r="J50" t="inlineStr">
        <is>
          <t>ขท.ปทุมธานี</t>
        </is>
      </c>
      <c r="K50" t="inlineStr">
        <is>
          <t>ปทุมธานี</t>
        </is>
      </c>
      <c r="L50" t="n">
        <v>13.9718319119837</v>
      </c>
      <c r="M50" t="n">
        <v>100.565386228492</v>
      </c>
      <c r="N50" t="inlineStr">
        <is>
          <t>POINT (13.9718319119837 100.565386228492)</t>
        </is>
      </c>
    </row>
    <row r="51">
      <c r="A51" t="inlineStr">
        <is>
          <t>hods_aadt_pnt_2568.fid-6461857d_1a0f2643074_4ca7</t>
        </is>
      </c>
      <c r="B51" t="n">
        <v>346</v>
      </c>
      <c r="C51" t="inlineStr">
        <is>
          <t>ต่างระดับรังสิต - พนมทวน</t>
        </is>
      </c>
      <c r="D51" t="n">
        <v>101</v>
      </c>
      <c r="E51" t="inlineStr">
        <is>
          <t>ต่างระดับรังสิต - แยกบางพูน</t>
        </is>
      </c>
      <c r="F51" t="inlineStr">
        <is>
          <t>1+800</t>
        </is>
      </c>
      <c r="G51" t="inlineStr">
        <is>
          <t>สถานีย่อย (C)</t>
        </is>
      </c>
      <c r="H51" t="n">
        <v>169276</v>
      </c>
      <c r="I51" t="n">
        <v>2025</v>
      </c>
      <c r="J51" t="inlineStr">
        <is>
          <t>ขท.ปทุมธานี</t>
        </is>
      </c>
      <c r="K51" t="inlineStr">
        <is>
          <t>ปทุมธานี</t>
        </is>
      </c>
      <c r="L51" t="n">
        <v>13.9860207927152</v>
      </c>
      <c r="M51" t="n">
        <v>100.601723863275</v>
      </c>
      <c r="N51" t="inlineStr">
        <is>
          <t>POINT (13.9860207927152 100.601723863275)</t>
        </is>
      </c>
    </row>
    <row r="52">
      <c r="A52" t="inlineStr">
        <is>
          <t>hods_aadt_pnt_2568.fid-6461857d_1a0f2643074_4ca8</t>
        </is>
      </c>
      <c r="B52" t="n">
        <v>346</v>
      </c>
      <c r="C52" t="inlineStr">
        <is>
          <t>ต่างระดับรังสิต - พนมทวน</t>
        </is>
      </c>
      <c r="D52" t="n">
        <v>103</v>
      </c>
      <c r="E52" t="inlineStr">
        <is>
          <t>แยกบ้านกลาง - ต่างระดับลาดหลุมแก้ว</t>
        </is>
      </c>
      <c r="F52" t="inlineStr">
        <is>
          <t>15+000</t>
        </is>
      </c>
      <c r="G52" t="inlineStr">
        <is>
          <t>สถานีย่อย (C)</t>
        </is>
      </c>
      <c r="H52" t="n">
        <v>39528</v>
      </c>
      <c r="I52" t="n">
        <v>2025</v>
      </c>
      <c r="J52" t="inlineStr">
        <is>
          <t>ขท.ปทุมธานี</t>
        </is>
      </c>
      <c r="K52" t="inlineStr">
        <is>
          <t>ปทุมธานี</t>
        </is>
      </c>
      <c r="L52" t="n">
        <v>14.0285191194719</v>
      </c>
      <c r="M52" t="n">
        <v>100.500812451674</v>
      </c>
      <c r="N52" t="inlineStr">
        <is>
          <t>POINT (14.0285191194719 100.500812451674)</t>
        </is>
      </c>
    </row>
    <row r="53">
      <c r="A53" t="inlineStr">
        <is>
          <t>hods_aadt_pnt_2568.fid-6461857d_1a0f2643074_4ca9</t>
        </is>
      </c>
      <c r="B53" t="n">
        <v>346</v>
      </c>
      <c r="C53" t="inlineStr">
        <is>
          <t>ต่างระดับรังสิต - พนมทวน</t>
        </is>
      </c>
      <c r="D53" t="n">
        <v>103</v>
      </c>
      <c r="E53" t="inlineStr">
        <is>
          <t>แยกบ้านกลาง - ต่างระดับลาดหลุมแก้ว</t>
        </is>
      </c>
      <c r="F53" t="inlineStr">
        <is>
          <t>9+500</t>
        </is>
      </c>
      <c r="G53" t="inlineStr">
        <is>
          <t>สถานีย่อย (C)</t>
        </is>
      </c>
      <c r="H53" t="n">
        <v>139052</v>
      </c>
      <c r="I53" t="n">
        <v>2025</v>
      </c>
      <c r="J53" t="inlineStr">
        <is>
          <t>ขท.ปทุมธานี</t>
        </is>
      </c>
      <c r="K53" t="inlineStr">
        <is>
          <t>ปทุมธานี</t>
        </is>
      </c>
      <c r="L53" t="n">
        <v>14.0196471278575</v>
      </c>
      <c r="M53" t="n">
        <v>100.545241944116</v>
      </c>
      <c r="N53" t="inlineStr">
        <is>
          <t>POINT (14.0196471278575 100.545241944116)</t>
        </is>
      </c>
    </row>
    <row r="54">
      <c r="A54" t="inlineStr">
        <is>
          <t>hods_aadt_pnt_2568.fid-6461857d_1a0f2643074_4caa</t>
        </is>
      </c>
      <c r="B54" t="n">
        <v>346</v>
      </c>
      <c r="C54" t="inlineStr">
        <is>
          <t>ต่างระดับรังสิต - พนมทวน</t>
        </is>
      </c>
      <c r="D54" t="n">
        <v>202</v>
      </c>
      <c r="E54" t="inlineStr">
        <is>
          <t>แยกนพวงศ์ - บางเลน</t>
        </is>
      </c>
      <c r="F54" t="inlineStr">
        <is>
          <t>34+560</t>
        </is>
      </c>
      <c r="G54" t="inlineStr">
        <is>
          <t>สถานีย่อย (C)</t>
        </is>
      </c>
      <c r="H54" t="n">
        <v>31405</v>
      </c>
      <c r="I54" t="n">
        <v>2025</v>
      </c>
      <c r="J54" t="inlineStr">
        <is>
          <t>ขท.นนทบุรี</t>
        </is>
      </c>
      <c r="K54" t="inlineStr">
        <is>
          <t>นนทบุรี</t>
        </is>
      </c>
      <c r="L54" t="n">
        <v>14.02735769603733</v>
      </c>
      <c r="M54" t="n">
        <v>100.3355396033167</v>
      </c>
      <c r="N54" t="inlineStr">
        <is>
          <t>POINT (14.027357696037333 100.33553960331669)</t>
        </is>
      </c>
    </row>
    <row r="55">
      <c r="A55" t="inlineStr">
        <is>
          <t>hods_aadt_pnt_2568.fid-6461857d_1a0f2643074_4cab</t>
        </is>
      </c>
      <c r="B55" t="n">
        <v>346</v>
      </c>
      <c r="C55" t="inlineStr">
        <is>
          <t>ต่างระดับรังสิต - พนมทวน</t>
        </is>
      </c>
      <c r="D55" t="n">
        <v>301</v>
      </c>
      <c r="E55" t="inlineStr">
        <is>
          <t>บางเลน - ลำลูกบัว</t>
        </is>
      </c>
      <c r="F55" t="inlineStr">
        <is>
          <t>55+000</t>
        </is>
      </c>
      <c r="G55" t="inlineStr">
        <is>
          <t>สถานีย่อย (C)</t>
        </is>
      </c>
      <c r="H55" t="n">
        <v>18984</v>
      </c>
      <c r="I55" t="n">
        <v>2025</v>
      </c>
      <c r="J55" t="inlineStr">
        <is>
          <t>ขท.นครปฐม</t>
        </is>
      </c>
      <c r="K55" t="inlineStr">
        <is>
          <t>นครปฐม</t>
        </is>
      </c>
      <c r="L55" t="n">
        <v>14.0233900723516</v>
      </c>
      <c r="M55" t="n">
        <v>100.146853556367</v>
      </c>
      <c r="N55" t="inlineStr">
        <is>
          <t>POINT (14.023390072351596 100.14685355636705)</t>
        </is>
      </c>
    </row>
    <row r="56">
      <c r="A56" t="inlineStr">
        <is>
          <t>hods_aadt_pnt_2568.fid-6461857d_1a0f2643074_4cac</t>
        </is>
      </c>
      <c r="B56" t="n">
        <v>346</v>
      </c>
      <c r="C56" t="inlineStr">
        <is>
          <t>ต่างระดับรังสิต - พนมทวน</t>
        </is>
      </c>
      <c r="D56" t="n">
        <v>302</v>
      </c>
      <c r="E56" t="inlineStr">
        <is>
          <t>ลำลูกบัว - หนองกระทุ่ม</t>
        </is>
      </c>
      <c r="F56" t="inlineStr">
        <is>
          <t>78+000</t>
        </is>
      </c>
      <c r="G56" t="inlineStr">
        <is>
          <t>สถานีย่อย (C)</t>
        </is>
      </c>
      <c r="H56" t="n">
        <v>68501</v>
      </c>
      <c r="I56" t="n">
        <v>2025</v>
      </c>
      <c r="J56" t="inlineStr">
        <is>
          <t>ขท.นครปฐม</t>
        </is>
      </c>
      <c r="K56" t="inlineStr">
        <is>
          <t>นครปฐม</t>
        </is>
      </c>
      <c r="L56" t="n">
        <v>14.0093486997276</v>
      </c>
      <c r="M56" t="n">
        <v>99.9623092577487</v>
      </c>
      <c r="N56" t="inlineStr">
        <is>
          <t>POINT (14.0093486997276 99.9623092577487)</t>
        </is>
      </c>
    </row>
    <row r="57">
      <c r="A57" t="inlineStr">
        <is>
          <t>hods_aadt_pnt_2568.fid-6461857d_1a0f2643074_4cad</t>
        </is>
      </c>
      <c r="B57" t="n">
        <v>346</v>
      </c>
      <c r="C57" t="inlineStr">
        <is>
          <t>ต่างระดับรังสิต - พนมทวน</t>
        </is>
      </c>
      <c r="D57" t="n">
        <v>302</v>
      </c>
      <c r="E57" t="inlineStr">
        <is>
          <t>ลำลูกบัว - หนองกระทุ่ม</t>
        </is>
      </c>
      <c r="F57" t="inlineStr">
        <is>
          <t>78+000</t>
        </is>
      </c>
      <c r="G57" t="inlineStr">
        <is>
          <t>สถานีย่อย (C)</t>
        </is>
      </c>
      <c r="H57" t="n">
        <v>68501</v>
      </c>
      <c r="I57" t="n">
        <v>2025</v>
      </c>
      <c r="J57" t="inlineStr">
        <is>
          <t>ขท.นครปฐม</t>
        </is>
      </c>
      <c r="K57" t="inlineStr">
        <is>
          <t>นครปฐม</t>
        </is>
      </c>
      <c r="L57" t="n">
        <v>14.0093486997276</v>
      </c>
      <c r="M57" t="n">
        <v>99.9623092577487</v>
      </c>
      <c r="N57" t="inlineStr">
        <is>
          <t>POINT (14.0093486997276 99.9623092577487)</t>
        </is>
      </c>
    </row>
    <row r="58">
      <c r="A58" t="inlineStr">
        <is>
          <t>hods_aadt_pnt_2568.fid-6461857d_1a0f2643074_4caf</t>
        </is>
      </c>
      <c r="B58" t="n">
        <v>347</v>
      </c>
      <c r="C58" t="inlineStr">
        <is>
          <t>เทคโนปทุมธานี - เจ้าปลุก</t>
        </is>
      </c>
      <c r="D58" t="n">
        <v>101</v>
      </c>
      <c r="E58" t="inlineStr">
        <is>
          <t>เทคโนโลยีปทุมธานี - เชียงรากน้อย</t>
        </is>
      </c>
      <c r="F58" t="inlineStr">
        <is>
          <t>2+800</t>
        </is>
      </c>
      <c r="G58" t="inlineStr">
        <is>
          <t>สถานีย่อย (C)</t>
        </is>
      </c>
      <c r="H58" t="n">
        <v>69868</v>
      </c>
      <c r="I58" t="n">
        <v>2025</v>
      </c>
      <c r="J58" t="inlineStr">
        <is>
          <t>ขท.ปทุมธานี</t>
        </is>
      </c>
      <c r="K58" t="inlineStr">
        <is>
          <t>ปทุมธานี</t>
        </is>
      </c>
      <c r="L58" t="n">
        <v>14.0374623669037</v>
      </c>
      <c r="M58" t="n">
        <v>100.56134874121</v>
      </c>
      <c r="N58" t="inlineStr">
        <is>
          <t>POINT (14.0374623669037 100.56134874121)</t>
        </is>
      </c>
    </row>
    <row r="59">
      <c r="A59" t="inlineStr">
        <is>
          <t>hods_aadt_pnt_2568.fid-6461857d_1a0f2643074_4cbd</t>
        </is>
      </c>
      <c r="B59" t="n">
        <v>351</v>
      </c>
      <c r="C59" t="inlineStr">
        <is>
          <t>มหาวิทยาลัยเกษตรศาสตร์ - คันนายาว</t>
        </is>
      </c>
      <c r="D59" t="n">
        <v>100</v>
      </c>
      <c r="E59" t="inlineStr">
        <is>
          <t>มหาวิทยาลัยเกษตรศาสตร์ - คันนายาว</t>
        </is>
      </c>
      <c r="F59" t="inlineStr">
        <is>
          <t>4+700</t>
        </is>
      </c>
      <c r="G59" t="inlineStr">
        <is>
          <t>สถานีย่อย (C)</t>
        </is>
      </c>
      <c r="H59" t="n">
        <v>73453</v>
      </c>
      <c r="I59" t="n">
        <v>2025</v>
      </c>
      <c r="J59" t="inlineStr">
        <is>
          <t>ขท.กรุงเทพ</t>
        </is>
      </c>
      <c r="K59" t="inlineStr">
        <is>
          <t>กรุงเทพมหานคร</t>
        </is>
      </c>
      <c r="L59" t="n">
        <v>13.83107434711553</v>
      </c>
      <c r="M59" t="n">
        <v>100.6160329621203</v>
      </c>
      <c r="N59" t="inlineStr">
        <is>
          <t>POINT (13.831074347115528 100.61603296212031)</t>
        </is>
      </c>
    </row>
    <row r="60">
      <c r="A60" t="inlineStr">
        <is>
          <t>hods_aadt_pnt_2568.fid-6461857d_1a0f2643074_4cbe</t>
        </is>
      </c>
      <c r="B60" t="n">
        <v>352</v>
      </c>
      <c r="C60" t="inlineStr">
        <is>
          <t>ธัญบุรี - ลำตาเสา</t>
        </is>
      </c>
      <c r="D60" t="n">
        <v>100</v>
      </c>
      <c r="E60" t="inlineStr">
        <is>
          <t>ธัญบุรี - คลองระพีพัฒน์</t>
        </is>
      </c>
      <c r="F60" t="inlineStr">
        <is>
          <t>3+600</t>
        </is>
      </c>
      <c r="G60" t="inlineStr">
        <is>
          <t>สถานีย่อย (C)</t>
        </is>
      </c>
      <c r="H60" t="n">
        <v>21755</v>
      </c>
      <c r="I60" t="n">
        <v>2025</v>
      </c>
      <c r="J60" t="inlineStr">
        <is>
          <t>ขท.นครนายก</t>
        </is>
      </c>
      <c r="K60" t="inlineStr">
        <is>
          <t>ปทุมธานี</t>
        </is>
      </c>
      <c r="L60" t="n">
        <v>14.0422824588264</v>
      </c>
      <c r="M60" t="n">
        <v>100.749126247487</v>
      </c>
      <c r="N60" t="inlineStr">
        <is>
          <t>POINT (14.0422824588264 100.749126247487)</t>
        </is>
      </c>
    </row>
    <row r="61">
      <c r="A61" t="inlineStr">
        <is>
          <t>hods_aadt_pnt_2568.fid-6461857d_1a0f2643074_4cd2</t>
        </is>
      </c>
      <c r="B61" t="n">
        <v>370</v>
      </c>
      <c r="C61" t="inlineStr">
        <is>
          <t>ทางเข้าท่าอากาศยานสุวรรณภูมิ ด้านถนนบางนา - บางวัว</t>
        </is>
      </c>
      <c r="D61" t="n">
        <v>100</v>
      </c>
      <c r="E61" t="inlineStr">
        <is>
          <t>ทางเข้าท่าอากาศยานสุวรรณภูมิด้านถนนบางนา - บางวัว</t>
        </is>
      </c>
      <c r="F61" t="inlineStr">
        <is>
          <t>2+200</t>
        </is>
      </c>
      <c r="G61" t="inlineStr">
        <is>
          <t>สถานีย่อย (C)</t>
        </is>
      </c>
      <c r="H61" t="n">
        <v>49692</v>
      </c>
      <c r="I61" t="n">
        <v>2025</v>
      </c>
      <c r="J61" t="inlineStr">
        <is>
          <t>ขท.สมุทรปราการ</t>
        </is>
      </c>
      <c r="K61" t="inlineStr">
        <is>
          <t>สมุทรปราการ</t>
        </is>
      </c>
      <c r="L61" t="n">
        <v>13.63903258544277</v>
      </c>
      <c r="M61" t="n">
        <v>100.7423176099105</v>
      </c>
      <c r="N61" t="inlineStr">
        <is>
          <t>POINT (13.63903258544277 100.74231760991053)</t>
        </is>
      </c>
    </row>
    <row r="62">
      <c r="A62" t="inlineStr">
        <is>
          <t>hods_aadt_pnt_2568.fid-6461857d_1a0f2643074_4cd3</t>
        </is>
      </c>
      <c r="B62" t="n">
        <v>375</v>
      </c>
      <c r="C62" t="inlineStr">
        <is>
          <t>บ้านบ่อ - ลำลูกบัว</t>
        </is>
      </c>
      <c r="D62" t="n">
        <v>101</v>
      </c>
      <c r="E62" t="inlineStr">
        <is>
          <t>บ้านบ่อ - พระประโทน</t>
        </is>
      </c>
      <c r="F62" t="inlineStr">
        <is>
          <t>16+521</t>
        </is>
      </c>
      <c r="G62" t="inlineStr">
        <is>
          <t>สถานีย่อย (C)</t>
        </is>
      </c>
      <c r="H62" t="n">
        <v>42129</v>
      </c>
      <c r="I62" t="n">
        <v>2025</v>
      </c>
      <c r="J62" t="inlineStr">
        <is>
          <t>ขท.นครปฐม</t>
        </is>
      </c>
      <c r="K62" t="inlineStr">
        <is>
          <t>สมุทรสาคร</t>
        </is>
      </c>
      <c r="L62" t="n">
        <v>13.6282159448933</v>
      </c>
      <c r="M62" t="n">
        <v>100.094511211819</v>
      </c>
      <c r="N62" t="inlineStr">
        <is>
          <t>POINT (13.6282159448933 100.094511211819)</t>
        </is>
      </c>
    </row>
    <row r="63">
      <c r="A63" t="inlineStr">
        <is>
          <t>hods_aadt_pnt_2568.fid-6461857d_1a0f2643074_4cd4</t>
        </is>
      </c>
      <c r="B63" t="n">
        <v>375</v>
      </c>
      <c r="C63" t="inlineStr">
        <is>
          <t>บ้านบ่อ - ลำลูกบัว</t>
        </is>
      </c>
      <c r="D63" t="n">
        <v>102</v>
      </c>
      <c r="E63" t="inlineStr">
        <is>
          <t>นครปฐม - ดอนตูม</t>
        </is>
      </c>
      <c r="F63" t="inlineStr">
        <is>
          <t>43+935</t>
        </is>
      </c>
      <c r="G63" t="inlineStr">
        <is>
          <t>สถานีย่อย (C)</t>
        </is>
      </c>
      <c r="H63" t="n">
        <v>61581</v>
      </c>
      <c r="I63" t="n">
        <v>2025</v>
      </c>
      <c r="J63" t="inlineStr">
        <is>
          <t>ขท.นครปฐม</t>
        </is>
      </c>
      <c r="K63" t="inlineStr">
        <is>
          <t>นครปฐม</t>
        </is>
      </c>
      <c r="L63" t="n">
        <v>13.8356411135504</v>
      </c>
      <c r="M63" t="n">
        <v>100.068983242472</v>
      </c>
      <c r="N63" t="inlineStr">
        <is>
          <t>POINT (13.8356411135504 100.068983242472)</t>
        </is>
      </c>
    </row>
    <row r="64">
      <c r="A64" t="inlineStr">
        <is>
          <t>hods_aadt_pnt_2568.fid-6461857d_1a0f2643074_4cd5</t>
        </is>
      </c>
      <c r="B64" t="n">
        <v>375</v>
      </c>
      <c r="C64" t="inlineStr">
        <is>
          <t>บ้านบ่อ - ลำลูกบัว</t>
        </is>
      </c>
      <c r="D64" t="n">
        <v>103</v>
      </c>
      <c r="E64" t="inlineStr">
        <is>
          <t>ดอนตูม - ลำลูกบัว</t>
        </is>
      </c>
      <c r="F64" t="inlineStr">
        <is>
          <t>65+000</t>
        </is>
      </c>
      <c r="G64" t="inlineStr">
        <is>
          <t>สถานีย่อย (C)</t>
        </is>
      </c>
      <c r="H64" t="n">
        <v>12675</v>
      </c>
      <c r="I64" t="n">
        <v>2025</v>
      </c>
      <c r="J64" t="inlineStr">
        <is>
          <t>ขท.นครปฐม</t>
        </is>
      </c>
      <c r="K64" t="inlineStr">
        <is>
          <t>นครปฐม</t>
        </is>
      </c>
      <c r="L64" t="n">
        <v>14.0003172028094</v>
      </c>
      <c r="M64" t="n">
        <v>100.095170468537</v>
      </c>
      <c r="N64" t="inlineStr">
        <is>
          <t>POINT (14.0003172028094 100.095170468537)</t>
        </is>
      </c>
    </row>
    <row r="65">
      <c r="A65" t="inlineStr">
        <is>
          <t>hods_aadt_pnt_2568.fid-6461857d_1a0f2643074_5125</t>
        </is>
      </c>
      <c r="B65" t="n">
        <v>3040</v>
      </c>
      <c r="C65" t="inlineStr">
        <is>
          <t>กำแพงแสน - พระแท่นดงรัง</t>
        </is>
      </c>
      <c r="D65" t="n">
        <v>100</v>
      </c>
      <c r="E65" t="inlineStr">
        <is>
          <t>กำแพงแสน - จันทร์ลาด</t>
        </is>
      </c>
      <c r="F65" t="inlineStr">
        <is>
          <t>3+500</t>
        </is>
      </c>
      <c r="G65" t="inlineStr">
        <is>
          <t>สถานีย่อย (C)</t>
        </is>
      </c>
      <c r="H65" t="n">
        <v>27465</v>
      </c>
      <c r="I65" t="n">
        <v>2025</v>
      </c>
      <c r="J65" t="inlineStr">
        <is>
          <t>ขท.นครปฐม</t>
        </is>
      </c>
      <c r="K65" t="inlineStr">
        <is>
          <t>นครปฐม</t>
        </is>
      </c>
      <c r="L65" t="n">
        <v>14.04141712123988</v>
      </c>
      <c r="M65" t="n">
        <v>99.96123737679045</v>
      </c>
      <c r="N65" t="inlineStr">
        <is>
          <t>POINT (14.041417121239876 99.96123737679045)</t>
        </is>
      </c>
    </row>
    <row r="66">
      <c r="A66" t="inlineStr">
        <is>
          <t>hods_aadt_pnt_2568.fid-6461857d_1a0f2643074_5166</t>
        </is>
      </c>
      <c r="B66" t="n">
        <v>3091</v>
      </c>
      <c r="C66" t="inlineStr">
        <is>
          <t>อ้อมน้อย - สมุทรสาคร</t>
        </is>
      </c>
      <c r="D66" t="n">
        <v>100</v>
      </c>
      <c r="E66" t="inlineStr">
        <is>
          <t>อ้อมน้อย - สมุทรสาคร</t>
        </is>
      </c>
      <c r="F66" t="inlineStr">
        <is>
          <t>0+500</t>
        </is>
      </c>
      <c r="G66" t="inlineStr">
        <is>
          <t>สถานีย่อย (C)</t>
        </is>
      </c>
      <c r="H66" t="n">
        <v>37588</v>
      </c>
      <c r="I66" t="n">
        <v>2025</v>
      </c>
      <c r="J66" t="inlineStr">
        <is>
          <t>ขท.สมุทรสาคร</t>
        </is>
      </c>
      <c r="K66" t="inlineStr">
        <is>
          <t>สมุทรสาคร</t>
        </is>
      </c>
      <c r="L66" t="n">
        <v>13.70228057560406</v>
      </c>
      <c r="M66" t="n">
        <v>100.2996145657977</v>
      </c>
      <c r="N66" t="inlineStr">
        <is>
          <t>POINT (13.702280575604062 100.29961456579774)</t>
        </is>
      </c>
    </row>
    <row r="67">
      <c r="A67" t="inlineStr">
        <is>
          <t>hods_aadt_pnt_2568.fid-6461857d_1a0f2643074_5167</t>
        </is>
      </c>
      <c r="B67" t="n">
        <v>3091</v>
      </c>
      <c r="C67" t="inlineStr">
        <is>
          <t>อ้อมน้อย - สมุทรสาคร</t>
        </is>
      </c>
      <c r="D67" t="n">
        <v>100</v>
      </c>
      <c r="E67" t="inlineStr">
        <is>
          <t>อ้อมน้อย - สมุทรสาคร</t>
        </is>
      </c>
      <c r="F67" t="inlineStr">
        <is>
          <t>13+000</t>
        </is>
      </c>
      <c r="G67" t="inlineStr">
        <is>
          <t>สถานีย่อย (C)</t>
        </is>
      </c>
      <c r="H67" t="n">
        <v>37430</v>
      </c>
      <c r="I67" t="n">
        <v>2025</v>
      </c>
      <c r="J67" t="inlineStr">
        <is>
          <t>ขท.สมุทรสาคร</t>
        </is>
      </c>
      <c r="K67" t="inlineStr">
        <is>
          <t>สมุทรสาคร</t>
        </is>
      </c>
      <c r="L67" t="n">
        <v>13.61679435543527</v>
      </c>
      <c r="M67" t="n">
        <v>100.2899750875467</v>
      </c>
      <c r="N67" t="inlineStr">
        <is>
          <t>POINT (13.616794355435273 100.28997508754667)</t>
        </is>
      </c>
    </row>
    <row r="68">
      <c r="A68" t="inlineStr">
        <is>
          <t>hods_aadt_pnt_2568.fid-6461857d_1a0f2643074_516a</t>
        </is>
      </c>
      <c r="B68" t="n">
        <v>3094</v>
      </c>
      <c r="C68" t="inlineStr">
        <is>
          <t>ทางเข้านครชัยศรี</t>
        </is>
      </c>
      <c r="D68" t="n">
        <v>100</v>
      </c>
      <c r="E68" t="inlineStr">
        <is>
          <t>ทางเข้านครชัยศรี</t>
        </is>
      </c>
      <c r="F68" t="inlineStr">
        <is>
          <t>0+500</t>
        </is>
      </c>
      <c r="G68" t="inlineStr">
        <is>
          <t>สถานีย่อย (C)</t>
        </is>
      </c>
      <c r="H68" t="n">
        <v>48109</v>
      </c>
      <c r="I68" t="n">
        <v>2025</v>
      </c>
      <c r="J68" t="inlineStr">
        <is>
          <t>ขท.นครปฐม</t>
        </is>
      </c>
      <c r="K68" t="inlineStr">
        <is>
          <t>นครปฐม</t>
        </is>
      </c>
      <c r="L68" t="n">
        <v>13.7964253075009</v>
      </c>
      <c r="M68" t="n">
        <v>100.173133845602</v>
      </c>
      <c r="N68" t="inlineStr">
        <is>
          <t>POINT (13.7964253075009 100.173133845602)</t>
        </is>
      </c>
    </row>
    <row r="69">
      <c r="A69" t="inlineStr">
        <is>
          <t>hods_aadt_pnt_2568.fid-6461857d_1a0f2643074_516b</t>
        </is>
      </c>
      <c r="B69" t="n">
        <v>3111</v>
      </c>
      <c r="C69" t="inlineStr">
        <is>
          <t>ปทุมธานี - เสนา</t>
        </is>
      </c>
      <c r="D69" t="n">
        <v>100</v>
      </c>
      <c r="E69" t="inlineStr">
        <is>
          <t>ปทุมธานี - ท้ายเกาะ</t>
        </is>
      </c>
      <c r="F69" t="inlineStr">
        <is>
          <t>0+200</t>
        </is>
      </c>
      <c r="G69" t="inlineStr">
        <is>
          <t>สถานีย่อย (C)</t>
        </is>
      </c>
      <c r="H69" t="n">
        <v>48547</v>
      </c>
      <c r="I69" t="n">
        <v>2025</v>
      </c>
      <c r="J69" t="inlineStr">
        <is>
          <t>ขท.ปทุมธานี</t>
        </is>
      </c>
      <c r="K69" t="inlineStr">
        <is>
          <t>ปทุมธานี</t>
        </is>
      </c>
      <c r="L69" t="n">
        <v>14.0219637951907</v>
      </c>
      <c r="M69" t="n">
        <v>100.5254893290822</v>
      </c>
      <c r="N69" t="inlineStr">
        <is>
          <t>POINT (14.0219637951907 100.52548932908218)</t>
        </is>
      </c>
    </row>
    <row r="70">
      <c r="A70" t="inlineStr">
        <is>
          <t>hods_aadt_pnt_2568.fid-6461857d_1a0f2643074_516c</t>
        </is>
      </c>
      <c r="B70" t="n">
        <v>3111</v>
      </c>
      <c r="C70" t="inlineStr">
        <is>
          <t>ปทุมธานี - เสนา</t>
        </is>
      </c>
      <c r="D70" t="n">
        <v>100</v>
      </c>
      <c r="E70" t="inlineStr">
        <is>
          <t>ปทุมธานี - ท้ายเกาะ</t>
        </is>
      </c>
      <c r="F70" t="inlineStr">
        <is>
          <t>6+369</t>
        </is>
      </c>
      <c r="G70" t="inlineStr">
        <is>
          <t>สถานีย่อย (C)</t>
        </is>
      </c>
      <c r="H70" t="n">
        <v>50460</v>
      </c>
      <c r="I70" t="n">
        <v>2025</v>
      </c>
      <c r="J70" t="inlineStr">
        <is>
          <t>ขท.ปทุมธานี</t>
        </is>
      </c>
      <c r="K70" t="inlineStr">
        <is>
          <t>ปทุมธานี</t>
        </is>
      </c>
      <c r="L70" t="n">
        <v>14.07483839837567</v>
      </c>
      <c r="M70" t="n">
        <v>100.5210072053277</v>
      </c>
      <c r="N70" t="inlineStr">
        <is>
          <t>POINT (14.074838398375672 100.52100720532775)</t>
        </is>
      </c>
    </row>
    <row r="71">
      <c r="A71" t="inlineStr">
        <is>
          <t>hods_aadt_pnt_2568.fid-6461857d_1a0f2643074_516f</t>
        </is>
      </c>
      <c r="B71" t="n">
        <v>3113</v>
      </c>
      <c r="C71" t="inlineStr">
        <is>
          <t>สำโรง - สะพานภูมิพล</t>
        </is>
      </c>
      <c r="D71" t="n">
        <v>100</v>
      </c>
      <c r="E71" t="inlineStr">
        <is>
          <t>สำโรง - สะพานภูมิพล</t>
        </is>
      </c>
      <c r="F71" t="inlineStr">
        <is>
          <t>0+500</t>
        </is>
      </c>
      <c r="G71" t="inlineStr">
        <is>
          <t>สถานีย่อย (C)</t>
        </is>
      </c>
      <c r="H71" t="n">
        <v>25519</v>
      </c>
      <c r="I71" t="n">
        <v>2025</v>
      </c>
      <c r="J71" t="inlineStr">
        <is>
          <t>ขท.สมุทรปราการ</t>
        </is>
      </c>
      <c r="K71" t="inlineStr">
        <is>
          <t>สมุทรปราการ</t>
        </is>
      </c>
      <c r="L71" t="n">
        <v>13.64378974516409</v>
      </c>
      <c r="M71" t="n">
        <v>100.5897390825599</v>
      </c>
      <c r="N71" t="inlineStr">
        <is>
          <t>POINT (13.643789745164085 100.58973908255987)</t>
        </is>
      </c>
    </row>
    <row r="72">
      <c r="A72" t="inlineStr">
        <is>
          <t>hods_aadt_pnt_2568.fid-6461857d_1a0f2643074_5170</t>
        </is>
      </c>
      <c r="B72" t="n">
        <v>3117</v>
      </c>
      <c r="C72" t="inlineStr">
        <is>
          <t>คลองด่าน - บางบ่อ</t>
        </is>
      </c>
      <c r="D72" t="n">
        <v>100</v>
      </c>
      <c r="E72" t="inlineStr">
        <is>
          <t>คลองด่าน - บางบ่อ</t>
        </is>
      </c>
      <c r="F72" t="inlineStr">
        <is>
          <t>0+500</t>
        </is>
      </c>
      <c r="G72" t="inlineStr">
        <is>
          <t>สถานีย่อย (C)</t>
        </is>
      </c>
      <c r="H72" t="n">
        <v>12296</v>
      </c>
      <c r="I72" t="n">
        <v>2025</v>
      </c>
      <c r="J72" t="inlineStr">
        <is>
          <t>ขท.สมุทรปราการ</t>
        </is>
      </c>
      <c r="K72" t="inlineStr">
        <is>
          <t>สมุทรปราการ</t>
        </is>
      </c>
      <c r="L72" t="n">
        <v>13.50840839712562</v>
      </c>
      <c r="M72" t="n">
        <v>100.8332475004081</v>
      </c>
      <c r="N72" t="inlineStr">
        <is>
          <t>POINT (13.508408397125619 100.83324750040815)</t>
        </is>
      </c>
    </row>
    <row r="73">
      <c r="A73" t="inlineStr">
        <is>
          <t>hods_aadt_pnt_2568.fid-6461857d_1a0f2643074_5171</t>
        </is>
      </c>
      <c r="B73" t="n">
        <v>3119</v>
      </c>
      <c r="C73" t="inlineStr">
        <is>
          <t>มีนบุรี - ลาดกระบัง</t>
        </is>
      </c>
      <c r="D73" t="n">
        <v>101</v>
      </c>
      <c r="E73" t="inlineStr">
        <is>
          <t>มีนบุรี - แยกเคหะร่มเกล้า</t>
        </is>
      </c>
      <c r="F73" t="inlineStr">
        <is>
          <t>1+500</t>
        </is>
      </c>
      <c r="G73" t="inlineStr">
        <is>
          <t>สถานีย่อย (C)</t>
        </is>
      </c>
      <c r="H73" t="n">
        <v>50150</v>
      </c>
      <c r="I73" t="n">
        <v>2025</v>
      </c>
      <c r="J73" t="inlineStr">
        <is>
          <t>ขท.กรุงเทพ</t>
        </is>
      </c>
      <c r="K73" t="inlineStr">
        <is>
          <t>กรุงเทพมหานคร</t>
        </is>
      </c>
      <c r="L73" t="n">
        <v>13.80696274334793</v>
      </c>
      <c r="M73" t="n">
        <v>100.7397517681014</v>
      </c>
      <c r="N73" t="inlineStr">
        <is>
          <t>POINT (13.806962743347926 100.73975176810137)</t>
        </is>
      </c>
    </row>
    <row r="74">
      <c r="A74" t="inlineStr">
        <is>
          <t>hods_aadt_pnt_2568.fid-6461857d_1a0f2643074_51d1</t>
        </is>
      </c>
      <c r="B74" t="n">
        <v>3214</v>
      </c>
      <c r="C74" t="inlineStr">
        <is>
          <t>บ้านพร้าว - คลองห้า</t>
        </is>
      </c>
      <c r="D74" t="n">
        <v>100</v>
      </c>
      <c r="E74" t="inlineStr">
        <is>
          <t>บ้านพร้าว - คลองห้า</t>
        </is>
      </c>
      <c r="F74" t="inlineStr">
        <is>
          <t>0+650</t>
        </is>
      </c>
      <c r="G74" t="inlineStr">
        <is>
          <t>สถานีย่อย (C)</t>
        </is>
      </c>
      <c r="H74" t="n">
        <v>72860</v>
      </c>
      <c r="I74" t="n">
        <v>2025</v>
      </c>
      <c r="J74" t="inlineStr">
        <is>
          <t>ขท.ปทุมธานี</t>
        </is>
      </c>
      <c r="K74" t="inlineStr">
        <is>
          <t>ปทุมธานี</t>
        </is>
      </c>
      <c r="L74" t="n">
        <v>14.0660421191619</v>
      </c>
      <c r="M74" t="n">
        <v>100.577259522674</v>
      </c>
      <c r="N74" t="inlineStr">
        <is>
          <t>POINT (14.0660421191619 100.577259522674)</t>
        </is>
      </c>
    </row>
    <row r="75">
      <c r="A75" t="inlineStr">
        <is>
          <t>hods_aadt_pnt_2568.fid-6461857d_1a0f2643074_51d2</t>
        </is>
      </c>
      <c r="B75" t="n">
        <v>3214</v>
      </c>
      <c r="C75" t="inlineStr">
        <is>
          <t>บ้านพร้าว - คลองห้า</t>
        </is>
      </c>
      <c r="D75" t="n">
        <v>100</v>
      </c>
      <c r="E75" t="inlineStr">
        <is>
          <t>บ้านพร้าว - คลองห้า</t>
        </is>
      </c>
      <c r="F75" t="inlineStr">
        <is>
          <t>0+650</t>
        </is>
      </c>
      <c r="G75" t="inlineStr">
        <is>
          <t>สถานีย่อย (C)</t>
        </is>
      </c>
      <c r="H75" t="n">
        <v>72860</v>
      </c>
      <c r="I75" t="n">
        <v>2025</v>
      </c>
      <c r="J75" t="inlineStr">
        <is>
          <t>ขท.ปทุมธานี</t>
        </is>
      </c>
      <c r="K75" t="inlineStr">
        <is>
          <t>ปทุมธานี</t>
        </is>
      </c>
      <c r="L75" t="n">
        <v>14.0660421191619</v>
      </c>
      <c r="M75" t="n">
        <v>100.577259522674</v>
      </c>
      <c r="N75" t="inlineStr">
        <is>
          <t>POINT (14.0660421191619 100.577259522674)</t>
        </is>
      </c>
    </row>
    <row r="76">
      <c r="A76" t="inlineStr">
        <is>
          <t>hods_aadt_pnt_2568.fid-6461857d_1a0f2643074_51d3</t>
        </is>
      </c>
      <c r="B76" t="n">
        <v>3214</v>
      </c>
      <c r="C76" t="inlineStr">
        <is>
          <t>บ้านพร้าว - คลองห้า</t>
        </is>
      </c>
      <c r="D76" t="n">
        <v>100</v>
      </c>
      <c r="E76" t="inlineStr">
        <is>
          <t>บ้านพร้าว - คลองห้า</t>
        </is>
      </c>
      <c r="F76" t="inlineStr">
        <is>
          <t>8+300</t>
        </is>
      </c>
      <c r="G76" t="inlineStr">
        <is>
          <t>สถานีย่อย (C)</t>
        </is>
      </c>
      <c r="H76" t="n">
        <v>65386</v>
      </c>
      <c r="I76" t="n">
        <v>2025</v>
      </c>
      <c r="J76" t="inlineStr">
        <is>
          <t>ขท.ปทุมธานี</t>
        </is>
      </c>
      <c r="K76" t="inlineStr">
        <is>
          <t>ปทุมธานี</t>
        </is>
      </c>
      <c r="L76" t="n">
        <v>14.0655811881003</v>
      </c>
      <c r="M76" t="n">
        <v>100.648690583467</v>
      </c>
      <c r="N76" t="inlineStr">
        <is>
          <t>POINT (14.0655811881003 100.648690583467)</t>
        </is>
      </c>
    </row>
    <row r="77">
      <c r="A77" t="inlineStr">
        <is>
          <t>hods_aadt_pnt_2568.fid-6461857d_1a0f2643074_51d4</t>
        </is>
      </c>
      <c r="B77" t="n">
        <v>3214</v>
      </c>
      <c r="C77" t="inlineStr">
        <is>
          <t>บ้านพร้าว - คลองห้า</t>
        </is>
      </c>
      <c r="D77" t="n">
        <v>100</v>
      </c>
      <c r="E77" t="inlineStr">
        <is>
          <t>บ้านพร้าว - คลองห้า</t>
        </is>
      </c>
      <c r="F77" t="inlineStr">
        <is>
          <t>8+300</t>
        </is>
      </c>
      <c r="G77" t="inlineStr">
        <is>
          <t>สถานีย่อย (C)</t>
        </is>
      </c>
      <c r="H77" t="n">
        <v>65386</v>
      </c>
      <c r="I77" t="n">
        <v>2025</v>
      </c>
      <c r="J77" t="inlineStr">
        <is>
          <t>ขท.ปทุมธานี</t>
        </is>
      </c>
      <c r="K77" t="inlineStr">
        <is>
          <t>ปทุมธานี</t>
        </is>
      </c>
      <c r="L77" t="n">
        <v>14.0655811881003</v>
      </c>
      <c r="M77" t="n">
        <v>100.648690583467</v>
      </c>
      <c r="N77" t="inlineStr">
        <is>
          <t>POINT (14.0655811881003 100.648690583467)</t>
        </is>
      </c>
    </row>
    <row r="78">
      <c r="A78" t="inlineStr">
        <is>
          <t>hods_aadt_pnt_2568.fid-6461857d_1a0f2643074_51d5</t>
        </is>
      </c>
      <c r="B78" t="n">
        <v>3215</v>
      </c>
      <c r="C78" t="inlineStr">
        <is>
          <t>คลองวัดแดง - ไทรน้อย</t>
        </is>
      </c>
      <c r="D78" t="n">
        <v>102</v>
      </c>
      <c r="E78" t="inlineStr">
        <is>
          <t>บางบัวทอง - ไทรน้อย</t>
        </is>
      </c>
      <c r="F78" t="inlineStr">
        <is>
          <t>14+705</t>
        </is>
      </c>
      <c r="G78" t="inlineStr">
        <is>
          <t>สถานีย่อย (C)</t>
        </is>
      </c>
      <c r="H78" t="n">
        <v>55613</v>
      </c>
      <c r="I78" t="n">
        <v>2025</v>
      </c>
      <c r="J78" t="inlineStr">
        <is>
          <t>ขท.นนทบุรี</t>
        </is>
      </c>
      <c r="K78" t="inlineStr">
        <is>
          <t>นนทบุรี</t>
        </is>
      </c>
      <c r="L78" t="n">
        <v>13.92834814002534</v>
      </c>
      <c r="M78" t="n">
        <v>100.4081302223147</v>
      </c>
      <c r="N78" t="inlineStr">
        <is>
          <t>POINT (13.928348140025339 100.40813022231474)</t>
        </is>
      </c>
    </row>
    <row r="79">
      <c r="A79" t="inlineStr">
        <is>
          <t>hods_aadt_pnt_2568.fid-6461857d_1a0f2643074_51e6</t>
        </is>
      </c>
      <c r="B79" t="n">
        <v>3231</v>
      </c>
      <c r="C79" t="inlineStr">
        <is>
          <t>เด่นมะขาม - บางเลน</t>
        </is>
      </c>
      <c r="D79" t="n">
        <v>100</v>
      </c>
      <c r="E79" t="inlineStr">
        <is>
          <t>เด่นมะขาม - บางเลน</t>
        </is>
      </c>
      <c r="F79" t="inlineStr">
        <is>
          <t>1+975</t>
        </is>
      </c>
      <c r="G79" t="inlineStr">
        <is>
          <t>สถานีย่อย (C)</t>
        </is>
      </c>
      <c r="H79" t="n">
        <v>17332</v>
      </c>
      <c r="I79" t="n">
        <v>2025</v>
      </c>
      <c r="J79" t="inlineStr">
        <is>
          <t>ขท.นครปฐม</t>
        </is>
      </c>
      <c r="K79" t="inlineStr">
        <is>
          <t>นครปฐม</t>
        </is>
      </c>
      <c r="L79" t="n">
        <v>14.1329103830668</v>
      </c>
      <c r="M79" t="n">
        <v>100.003241875437</v>
      </c>
      <c r="N79" t="inlineStr">
        <is>
          <t>POINT (14.1329103830668 100.003241875437)</t>
        </is>
      </c>
    </row>
    <row r="80">
      <c r="A80" t="inlineStr">
        <is>
          <t>hods_aadt_pnt_2568.fid-6461857d_1a0f2643074_51e7</t>
        </is>
      </c>
      <c r="B80" t="n">
        <v>3232</v>
      </c>
      <c r="C80" t="inlineStr">
        <is>
          <t>หนองพงนก - ไผ่เจดีย์</t>
        </is>
      </c>
      <c r="D80" t="n">
        <v>100</v>
      </c>
      <c r="E80" t="inlineStr">
        <is>
          <t>หนองพงนก - ไผ่เจดีย์</t>
        </is>
      </c>
      <c r="F80" t="inlineStr">
        <is>
          <t>5+200</t>
        </is>
      </c>
      <c r="G80" t="inlineStr">
        <is>
          <t>สถานีย่อย (C)</t>
        </is>
      </c>
      <c r="H80" t="n">
        <v>17402</v>
      </c>
      <c r="I80" t="n">
        <v>2025</v>
      </c>
      <c r="J80" t="inlineStr">
        <is>
          <t>ขท.นครปฐม</t>
        </is>
      </c>
      <c r="K80" t="inlineStr">
        <is>
          <t>นครปฐม</t>
        </is>
      </c>
      <c r="L80" t="n">
        <v>14.08454672798277</v>
      </c>
      <c r="M80" t="n">
        <v>100.0338422765655</v>
      </c>
      <c r="N80" t="inlineStr">
        <is>
          <t>POINT (14.08454672798277 100.03384227656548)</t>
        </is>
      </c>
    </row>
    <row r="81">
      <c r="A81" t="inlineStr">
        <is>
          <t>hods_aadt_pnt_2568.fid-6461857d_1a0f2643074_51e8</t>
        </is>
      </c>
      <c r="B81" t="n">
        <v>3233</v>
      </c>
      <c r="C81" t="inlineStr">
        <is>
          <t>นครชัยศรี - ดอนตูม</t>
        </is>
      </c>
      <c r="D81" t="n">
        <v>100</v>
      </c>
      <c r="E81" t="inlineStr">
        <is>
          <t>นครชัยศรี - ดอนตูม</t>
        </is>
      </c>
      <c r="F81" t="inlineStr">
        <is>
          <t>1+200</t>
        </is>
      </c>
      <c r="G81" t="inlineStr">
        <is>
          <t>สถานีย่อย (C)</t>
        </is>
      </c>
      <c r="H81" t="n">
        <v>38045</v>
      </c>
      <c r="I81" t="n">
        <v>2025</v>
      </c>
      <c r="J81" t="inlineStr">
        <is>
          <t>ขท.นครปฐม</t>
        </is>
      </c>
      <c r="K81" t="inlineStr">
        <is>
          <t>นครปฐม</t>
        </is>
      </c>
      <c r="L81" t="n">
        <v>13.80796002365271</v>
      </c>
      <c r="M81" t="n">
        <v>100.1813816424403</v>
      </c>
      <c r="N81" t="inlineStr">
        <is>
          <t>POINT (13.807960023652706 100.1813816424403)</t>
        </is>
      </c>
    </row>
    <row r="82">
      <c r="A82" t="inlineStr">
        <is>
          <t>hods_aadt_pnt_2568.fid-6461857d_1a0f2643074_51e9</t>
        </is>
      </c>
      <c r="B82" t="n">
        <v>3234</v>
      </c>
      <c r="C82" t="inlineStr">
        <is>
          <t>ศีรษะทอง - วัดปรีดาราม</t>
        </is>
      </c>
      <c r="D82" t="n">
        <v>100</v>
      </c>
      <c r="E82" t="inlineStr">
        <is>
          <t>ศีรษะทอง - วัดปรีดาราม</t>
        </is>
      </c>
      <c r="F82" t="inlineStr">
        <is>
          <t>0+500</t>
        </is>
      </c>
      <c r="G82" t="inlineStr">
        <is>
          <t>สถานีย่อย (C)</t>
        </is>
      </c>
      <c r="H82" t="n">
        <v>34182</v>
      </c>
      <c r="I82" t="n">
        <v>2025</v>
      </c>
      <c r="J82" t="inlineStr">
        <is>
          <t>ขท.นครปฐม</t>
        </is>
      </c>
      <c r="K82" t="inlineStr">
        <is>
          <t>นครปฐม</t>
        </is>
      </c>
      <c r="L82" t="n">
        <v>13.80537697912206</v>
      </c>
      <c r="M82" t="n">
        <v>100.1321578765487</v>
      </c>
      <c r="N82" t="inlineStr">
        <is>
          <t>POINT (13.805376979122057 100.13215787654875)</t>
        </is>
      </c>
    </row>
    <row r="83">
      <c r="A83" t="inlineStr">
        <is>
          <t>hods_aadt_pnt_2568.fid-6461857d_1a0f2643074_51ea</t>
        </is>
      </c>
      <c r="B83" t="n">
        <v>3235</v>
      </c>
      <c r="C83" t="inlineStr">
        <is>
          <t>นครชัยศรี - เลียบแม่น้ำนครชัยศรี</t>
        </is>
      </c>
      <c r="D83" t="n">
        <v>100</v>
      </c>
      <c r="E83" t="inlineStr">
        <is>
          <t>นครชัยศรี - เลียบแม่น้ำนครชัยศรี</t>
        </is>
      </c>
      <c r="F83" t="inlineStr">
        <is>
          <t>0+500</t>
        </is>
      </c>
      <c r="G83" t="inlineStr">
        <is>
          <t>สถานีย่อย (C)</t>
        </is>
      </c>
      <c r="H83" t="n">
        <v>24405</v>
      </c>
      <c r="I83" t="n">
        <v>2025</v>
      </c>
      <c r="J83" t="inlineStr">
        <is>
          <t>ขท.สมุทรสาคร</t>
        </is>
      </c>
      <c r="K83" t="inlineStr">
        <is>
          <t>นครปฐม</t>
        </is>
      </c>
      <c r="L83" t="n">
        <v>13.7985237629196</v>
      </c>
      <c r="M83" t="n">
        <v>100.188127633035</v>
      </c>
      <c r="N83" t="inlineStr">
        <is>
          <t>POINT (13.7985237629196 100.188127633035)</t>
        </is>
      </c>
    </row>
    <row r="84">
      <c r="A84" t="inlineStr">
        <is>
          <t>hods_aadt_pnt_2568.fid-6461857d_1a0f2643074_51ef</t>
        </is>
      </c>
      <c r="B84" t="n">
        <v>3242</v>
      </c>
      <c r="C84" t="inlineStr">
        <is>
          <t>สมุทรสาคร - โรงพยาบาลบางปะกอก 8</t>
        </is>
      </c>
      <c r="D84" t="n">
        <v>100</v>
      </c>
      <c r="E84" t="inlineStr">
        <is>
          <t>สมุทรสาคร - บางบอน</t>
        </is>
      </c>
      <c r="F84" t="inlineStr">
        <is>
          <t>4+130</t>
        </is>
      </c>
      <c r="G84" t="inlineStr">
        <is>
          <t>สถานีย่อย (C)</t>
        </is>
      </c>
      <c r="H84" t="n">
        <v>49217</v>
      </c>
      <c r="I84" t="n">
        <v>2025</v>
      </c>
      <c r="J84" t="inlineStr">
        <is>
          <t>ขท.สมุทรสาคร</t>
        </is>
      </c>
      <c r="K84" t="inlineStr">
        <is>
          <t>สมุทรสาคร</t>
        </is>
      </c>
      <c r="L84" t="n">
        <v>13.57167693074848</v>
      </c>
      <c r="M84" t="n">
        <v>100.3042599510251</v>
      </c>
      <c r="N84" t="inlineStr">
        <is>
          <t>POINT (13.571676930748477 100.30425995102514)</t>
        </is>
      </c>
    </row>
    <row r="85">
      <c r="A85" t="inlineStr">
        <is>
          <t>hods_aadt_pnt_2568.fid-6461857d_1a0f2643074_51f0</t>
        </is>
      </c>
      <c r="B85" t="n">
        <v>3242</v>
      </c>
      <c r="C85" t="inlineStr">
        <is>
          <t>สมุทรสาคร - โรงพยาบาลบางปะกอก 8</t>
        </is>
      </c>
      <c r="D85" t="n">
        <v>200</v>
      </c>
      <c r="E85" t="inlineStr">
        <is>
          <t>บางบอน - โรงพยาบาลบางปะกอก8</t>
        </is>
      </c>
      <c r="F85" t="inlineStr">
        <is>
          <t>15+600</t>
        </is>
      </c>
      <c r="G85" t="inlineStr">
        <is>
          <t>สถานีย่อย (C)</t>
        </is>
      </c>
      <c r="H85" t="n">
        <v>81423</v>
      </c>
      <c r="I85" t="n">
        <v>2025</v>
      </c>
      <c r="J85" t="inlineStr">
        <is>
          <t>ขท.ธนบุรี</t>
        </is>
      </c>
      <c r="K85" t="inlineStr">
        <is>
          <t>กรุงเทพมหานคร</t>
        </is>
      </c>
      <c r="L85" t="n">
        <v>13.6441505721732</v>
      </c>
      <c r="M85" t="n">
        <v>100.379042511944</v>
      </c>
      <c r="N85" t="inlineStr">
        <is>
          <t>POINT (13.6441505721732 100.379042511944)</t>
        </is>
      </c>
    </row>
    <row r="86">
      <c r="A86" t="inlineStr">
        <is>
          <t>hods_aadt_pnt_2568.fid-6461857d_1a0f2643074_5203</t>
        </is>
      </c>
      <c r="B86" t="n">
        <v>3256</v>
      </c>
      <c r="C86" t="inlineStr">
        <is>
          <t>บางปู - กิ่งแก้ว</t>
        </is>
      </c>
      <c r="D86" t="n">
        <v>102</v>
      </c>
      <c r="E86" t="inlineStr">
        <is>
          <t>บางพลี - กิ่งแก้ว</t>
        </is>
      </c>
      <c r="F86" t="inlineStr">
        <is>
          <t>19+857</t>
        </is>
      </c>
      <c r="G86" t="inlineStr">
        <is>
          <t>สถานีย่อย (C)</t>
        </is>
      </c>
      <c r="H86" t="n">
        <v>69133</v>
      </c>
      <c r="I86" t="n">
        <v>2025</v>
      </c>
      <c r="J86" t="inlineStr">
        <is>
          <t>ขท.สมุทรปราการ</t>
        </is>
      </c>
      <c r="K86" t="inlineStr">
        <is>
          <t>สมุทรปราการ</t>
        </is>
      </c>
      <c r="L86" t="n">
        <v>13.6992520403468</v>
      </c>
      <c r="M86" t="n">
        <v>100.732780589378</v>
      </c>
      <c r="N86" t="inlineStr">
        <is>
          <t>POINT (13.699252040346801 100.732780589378)</t>
        </is>
      </c>
    </row>
    <row r="87">
      <c r="A87" t="inlineStr">
        <is>
          <t>hods_aadt_pnt_2568.fid-6461857d_1a0f2643074_5207</t>
        </is>
      </c>
      <c r="B87" t="n">
        <v>3261</v>
      </c>
      <c r="C87" t="inlineStr">
        <is>
          <t>คลอง 10 - ปากคลอง 13</t>
        </is>
      </c>
      <c r="D87" t="n">
        <v>100</v>
      </c>
      <c r="E87" t="inlineStr">
        <is>
          <t>คลอง10 - หนองเสือ</t>
        </is>
      </c>
      <c r="F87" t="inlineStr">
        <is>
          <t>10+000</t>
        </is>
      </c>
      <c r="G87" t="inlineStr">
        <is>
          <t>สถานีย่อย (C)</t>
        </is>
      </c>
      <c r="H87" t="n">
        <v>7172</v>
      </c>
      <c r="I87" t="n">
        <v>2025</v>
      </c>
      <c r="J87" t="inlineStr">
        <is>
          <t>ขท.นครนายก</t>
        </is>
      </c>
      <c r="K87" t="inlineStr">
        <is>
          <t>ปทุมธานี</t>
        </is>
      </c>
      <c r="L87" t="n">
        <v>14.14335953772732</v>
      </c>
      <c r="M87" t="n">
        <v>100.823864210812</v>
      </c>
      <c r="N87" t="inlineStr">
        <is>
          <t>POINT (14.143359537727319 100.82386421081196)</t>
        </is>
      </c>
    </row>
    <row r="88">
      <c r="A88" t="inlineStr">
        <is>
          <t>hods_aadt_pnt_2568.fid-6461857d_1a0f2643074_5210</t>
        </is>
      </c>
      <c r="B88" t="n">
        <v>3268</v>
      </c>
      <c r="C88" t="inlineStr">
        <is>
          <t>สำโรง - บางบ่อ</t>
        </is>
      </c>
      <c r="D88" t="n">
        <v>101</v>
      </c>
      <c r="E88" t="inlineStr">
        <is>
          <t>สำโรง - บางเมือง</t>
        </is>
      </c>
      <c r="F88" t="inlineStr">
        <is>
          <t>2+000</t>
        </is>
      </c>
      <c r="G88" t="inlineStr">
        <is>
          <t>สถานีย่อย (C)</t>
        </is>
      </c>
      <c r="H88" t="n">
        <v>22225</v>
      </c>
      <c r="I88" t="n">
        <v>2025</v>
      </c>
      <c r="J88" t="inlineStr">
        <is>
          <t>ขท.สมุทรปราการ</t>
        </is>
      </c>
      <c r="K88" t="inlineStr">
        <is>
          <t>สมุทรปราการ</t>
        </is>
      </c>
      <c r="L88" t="n">
        <v>13.6361140089749</v>
      </c>
      <c r="M88" t="n">
        <v>100.611105512014</v>
      </c>
      <c r="N88" t="inlineStr">
        <is>
          <t>POINT (13.6361140089749 100.611105512014)</t>
        </is>
      </c>
    </row>
    <row r="89">
      <c r="A89" t="inlineStr">
        <is>
          <t>hods_aadt_pnt_2568.fid-6461857d_1a0f2643074_5211</t>
        </is>
      </c>
      <c r="B89" t="n">
        <v>3268</v>
      </c>
      <c r="C89" t="inlineStr">
        <is>
          <t>สำโรง - บางบ่อ</t>
        </is>
      </c>
      <c r="D89" t="n">
        <v>103</v>
      </c>
      <c r="E89" t="inlineStr">
        <is>
          <t>บางพลี - บางบ่อ</t>
        </is>
      </c>
      <c r="F89" t="inlineStr">
        <is>
          <t>13+000</t>
        </is>
      </c>
      <c r="G89" t="inlineStr">
        <is>
          <t>สถานีย่อย (C)</t>
        </is>
      </c>
      <c r="H89" t="n">
        <v>51612</v>
      </c>
      <c r="I89" t="n">
        <v>2025</v>
      </c>
      <c r="J89" t="inlineStr">
        <is>
          <t>ขท.สมุทรปราการ</t>
        </is>
      </c>
      <c r="K89" t="inlineStr">
        <is>
          <t>สมุทรปราการ</t>
        </is>
      </c>
      <c r="L89" t="n">
        <v>13.6024582860206</v>
      </c>
      <c r="M89" t="n">
        <v>100.706542006421</v>
      </c>
      <c r="N89" t="inlineStr">
        <is>
          <t>POINT (13.6024582860206 100.706542006421)</t>
        </is>
      </c>
    </row>
    <row r="90">
      <c r="A90" t="inlineStr">
        <is>
          <t>hods_aadt_pnt_2568.fid-6461857d_1a0f2643074_5217</t>
        </is>
      </c>
      <c r="B90" t="n">
        <v>3274</v>
      </c>
      <c r="C90" t="inlineStr">
        <is>
          <t>หลักสาม - บางโทรัด</t>
        </is>
      </c>
      <c r="D90" t="n">
        <v>100</v>
      </c>
      <c r="E90" t="inlineStr">
        <is>
          <t>หลักสาม - บางโทรัด</t>
        </is>
      </c>
      <c r="F90" t="inlineStr">
        <is>
          <t>5+600</t>
        </is>
      </c>
      <c r="G90" t="inlineStr">
        <is>
          <t>สถานีย่อย (C)</t>
        </is>
      </c>
      <c r="H90" t="n">
        <v>24040</v>
      </c>
      <c r="I90" t="n">
        <v>2025</v>
      </c>
      <c r="J90" t="inlineStr">
        <is>
          <t>ขท.นครปฐม</t>
        </is>
      </c>
      <c r="K90" t="inlineStr">
        <is>
          <t>สมุทรสาคร</t>
        </is>
      </c>
      <c r="L90" t="n">
        <v>13.5166136625741</v>
      </c>
      <c r="M90" t="n">
        <v>100.143937821298</v>
      </c>
      <c r="N90" t="inlineStr">
        <is>
          <t>POINT (13.5166136625741 100.143937821298)</t>
        </is>
      </c>
    </row>
    <row r="91">
      <c r="A91" t="inlineStr">
        <is>
          <t>hods_aadt_pnt_2568.fid-6461857d_1a0f2643074_5228</t>
        </is>
      </c>
      <c r="B91" t="n">
        <v>3296</v>
      </c>
      <c r="C91" t="inlineStr">
        <is>
          <t>ดอนตูม - บางเลน</t>
        </is>
      </c>
      <c r="D91" t="n">
        <v>100</v>
      </c>
      <c r="E91" t="inlineStr">
        <is>
          <t>ดอนตูม - บางเลน</t>
        </is>
      </c>
      <c r="F91" t="inlineStr">
        <is>
          <t>1+500</t>
        </is>
      </c>
      <c r="G91" t="inlineStr">
        <is>
          <t>สถานีย่อย (C)</t>
        </is>
      </c>
      <c r="H91" t="n">
        <v>29359</v>
      </c>
      <c r="I91" t="n">
        <v>2025</v>
      </c>
      <c r="J91" t="inlineStr">
        <is>
          <t>ขท.นครปฐม</t>
        </is>
      </c>
      <c r="K91" t="inlineStr">
        <is>
          <t>นครปฐม</t>
        </is>
      </c>
      <c r="L91" t="n">
        <v>13.97447846592027</v>
      </c>
      <c r="M91" t="n">
        <v>100.1089810362407</v>
      </c>
      <c r="N91" t="inlineStr">
        <is>
          <t>POINT (13.974478465920274 100.1089810362407)</t>
        </is>
      </c>
    </row>
    <row r="92">
      <c r="A92" t="inlineStr">
        <is>
          <t>hods_aadt_pnt_2568.fid-6461857d_1a0f2643074_5229</t>
        </is>
      </c>
      <c r="B92" t="n">
        <v>3297</v>
      </c>
      <c r="C92" t="inlineStr">
        <is>
          <t>หนองปลาไหล - ดอนตูม</t>
        </is>
      </c>
      <c r="D92" t="n">
        <v>100</v>
      </c>
      <c r="E92" t="inlineStr">
        <is>
          <t>หนองปลาไหล - ดอนตูม</t>
        </is>
      </c>
      <c r="F92" t="inlineStr">
        <is>
          <t>3+000</t>
        </is>
      </c>
      <c r="G92" t="inlineStr">
        <is>
          <t>สถานีย่อย (C)</t>
        </is>
      </c>
      <c r="H92" t="n">
        <v>38431</v>
      </c>
      <c r="I92" t="n">
        <v>2025</v>
      </c>
      <c r="J92" t="inlineStr">
        <is>
          <t>ขท.นครปฐม</t>
        </is>
      </c>
      <c r="K92" t="inlineStr">
        <is>
          <t>นครปฐม</t>
        </is>
      </c>
      <c r="L92" t="n">
        <v>13.94971138573068</v>
      </c>
      <c r="M92" t="n">
        <v>100.0343805420457</v>
      </c>
      <c r="N92" t="inlineStr">
        <is>
          <t>POINT (13.949711385730684 100.03438054204565)</t>
        </is>
      </c>
    </row>
    <row r="93">
      <c r="A93" t="inlineStr">
        <is>
          <t>hods_aadt_pnt_2568.fid-6461857d_1a0f2643074_523a</t>
        </is>
      </c>
      <c r="B93" t="n">
        <v>3309</v>
      </c>
      <c r="C93" t="inlineStr">
        <is>
          <t>บางปะอิน - บางพูน</t>
        </is>
      </c>
      <c r="D93" t="n">
        <v>203</v>
      </c>
      <c r="E93" t="inlineStr">
        <is>
          <t>บ้านกระแชง - บางพูน</t>
        </is>
      </c>
      <c r="F93" t="inlineStr">
        <is>
          <t>38+500</t>
        </is>
      </c>
      <c r="G93" t="inlineStr">
        <is>
          <t>สถานีย่อย (C)</t>
        </is>
      </c>
      <c r="H93" t="n">
        <v>40220</v>
      </c>
      <c r="I93" t="n">
        <v>2025</v>
      </c>
      <c r="J93" t="inlineStr">
        <is>
          <t>ขท.ปทุมธานี</t>
        </is>
      </c>
      <c r="K93" t="inlineStr">
        <is>
          <t>ปทุมธานี</t>
        </is>
      </c>
      <c r="L93" t="n">
        <v>14.0010698337954</v>
      </c>
      <c r="M93" t="n">
        <v>100.570295462118</v>
      </c>
      <c r="N93" t="inlineStr">
        <is>
          <t>POINT (14.0010698337954 100.570295462118)</t>
        </is>
      </c>
    </row>
    <row r="94">
      <c r="A94" t="inlineStr">
        <is>
          <t>hods_aadt_pnt_2568.fid-6461857d_1a0f2643074_523b</t>
        </is>
      </c>
      <c r="B94" t="n">
        <v>3310</v>
      </c>
      <c r="C94" t="inlineStr">
        <is>
          <t>กระทุ่มล้ม - พุทธมณฑล</t>
        </is>
      </c>
      <c r="D94" t="n">
        <v>100</v>
      </c>
      <c r="E94" t="inlineStr">
        <is>
          <t>กระทุ่มล้ม - พุทธมณฑล</t>
        </is>
      </c>
      <c r="F94" t="inlineStr">
        <is>
          <t>2+500</t>
        </is>
      </c>
      <c r="G94" t="inlineStr">
        <is>
          <t>สถานีย่อย (C)</t>
        </is>
      </c>
      <c r="H94" t="n">
        <v>82371</v>
      </c>
      <c r="I94" t="n">
        <v>2025</v>
      </c>
      <c r="J94" t="inlineStr">
        <is>
          <t>ขท.สมุทรสาคร</t>
        </is>
      </c>
      <c r="K94" t="inlineStr">
        <is>
          <t>นครปฐม</t>
        </is>
      </c>
      <c r="L94" t="n">
        <v>13.72737222497316</v>
      </c>
      <c r="M94" t="n">
        <v>100.3298562597949</v>
      </c>
      <c r="N94" t="inlineStr">
        <is>
          <t>POINT (13.727372224973156 100.32985625979492)</t>
        </is>
      </c>
    </row>
    <row r="95">
      <c r="A95" t="inlineStr">
        <is>
          <t>hods_aadt_pnt_2568.fid-6461857d_1a0f2643074_523c</t>
        </is>
      </c>
      <c r="B95" t="n">
        <v>3312</v>
      </c>
      <c r="C95" t="inlineStr">
        <is>
          <t>สนามกีฬาธูปเตมีย์ - คลอง 16</t>
        </is>
      </c>
      <c r="D95" t="n">
        <v>100</v>
      </c>
      <c r="E95" t="inlineStr">
        <is>
          <t>สนามกีฬาธูปเตมีย์ - ลำลูกกา</t>
        </is>
      </c>
      <c r="F95" t="inlineStr">
        <is>
          <t>2+061</t>
        </is>
      </c>
      <c r="G95" t="inlineStr">
        <is>
          <t>สถานีย่อย (C)</t>
        </is>
      </c>
      <c r="H95" t="n">
        <v>47924</v>
      </c>
      <c r="I95" t="n">
        <v>2025</v>
      </c>
      <c r="J95" t="inlineStr">
        <is>
          <t>ขท.กรุงเทพ</t>
        </is>
      </c>
      <c r="K95" t="inlineStr">
        <is>
          <t>ปทุมธานี</t>
        </is>
      </c>
      <c r="L95" t="n">
        <v>13.95032414424656</v>
      </c>
      <c r="M95" t="n">
        <v>100.6407220705351</v>
      </c>
      <c r="N95" t="inlineStr">
        <is>
          <t>POINT (13.950324144246558 100.64072207053515)</t>
        </is>
      </c>
    </row>
    <row r="96">
      <c r="A96" t="inlineStr">
        <is>
          <t>hods_aadt_pnt_2568.fid-6461857d_1a0f2643074_523d</t>
        </is>
      </c>
      <c r="B96" t="n">
        <v>3312</v>
      </c>
      <c r="C96" t="inlineStr">
        <is>
          <t>สนามกีฬาธูปเตมีย์ - คลอง 16</t>
        </is>
      </c>
      <c r="D96" t="n">
        <v>200</v>
      </c>
      <c r="E96" t="inlineStr">
        <is>
          <t>ลำลูกกา - คลอง16</t>
        </is>
      </c>
      <c r="F96" t="inlineStr">
        <is>
          <t>14+300</t>
        </is>
      </c>
      <c r="G96" t="inlineStr">
        <is>
          <t>สถานีย่อย (C)</t>
        </is>
      </c>
      <c r="H96" t="n">
        <v>52975</v>
      </c>
      <c r="I96" t="n">
        <v>2025</v>
      </c>
      <c r="J96" t="inlineStr">
        <is>
          <t>ขท.นครนายก</t>
        </is>
      </c>
      <c r="K96" t="inlineStr">
        <is>
          <t>ปทุมธานี</t>
        </is>
      </c>
      <c r="L96" t="n">
        <v>13.9345038905759</v>
      </c>
      <c r="M96" t="n">
        <v>100.735241109305</v>
      </c>
      <c r="N96" t="inlineStr">
        <is>
          <t>POINT (13.9345038905759 100.735241109305)</t>
        </is>
      </c>
    </row>
    <row r="97">
      <c r="A97" t="inlineStr">
        <is>
          <t>hods_aadt_pnt_2568.fid-6461857d_1a0f2643074_5240</t>
        </is>
      </c>
      <c r="B97" t="n">
        <v>3316</v>
      </c>
      <c r="C97" t="inlineStr">
        <is>
          <t>ไร่ขิง - ทรงคนอง</t>
        </is>
      </c>
      <c r="D97" t="n">
        <v>100</v>
      </c>
      <c r="E97" t="inlineStr">
        <is>
          <t>ไร่ขิง - ทรงคนอง</t>
        </is>
      </c>
      <c r="F97" t="inlineStr">
        <is>
          <t>2+500</t>
        </is>
      </c>
      <c r="G97" t="inlineStr">
        <is>
          <t>สถานีย่อย (C)</t>
        </is>
      </c>
      <c r="H97" t="n">
        <v>39878</v>
      </c>
      <c r="I97" t="n">
        <v>2025</v>
      </c>
      <c r="J97" t="inlineStr">
        <is>
          <t>ขท.สมุทรสาคร</t>
        </is>
      </c>
      <c r="K97" t="inlineStr">
        <is>
          <t>นครปฐม</t>
        </is>
      </c>
      <c r="L97" t="n">
        <v>13.74067221892507</v>
      </c>
      <c r="M97" t="n">
        <v>100.2623156891451</v>
      </c>
      <c r="N97" t="inlineStr">
        <is>
          <t>POINT (13.740672218925074 100.26231568914505)</t>
        </is>
      </c>
    </row>
    <row r="98">
      <c r="A98" t="inlineStr">
        <is>
          <t>hods_aadt_pnt_2568.fid-6461857d_1a0f2643074_525f</t>
        </is>
      </c>
      <c r="B98" t="n">
        <v>3344</v>
      </c>
      <c r="C98" t="inlineStr">
        <is>
          <t>อุดมสุข - สมุทรปราการ</t>
        </is>
      </c>
      <c r="D98" t="n">
        <v>100</v>
      </c>
      <c r="E98" t="inlineStr">
        <is>
          <t>อุดมสุข - สมุทรปราการ</t>
        </is>
      </c>
      <c r="F98" t="inlineStr">
        <is>
          <t>13+078</t>
        </is>
      </c>
      <c r="G98" t="inlineStr">
        <is>
          <t>สถานีย่อย (C)</t>
        </is>
      </c>
      <c r="H98" t="n">
        <v>65032</v>
      </c>
      <c r="I98" t="n">
        <v>2025</v>
      </c>
      <c r="J98" t="inlineStr">
        <is>
          <t>ขท.สมุทรปราการ</t>
        </is>
      </c>
      <c r="K98" t="inlineStr">
        <is>
          <t>สมุทรปราการ</t>
        </is>
      </c>
      <c r="L98" t="n">
        <v>13.6494483447272</v>
      </c>
      <c r="M98" t="n">
        <v>100.639784778478</v>
      </c>
      <c r="N98" t="inlineStr">
        <is>
          <t>POINT (13.6494483447272 100.639784778478)</t>
        </is>
      </c>
    </row>
    <row r="99">
      <c r="A99" t="inlineStr">
        <is>
          <t>hods_aadt_pnt_2568.fid-6461857d_1a0f2643074_5265</t>
        </is>
      </c>
      <c r="B99" t="n">
        <v>3351</v>
      </c>
      <c r="C99" t="inlineStr">
        <is>
          <t>เก้าห้อง - บางหลวง</t>
        </is>
      </c>
      <c r="D99" t="n">
        <v>300</v>
      </c>
      <c r="E99" t="inlineStr">
        <is>
          <t>บางน้อยใน - บางหลวง</t>
        </is>
      </c>
      <c r="F99" t="inlineStr">
        <is>
          <t>38+196</t>
        </is>
      </c>
      <c r="G99" t="inlineStr">
        <is>
          <t>สถานีย่อย (C)</t>
        </is>
      </c>
      <c r="H99" t="n">
        <v>15382</v>
      </c>
      <c r="I99" t="n">
        <v>2025</v>
      </c>
      <c r="J99" t="inlineStr">
        <is>
          <t>ขท.นครปฐม</t>
        </is>
      </c>
      <c r="K99" t="inlineStr">
        <is>
          <t>นครปฐม</t>
        </is>
      </c>
      <c r="L99" t="n">
        <v>14.1268684036863</v>
      </c>
      <c r="M99" t="n">
        <v>100.115691228353</v>
      </c>
      <c r="N99" t="inlineStr">
        <is>
          <t>POINT (14.1268684036863 100.115691228353)</t>
        </is>
      </c>
    </row>
    <row r="100">
      <c r="A100" t="inlineStr">
        <is>
          <t>hods_aadt_pnt_2568.fid-6461857d_1a0f2643074_5288</t>
        </is>
      </c>
      <c r="B100" t="n">
        <v>3403</v>
      </c>
      <c r="C100" t="inlineStr">
        <is>
          <t>วัดยกกระบัตร - หลักสี่</t>
        </is>
      </c>
      <c r="D100" t="n">
        <v>100</v>
      </c>
      <c r="E100" t="inlineStr">
        <is>
          <t>วัดยกกระบัตร - หลักสี่</t>
        </is>
      </c>
      <c r="F100" t="inlineStr">
        <is>
          <t>0+500</t>
        </is>
      </c>
      <c r="G100" t="inlineStr">
        <is>
          <t>สถานีย่อย (C)</t>
        </is>
      </c>
      <c r="H100" t="n">
        <v>23535</v>
      </c>
      <c r="I100" t="n">
        <v>2025</v>
      </c>
      <c r="J100" t="inlineStr">
        <is>
          <t>ขท.นครปฐม</t>
        </is>
      </c>
      <c r="K100" t="inlineStr">
        <is>
          <t>สมุทรสาคร</t>
        </is>
      </c>
      <c r="L100" t="n">
        <v>13.5475585608205</v>
      </c>
      <c r="M100" t="n">
        <v>100.102714320519</v>
      </c>
      <c r="N100" t="inlineStr">
        <is>
          <t>POINT (13.5475585608205 100.102714320519)</t>
        </is>
      </c>
    </row>
    <row r="101">
      <c r="A101" t="inlineStr">
        <is>
          <t>hods_aadt_pnt_2568.fid-6461857d_1a0f2643074_5289</t>
        </is>
      </c>
      <c r="B101" t="n">
        <v>3404</v>
      </c>
      <c r="C101" t="inlineStr">
        <is>
          <t>หลักสาม - คลองยกกระบัตร</t>
        </is>
      </c>
      <c r="D101" t="n">
        <v>100</v>
      </c>
      <c r="E101" t="inlineStr">
        <is>
          <t>หลักสาม - คลองยกกระบัตร</t>
        </is>
      </c>
      <c r="F101" t="inlineStr">
        <is>
          <t>0+300</t>
        </is>
      </c>
      <c r="G101" t="inlineStr">
        <is>
          <t>สถานีย่อย (C)</t>
        </is>
      </c>
      <c r="H101" t="n">
        <v>22702</v>
      </c>
      <c r="I101" t="n">
        <v>2025</v>
      </c>
      <c r="J101" t="inlineStr">
        <is>
          <t>ขท.นครปฐม</t>
        </is>
      </c>
      <c r="K101" t="inlineStr">
        <is>
          <t>สมุทรสาคร</t>
        </is>
      </c>
      <c r="L101" t="n">
        <v>13.5574113127069</v>
      </c>
      <c r="M101" t="n">
        <v>100.121839148876</v>
      </c>
      <c r="N101" t="inlineStr">
        <is>
          <t>POINT (13.5574113127069 100.121839148876)</t>
        </is>
      </c>
    </row>
    <row r="102">
      <c r="A102" t="inlineStr">
        <is>
          <t>hods_aadt_pnt_2568.fid-6461857d_1a0f2643074_5290</t>
        </is>
      </c>
      <c r="B102" t="n">
        <v>3413</v>
      </c>
      <c r="C102" t="inlineStr">
        <is>
          <t>ทางเข้าบางบ่อ</t>
        </is>
      </c>
      <c r="D102" t="n">
        <v>100</v>
      </c>
      <c r="E102" t="inlineStr">
        <is>
          <t>ทางเข้าบางบ่อ</t>
        </is>
      </c>
      <c r="F102" t="inlineStr">
        <is>
          <t>1+960</t>
        </is>
      </c>
      <c r="G102" t="inlineStr">
        <is>
          <t>สถานีย่อย (C)</t>
        </is>
      </c>
      <c r="H102" t="n">
        <v>16788</v>
      </c>
      <c r="I102" t="n">
        <v>2025</v>
      </c>
      <c r="J102" t="inlineStr">
        <is>
          <t>ขท.สมุทรปราการ</t>
        </is>
      </c>
      <c r="K102" t="inlineStr">
        <is>
          <t>สมุทรปราการ</t>
        </is>
      </c>
      <c r="L102" t="n">
        <v>13.5719246751353</v>
      </c>
      <c r="M102" t="n">
        <v>100.831143166308</v>
      </c>
      <c r="N102" t="inlineStr">
        <is>
          <t>POINT (13.5719246751353 100.831143166308)</t>
        </is>
      </c>
    </row>
    <row r="103">
      <c r="A103" t="inlineStr">
        <is>
          <t>hods_aadt_pnt_2568.fid-6461857d_1a0f2643074_5291</t>
        </is>
      </c>
      <c r="B103" t="n">
        <v>3414</v>
      </c>
      <c r="C103" t="inlineStr">
        <is>
          <t>อ้อมน้อย - ศาลายา</t>
        </is>
      </c>
      <c r="D103" t="n">
        <v>100</v>
      </c>
      <c r="E103" t="inlineStr">
        <is>
          <t>อ้อมน้อย - ศาลายา</t>
        </is>
      </c>
      <c r="F103" t="inlineStr">
        <is>
          <t>1+000</t>
        </is>
      </c>
      <c r="G103" t="inlineStr">
        <is>
          <t>สถานีย่อย (C)</t>
        </is>
      </c>
      <c r="H103" t="n">
        <v>62140</v>
      </c>
      <c r="I103" t="n">
        <v>2025</v>
      </c>
      <c r="J103" t="inlineStr">
        <is>
          <t>ขท.สมุทรสาคร</t>
        </is>
      </c>
      <c r="K103" t="inlineStr">
        <is>
          <t>นครปฐม</t>
        </is>
      </c>
      <c r="L103" t="n">
        <v>13.71548712165025</v>
      </c>
      <c r="M103" t="n">
        <v>100.2983617170016</v>
      </c>
      <c r="N103" t="inlineStr">
        <is>
          <t>POINT (13.715487121650254 100.29836171700158)</t>
        </is>
      </c>
    </row>
    <row r="104">
      <c r="A104" t="inlineStr">
        <is>
          <t>hods_aadt_pnt_2568.fid-6461857d_1a0f2643074_5292</t>
        </is>
      </c>
      <c r="B104" t="n">
        <v>3415</v>
      </c>
      <c r="C104" t="inlineStr">
        <is>
          <t>สามพราน - แม่น้ำนครชัยศรี</t>
        </is>
      </c>
      <c r="D104" t="n">
        <v>100</v>
      </c>
      <c r="E104" t="inlineStr">
        <is>
          <t>สามพราน - แม่น้ำนครชัยศรี</t>
        </is>
      </c>
      <c r="F104" t="inlineStr">
        <is>
          <t>1+000</t>
        </is>
      </c>
      <c r="G104" t="inlineStr">
        <is>
          <t>สถานีย่อย (C)</t>
        </is>
      </c>
      <c r="H104" t="n">
        <v>34329</v>
      </c>
      <c r="I104" t="n">
        <v>2025</v>
      </c>
      <c r="J104" t="inlineStr">
        <is>
          <t>ขท.สมุทรสาคร</t>
        </is>
      </c>
      <c r="K104" t="inlineStr">
        <is>
          <t>นครปฐม</t>
        </is>
      </c>
      <c r="L104" t="n">
        <v>13.75481354487116</v>
      </c>
      <c r="M104" t="n">
        <v>100.2304742822519</v>
      </c>
      <c r="N104" t="inlineStr">
        <is>
          <t>POINT (13.754813544871157 100.23047428225195)</t>
        </is>
      </c>
    </row>
    <row r="105">
      <c r="A105" t="inlineStr">
        <is>
          <t>hods_aadt_pnt_2568.fid-6461857d_1a0f2643074_52bf</t>
        </is>
      </c>
      <c r="B105" t="n">
        <v>3481</v>
      </c>
      <c r="C105" t="inlineStr">
        <is>
          <t>คลองหลวงแพ่ง - ปราจีนบุรี</t>
        </is>
      </c>
      <c r="D105" t="n">
        <v>100</v>
      </c>
      <c r="E105" t="inlineStr">
        <is>
          <t>คลองหลวงแพ่ง - ศาลาแดง</t>
        </is>
      </c>
      <c r="F105" t="inlineStr">
        <is>
          <t>0+500</t>
        </is>
      </c>
      <c r="G105" t="inlineStr">
        <is>
          <t>สถานีย่อย (C)</t>
        </is>
      </c>
      <c r="H105" t="n">
        <v>15591</v>
      </c>
      <c r="I105" t="n">
        <v>2025</v>
      </c>
      <c r="J105" t="inlineStr">
        <is>
          <t>ขท.กรุงเทพ</t>
        </is>
      </c>
      <c r="K105" t="inlineStr">
        <is>
          <t>กรุงเทพมหานคร</t>
        </is>
      </c>
      <c r="L105" t="n">
        <v>13.81131204597436</v>
      </c>
      <c r="M105" t="n">
        <v>100.9302439177595</v>
      </c>
      <c r="N105" t="inlineStr">
        <is>
          <t>POINT (13.811312045974363 100.93024391775948)</t>
        </is>
      </c>
    </row>
    <row r="106">
      <c r="A106" t="inlineStr">
        <is>
          <t>hods_aadt_pnt_2568.fid-6461857d_1a0f2643074_52d5</t>
        </is>
      </c>
      <c r="B106" t="n">
        <v>3508</v>
      </c>
      <c r="C106" t="inlineStr">
        <is>
          <t>ถนนชุมชนท้องถิ่นเลียบทางรถไฟสายเหนือ</t>
        </is>
      </c>
      <c r="D106" t="n">
        <v>100</v>
      </c>
      <c r="E106" t="inlineStr">
        <is>
          <t>ถนนชุมชนท้องถิ่นเลียบทางรถไฟสายเหนือ</t>
        </is>
      </c>
      <c r="F106" t="inlineStr">
        <is>
          <t>4+100</t>
        </is>
      </c>
      <c r="G106" t="inlineStr">
        <is>
          <t>สถานีย่อย (C)</t>
        </is>
      </c>
      <c r="H106" t="n">
        <v>24381</v>
      </c>
      <c r="I106" t="n">
        <v>2025</v>
      </c>
      <c r="J106" t="inlineStr">
        <is>
          <t>ขท.ปทุมธานี</t>
        </is>
      </c>
      <c r="K106" t="inlineStr">
        <is>
          <t>ปทุมธานี</t>
        </is>
      </c>
      <c r="L106" t="n">
        <v>13.9853729334521</v>
      </c>
      <c r="M106" t="n">
        <v>100.602602919846</v>
      </c>
      <c r="N106" t="inlineStr">
        <is>
          <t>POINT (13.9853729334521 100.602602919846)</t>
        </is>
      </c>
    </row>
    <row r="107">
      <c r="A107" t="inlineStr">
        <is>
          <t>hods_aadt_pnt_2568.fid-6461857d_1a0f2643074_52dc</t>
        </is>
      </c>
      <c r="B107" t="n">
        <v>3524</v>
      </c>
      <c r="C107" t="inlineStr">
        <is>
          <t>นครปฐม - ลาดปลาเค้า</t>
        </is>
      </c>
      <c r="D107" t="n">
        <v>100</v>
      </c>
      <c r="E107" t="inlineStr">
        <is>
          <t>นครปฐม - ลาดปลาเค้า</t>
        </is>
      </c>
      <c r="F107" t="inlineStr">
        <is>
          <t>0+170</t>
        </is>
      </c>
      <c r="G107" t="inlineStr">
        <is>
          <t>สถานีย่อย (C)</t>
        </is>
      </c>
      <c r="H107" t="n">
        <v>60928</v>
      </c>
      <c r="I107" t="n">
        <v>2025</v>
      </c>
      <c r="J107" t="inlineStr">
        <is>
          <t>ขท.นครปฐม</t>
        </is>
      </c>
      <c r="K107" t="inlineStr">
        <is>
          <t>นครปฐม</t>
        </is>
      </c>
      <c r="L107" t="n">
        <v>13.8131731591176</v>
      </c>
      <c r="M107" t="n">
        <v>100.036456757002</v>
      </c>
      <c r="N107" t="inlineStr">
        <is>
          <t>POINT (13.8131731591176 100.036456757002)</t>
        </is>
      </c>
    </row>
    <row r="108">
      <c r="A108" t="inlineStr">
        <is>
          <t>hods_aadt_pnt_2568.fid-6461857d_1a0f2643074_52fa</t>
        </is>
      </c>
      <c r="B108" t="n">
        <v>3591</v>
      </c>
      <c r="C108" t="inlineStr">
        <is>
          <t>เชียงรากน้อย - วัดเชียงรากน้อย</t>
        </is>
      </c>
      <c r="D108" t="n">
        <v>100</v>
      </c>
      <c r="E108" t="inlineStr">
        <is>
          <t>เชียงรากน้อย - วัดเชียงรากน้อย</t>
        </is>
      </c>
      <c r="F108" t="inlineStr">
        <is>
          <t>0+300</t>
        </is>
      </c>
      <c r="G108" t="inlineStr">
        <is>
          <t>สถานีย่อย (C)</t>
        </is>
      </c>
      <c r="H108" t="n">
        <v>34739</v>
      </c>
      <c r="I108" t="n">
        <v>2025</v>
      </c>
      <c r="J108" t="inlineStr">
        <is>
          <t>ขท.ปทุมธานี</t>
        </is>
      </c>
      <c r="K108" t="inlineStr">
        <is>
          <t>ปทุมธานี</t>
        </is>
      </c>
      <c r="L108" t="n">
        <v>14.119407022105</v>
      </c>
      <c r="M108" t="n">
        <v>100.567683377528</v>
      </c>
      <c r="N108" t="inlineStr">
        <is>
          <t>POINT (14.119407022105 100.567683377528)</t>
        </is>
      </c>
    </row>
    <row r="109">
      <c r="A109" t="inlineStr">
        <is>
          <t>hods_aadt_pnt_2568.fid-6461857d_1a0f2643074_52fb</t>
        </is>
      </c>
      <c r="B109" t="n">
        <v>3592</v>
      </c>
      <c r="C109" t="inlineStr">
        <is>
          <t>ทางเข้านิมิตรใหม่</t>
        </is>
      </c>
      <c r="D109" t="n">
        <v>100</v>
      </c>
      <c r="E109" t="inlineStr">
        <is>
          <t>ทางเข้านิมิตรใหม่</t>
        </is>
      </c>
      <c r="F109" t="inlineStr">
        <is>
          <t>1+401</t>
        </is>
      </c>
      <c r="G109" t="inlineStr">
        <is>
          <t>สถานีย่อย (C)</t>
        </is>
      </c>
      <c r="H109" t="n">
        <v>28731</v>
      </c>
      <c r="I109" t="n">
        <v>2025</v>
      </c>
      <c r="J109" t="inlineStr">
        <is>
          <t>ขท.นครนายก</t>
        </is>
      </c>
      <c r="K109" t="inlineStr">
        <is>
          <t>ปทุมธานี</t>
        </is>
      </c>
      <c r="L109" t="n">
        <v>13.9226594694087</v>
      </c>
      <c r="M109" t="n">
        <v>100.751145814857</v>
      </c>
      <c r="N109" t="inlineStr">
        <is>
          <t>POINT (13.9226594694087 100.751145814857)</t>
        </is>
      </c>
    </row>
    <row r="110">
      <c r="A110" t="inlineStr">
        <is>
          <t>hods_aadt_pnt_2568.fid-6461857d_1a0f2643074_5313</t>
        </is>
      </c>
      <c r="B110" t="n">
        <v>3901</v>
      </c>
      <c r="C11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0" t="n">
        <v>102</v>
      </c>
      <c r="E110" t="inlineStr">
        <is>
          <t>บางแค - คลองมหาสวัสดิ์</t>
        </is>
      </c>
      <c r="F110" t="inlineStr">
        <is>
          <t>20+430</t>
        </is>
      </c>
      <c r="G110" t="inlineStr">
        <is>
          <t>สถานีย่อย (C)</t>
        </is>
      </c>
      <c r="H110" t="n">
        <v>41328</v>
      </c>
      <c r="I110" t="n">
        <v>2025</v>
      </c>
      <c r="J110" t="inlineStr">
        <is>
          <t>ขท.ธนบุรี</t>
        </is>
      </c>
      <c r="K110" t="inlineStr">
        <is>
          <t>กรุงเทพมหานคร</t>
        </is>
      </c>
      <c r="L110" t="n">
        <v>13.6803959972912</v>
      </c>
      <c r="M110" t="n">
        <v>100.406611120676</v>
      </c>
      <c r="N110" t="inlineStr">
        <is>
          <t>POINT (13.6803959972912 100.406611120676)</t>
        </is>
      </c>
    </row>
    <row r="111">
      <c r="A111" t="inlineStr">
        <is>
          <t>hods_aadt_pnt_2568.fid-6461857d_1a0f2643074_5314</t>
        </is>
      </c>
      <c r="B111" t="n">
        <v>3901</v>
      </c>
      <c r="C111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1" t="n">
        <v>201</v>
      </c>
      <c r="E111" t="inlineStr">
        <is>
          <t>คลองมหาสวัสดิ์ - คลองบางไผ่</t>
        </is>
      </c>
      <c r="F111" t="inlineStr">
        <is>
          <t>35+322</t>
        </is>
      </c>
      <c r="G111" t="inlineStr">
        <is>
          <t>สถานีย่อย (C)</t>
        </is>
      </c>
      <c r="H111" t="n">
        <v>68161</v>
      </c>
      <c r="I111" t="n">
        <v>2025</v>
      </c>
      <c r="J111" t="inlineStr">
        <is>
          <t>ขท.นนทบุรี</t>
        </is>
      </c>
      <c r="K111" t="inlineStr">
        <is>
          <t>นนทบุรี</t>
        </is>
      </c>
      <c r="L111" t="n">
        <v>13.8219503221982</v>
      </c>
      <c r="M111" t="n">
        <v>100.412349943228</v>
      </c>
      <c r="N111" t="inlineStr">
        <is>
          <t>POINT (13.8219503221982 100.412349943228)</t>
        </is>
      </c>
    </row>
    <row r="112">
      <c r="A112" t="inlineStr">
        <is>
          <t>hods_aadt_pnt_2568.fid-6461857d_1a0f2643074_5315</t>
        </is>
      </c>
      <c r="B112" t="n">
        <v>3901</v>
      </c>
      <c r="C112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2" t="n">
        <v>201</v>
      </c>
      <c r="E112" t="inlineStr">
        <is>
          <t>คลองมหาสวัสดิ์ - คลองบางไผ่</t>
        </is>
      </c>
      <c r="F112" t="inlineStr">
        <is>
          <t>39+528</t>
        </is>
      </c>
      <c r="G112" t="inlineStr">
        <is>
          <t>สถานีย่อย (C)</t>
        </is>
      </c>
      <c r="H112" t="n">
        <v>71243</v>
      </c>
      <c r="I112" t="n">
        <v>2025</v>
      </c>
      <c r="J112" t="inlineStr">
        <is>
          <t>ขท.นนทบุรี</t>
        </is>
      </c>
      <c r="K112" t="inlineStr">
        <is>
          <t>นนทบุรี</t>
        </is>
      </c>
      <c r="L112" t="n">
        <v>13.8598724911455</v>
      </c>
      <c r="M112" t="n">
        <v>100.411168076454</v>
      </c>
      <c r="N112" t="inlineStr">
        <is>
          <t>POINT (13.8598724911455 100.411168076454)</t>
        </is>
      </c>
    </row>
    <row r="113">
      <c r="A113" t="inlineStr">
        <is>
          <t>hods_aadt_pnt_2568.fid-6461857d_1a0f2643074_5317</t>
        </is>
      </c>
      <c r="B113" t="n">
        <v>3901</v>
      </c>
      <c r="C113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3" t="n">
        <v>202</v>
      </c>
      <c r="E113" t="inlineStr">
        <is>
          <t>คลองบางไผ่ - คลองบางหลวง</t>
        </is>
      </c>
      <c r="F113" t="inlineStr">
        <is>
          <t>46+472</t>
        </is>
      </c>
      <c r="G113" t="inlineStr">
        <is>
          <t>สถานีย่อย (C)</t>
        </is>
      </c>
      <c r="H113" t="n">
        <v>69929</v>
      </c>
      <c r="I113" t="n">
        <v>2025</v>
      </c>
      <c r="J113" t="inlineStr">
        <is>
          <t>ขท.นนทบุรี</t>
        </is>
      </c>
      <c r="K113" t="inlineStr">
        <is>
          <t>นนทบุรี</t>
        </is>
      </c>
      <c r="L113" t="n">
        <v>13.9218195844803</v>
      </c>
      <c r="M113" t="n">
        <v>100.412146808877</v>
      </c>
      <c r="N113" t="inlineStr">
        <is>
          <t>POINT (13.9218195844803 100.412146808877)</t>
        </is>
      </c>
    </row>
    <row r="114">
      <c r="A114" t="inlineStr">
        <is>
          <t>hods_aadt_pnt_2568.fid-6461857d_1a0f2643074_5319</t>
        </is>
      </c>
      <c r="B114" t="n">
        <v>3901</v>
      </c>
      <c r="C114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4" t="n">
        <v>500</v>
      </c>
      <c r="E114" t="inlineStr">
        <is>
          <t>คลองระพีพัฒน์ - บึงคำพร้อย</t>
        </is>
      </c>
      <c r="F114" t="inlineStr">
        <is>
          <t>14+300</t>
        </is>
      </c>
      <c r="G114" t="inlineStr">
        <is>
          <t>สถานีย่อย (C)</t>
        </is>
      </c>
      <c r="H114" t="n">
        <v>10455</v>
      </c>
      <c r="I114" t="n">
        <v>2025</v>
      </c>
      <c r="J114" t="inlineStr">
        <is>
          <t>ขท.ปทุมธานี</t>
        </is>
      </c>
      <c r="K114" t="inlineStr">
        <is>
          <t>ปทุมธานี</t>
        </is>
      </c>
      <c r="L114" t="n">
        <v>14.0748163107037</v>
      </c>
      <c r="M114" t="n">
        <v>100.695907532553</v>
      </c>
      <c r="N114" t="inlineStr">
        <is>
          <t>POINT (14.0748163107037 100.695907532553)</t>
        </is>
      </c>
    </row>
    <row r="115">
      <c r="A115" t="inlineStr">
        <is>
          <t>hods_aadt_pnt_2568.fid-6461857d_1a0f2643074_531a</t>
        </is>
      </c>
      <c r="B115" t="n">
        <v>3901</v>
      </c>
      <c r="C115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5" t="n">
        <v>500</v>
      </c>
      <c r="E115" t="inlineStr">
        <is>
          <t>คลองระพีพัฒน์ - บึงคำพร้อย</t>
        </is>
      </c>
      <c r="F115" t="inlineStr">
        <is>
          <t>14+300</t>
        </is>
      </c>
      <c r="G115" t="inlineStr">
        <is>
          <t>สถานีย่อย (C)</t>
        </is>
      </c>
      <c r="H115" t="n">
        <v>10455</v>
      </c>
      <c r="I115" t="n">
        <v>2025</v>
      </c>
      <c r="J115" t="inlineStr">
        <is>
          <t>ขท.ปทุมธานี</t>
        </is>
      </c>
      <c r="K115" t="inlineStr">
        <is>
          <t>ปทุมธานี</t>
        </is>
      </c>
      <c r="L115" t="n">
        <v>14.0748163107037</v>
      </c>
      <c r="M115" t="n">
        <v>100.695907532553</v>
      </c>
      <c r="N115" t="inlineStr">
        <is>
          <t>POINT (14.0748163107037 100.695907532553)</t>
        </is>
      </c>
    </row>
    <row r="116">
      <c r="A116" t="inlineStr">
        <is>
          <t>hods_aadt_pnt_2568.fid-6461857d_1a0f2643074_531b</t>
        </is>
      </c>
      <c r="B116" t="n">
        <v>3901</v>
      </c>
      <c r="C116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6" t="n">
        <v>500</v>
      </c>
      <c r="E116" t="inlineStr">
        <is>
          <t>คลองระพีพัฒน์ - บึงคำพร้อย</t>
        </is>
      </c>
      <c r="F116" t="inlineStr">
        <is>
          <t>14+300</t>
        </is>
      </c>
      <c r="G116" t="inlineStr">
        <is>
          <t>สถานีย่อย (C)</t>
        </is>
      </c>
      <c r="H116" t="n">
        <v>10455</v>
      </c>
      <c r="I116" t="n">
        <v>2025</v>
      </c>
      <c r="J116" t="inlineStr">
        <is>
          <t>ขท.ปทุมธานี</t>
        </is>
      </c>
      <c r="K116" t="inlineStr">
        <is>
          <t>ปทุมธานี</t>
        </is>
      </c>
      <c r="L116" t="n">
        <v>14.0748163107037</v>
      </c>
      <c r="M116" t="n">
        <v>100.695907532553</v>
      </c>
      <c r="N116" t="inlineStr">
        <is>
          <t>POINT (14.0748163107037 100.695907532553)</t>
        </is>
      </c>
    </row>
    <row r="117">
      <c r="A117" t="inlineStr">
        <is>
          <t>hods_aadt_pnt_2568.fid-6461857d_1a0f2643074_531c</t>
        </is>
      </c>
      <c r="B117" t="n">
        <v>3901</v>
      </c>
      <c r="C117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7" t="n">
        <v>500</v>
      </c>
      <c r="E117" t="inlineStr">
        <is>
          <t>คลองระพีพัฒน์ - บึงคำพร้อย</t>
        </is>
      </c>
      <c r="F117" t="inlineStr">
        <is>
          <t>14+300</t>
        </is>
      </c>
      <c r="G117" t="inlineStr">
        <is>
          <t>สถานีย่อย (C)</t>
        </is>
      </c>
      <c r="H117" t="n">
        <v>10455</v>
      </c>
      <c r="I117" t="n">
        <v>2025</v>
      </c>
      <c r="J117" t="inlineStr">
        <is>
          <t>ขท.ปทุมธานี</t>
        </is>
      </c>
      <c r="K117" t="inlineStr">
        <is>
          <t>ปทุมธานี</t>
        </is>
      </c>
      <c r="L117" t="n">
        <v>14.0748163107037</v>
      </c>
      <c r="M117" t="n">
        <v>100.695907532553</v>
      </c>
      <c r="N117" t="inlineStr">
        <is>
          <t>POINT (14.0748163107037 100.695907532553)</t>
        </is>
      </c>
    </row>
    <row r="118">
      <c r="A118" t="inlineStr">
        <is>
          <t>hods_aadt_pnt_2568.fid-6461857d_1a0f2643074_531d</t>
        </is>
      </c>
      <c r="B118" t="n">
        <v>3901</v>
      </c>
      <c r="C118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8" t="n">
        <v>500</v>
      </c>
      <c r="E118" t="inlineStr">
        <is>
          <t>คลองระพีพัฒน์ - บึงคำพร้อย</t>
        </is>
      </c>
      <c r="F118" t="inlineStr">
        <is>
          <t>14+300</t>
        </is>
      </c>
      <c r="G118" t="inlineStr">
        <is>
          <t>สถานีย่อย (C)</t>
        </is>
      </c>
      <c r="H118" t="n">
        <v>10455</v>
      </c>
      <c r="I118" t="n">
        <v>2025</v>
      </c>
      <c r="J118" t="inlineStr">
        <is>
          <t>ขท.ปทุมธานี</t>
        </is>
      </c>
      <c r="K118" t="inlineStr">
        <is>
          <t>ปทุมธานี</t>
        </is>
      </c>
      <c r="L118" t="n">
        <v>14.0748163107037</v>
      </c>
      <c r="M118" t="n">
        <v>100.695907532553</v>
      </c>
      <c r="N118" t="inlineStr">
        <is>
          <t>POINT (14.0748163107037 100.695907532553)</t>
        </is>
      </c>
    </row>
    <row r="119">
      <c r="A119" t="inlineStr">
        <is>
          <t>hods_aadt_pnt_2568.fid-6461857d_1a0f2643074_531e</t>
        </is>
      </c>
      <c r="B119" t="n">
        <v>3901</v>
      </c>
      <c r="C119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19" t="n">
        <v>500</v>
      </c>
      <c r="E119" t="inlineStr">
        <is>
          <t>คลองระพีพัฒน์ - บึงคำพร้อย</t>
        </is>
      </c>
      <c r="F119" t="inlineStr">
        <is>
          <t>25+000</t>
        </is>
      </c>
      <c r="G119" t="inlineStr">
        <is>
          <t>สถานีย่อย (C)</t>
        </is>
      </c>
      <c r="H119" t="n">
        <v>19118</v>
      </c>
      <c r="I119" t="n">
        <v>2025</v>
      </c>
      <c r="J119" t="inlineStr">
        <is>
          <t>ขท.ปทุมธานี</t>
        </is>
      </c>
      <c r="K119" t="inlineStr">
        <is>
          <t>ปทุมธานี</t>
        </is>
      </c>
      <c r="L119" t="n">
        <v>13.9848481738176</v>
      </c>
      <c r="M119" t="n">
        <v>100.713422490824</v>
      </c>
      <c r="N119" t="inlineStr">
        <is>
          <t>POINT (13.9848481738176 100.713422490824)</t>
        </is>
      </c>
    </row>
    <row r="120">
      <c r="A120" t="inlineStr">
        <is>
          <t>hods_aadt_pnt_2568.fid-6461857d_1a0f2643074_531f</t>
        </is>
      </c>
      <c r="B120" t="n">
        <v>3901</v>
      </c>
      <c r="C120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20" t="n">
        <v>500</v>
      </c>
      <c r="E120" t="inlineStr">
        <is>
          <t>คลองระพีพัฒน์ - บึงคำพร้อย</t>
        </is>
      </c>
      <c r="F120" t="inlineStr">
        <is>
          <t>25+000</t>
        </is>
      </c>
      <c r="G120" t="inlineStr">
        <is>
          <t>สถานีย่อย (C)</t>
        </is>
      </c>
      <c r="H120" t="n">
        <v>19118</v>
      </c>
      <c r="I120" t="n">
        <v>2025</v>
      </c>
      <c r="J120" t="inlineStr">
        <is>
          <t>ขท.ปทุมธานี</t>
        </is>
      </c>
      <c r="K120" t="inlineStr">
        <is>
          <t>ปทุมธานี</t>
        </is>
      </c>
      <c r="L120" t="n">
        <v>13.9848481738176</v>
      </c>
      <c r="M120" t="n">
        <v>100.713422490824</v>
      </c>
      <c r="N120" t="inlineStr">
        <is>
          <t>POINT (13.9848481738176 100.713422490824)</t>
        </is>
      </c>
    </row>
    <row r="121">
      <c r="A121" t="inlineStr">
        <is>
          <t>hods_aadt_pnt_2568.fid-6461857d_1a0f2643074_5320</t>
        </is>
      </c>
      <c r="B121" t="n">
        <v>3901</v>
      </c>
      <c r="C121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21" t="n">
        <v>500</v>
      </c>
      <c r="E121" t="inlineStr">
        <is>
          <t>คลองระพีพัฒน์ - บึงคำพร้อย</t>
        </is>
      </c>
      <c r="F121" t="inlineStr">
        <is>
          <t>25+000</t>
        </is>
      </c>
      <c r="G121" t="inlineStr">
        <is>
          <t>สถานีย่อย (C)</t>
        </is>
      </c>
      <c r="H121" t="n">
        <v>19118</v>
      </c>
      <c r="I121" t="n">
        <v>2025</v>
      </c>
      <c r="J121" t="inlineStr">
        <is>
          <t>ขท.ปทุมธานี</t>
        </is>
      </c>
      <c r="K121" t="inlineStr">
        <is>
          <t>ปทุมธานี</t>
        </is>
      </c>
      <c r="L121" t="n">
        <v>13.9848481738176</v>
      </c>
      <c r="M121" t="n">
        <v>100.713422490824</v>
      </c>
      <c r="N121" t="inlineStr">
        <is>
          <t>POINT (13.9848481738176 100.713422490824)</t>
        </is>
      </c>
    </row>
    <row r="122">
      <c r="A122" t="inlineStr">
        <is>
          <t>hods_aadt_pnt_2568.fid-6461857d_1a0f2643074_5321</t>
        </is>
      </c>
      <c r="B122" t="n">
        <v>3901</v>
      </c>
      <c r="C122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22" t="n">
        <v>500</v>
      </c>
      <c r="E122" t="inlineStr">
        <is>
          <t>คลองระพีพัฒน์ - บึงคำพร้อย</t>
        </is>
      </c>
      <c r="F122" t="inlineStr">
        <is>
          <t>25+000</t>
        </is>
      </c>
      <c r="G122" t="inlineStr">
        <is>
          <t>สถานีย่อย (C)</t>
        </is>
      </c>
      <c r="H122" t="n">
        <v>19118</v>
      </c>
      <c r="I122" t="n">
        <v>2025</v>
      </c>
      <c r="J122" t="inlineStr">
        <is>
          <t>ขท.ปทุมธานี</t>
        </is>
      </c>
      <c r="K122" t="inlineStr">
        <is>
          <t>ปทุมธานี</t>
        </is>
      </c>
      <c r="L122" t="n">
        <v>13.9848481738176</v>
      </c>
      <c r="M122" t="n">
        <v>100.713422490824</v>
      </c>
      <c r="N122" t="inlineStr">
        <is>
          <t>POINT (13.9848481738176 100.713422490824)</t>
        </is>
      </c>
    </row>
    <row r="123">
      <c r="A123" t="inlineStr">
        <is>
          <t>hods_aadt_pnt_2568.fid-6461857d_1a0f2643074_5322</t>
        </is>
      </c>
      <c r="B123" t="n">
        <v>3901</v>
      </c>
      <c r="C123" t="inlineStr">
        <is>
          <t>ทางบริการด้านนอกของทางหลวงพิเศษหมายเลข 9 ถนนวงแหวนรอบนอกกรุงเทพมหานคร</t>
        </is>
      </c>
      <c r="D123" t="n">
        <v>500</v>
      </c>
      <c r="E123" t="inlineStr">
        <is>
          <t>คลองระพีพัฒน์ - บึงคำพร้อย</t>
        </is>
      </c>
      <c r="F123" t="inlineStr">
        <is>
          <t>25+000</t>
        </is>
      </c>
      <c r="G123" t="inlineStr">
        <is>
          <t>สถานีย่อย (C)</t>
        </is>
      </c>
      <c r="H123" t="n">
        <v>19118</v>
      </c>
      <c r="I123" t="n">
        <v>2025</v>
      </c>
      <c r="J123" t="inlineStr">
        <is>
          <t>ขท.ปทุมธานี</t>
        </is>
      </c>
      <c r="K123" t="inlineStr">
        <is>
          <t>ปทุมธานี</t>
        </is>
      </c>
      <c r="L123" t="n">
        <v>13.9848481738176</v>
      </c>
      <c r="M123" t="n">
        <v>100.713422490824</v>
      </c>
      <c r="N123" t="inlineStr">
        <is>
          <t>POINT (13.9848481738176 100.713422490824)</t>
        </is>
      </c>
    </row>
    <row r="124">
      <c r="A124" t="inlineStr">
        <is>
          <t>hods_aadt_pnt_2568.fid-6461857d_1a0f2643074_5323</t>
        </is>
      </c>
      <c r="B124" t="n">
        <v>3902</v>
      </c>
      <c r="C124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24" t="n">
        <v>102</v>
      </c>
      <c r="E124" t="inlineStr">
        <is>
          <t>บางแค - คลองมหาสวัสดิ์</t>
        </is>
      </c>
      <c r="F124" t="inlineStr">
        <is>
          <t>20+430</t>
        </is>
      </c>
      <c r="G124" t="inlineStr">
        <is>
          <t>สถานีย่อย (C)</t>
        </is>
      </c>
      <c r="H124" t="n">
        <v>38106</v>
      </c>
      <c r="I124" t="n">
        <v>2025</v>
      </c>
      <c r="J124" t="inlineStr">
        <is>
          <t>ขท.ธนบุรี</t>
        </is>
      </c>
      <c r="K124" t="inlineStr">
        <is>
          <t>กรุงเทพมหานคร</t>
        </is>
      </c>
      <c r="L124" t="n">
        <v>13.6803860682456</v>
      </c>
      <c r="M124" t="n">
        <v>100.406817343369</v>
      </c>
      <c r="N124" t="inlineStr">
        <is>
          <t>POINT (13.6803860682456 100.406817343369)</t>
        </is>
      </c>
    </row>
    <row r="125">
      <c r="A125" t="inlineStr">
        <is>
          <t>hods_aadt_pnt_2568.fid-6461857d_1a0f2643074_5324</t>
        </is>
      </c>
      <c r="B125" t="n">
        <v>3902</v>
      </c>
      <c r="C125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25" t="n">
        <v>201</v>
      </c>
      <c r="E125" t="inlineStr">
        <is>
          <t>คลองมหาสวัสดิ์ - คลองบางไผ่</t>
        </is>
      </c>
      <c r="F125" t="inlineStr">
        <is>
          <t>35+322</t>
        </is>
      </c>
      <c r="G125" t="inlineStr">
        <is>
          <t>สถานีย่อย (C)</t>
        </is>
      </c>
      <c r="H125" t="n">
        <v>83553</v>
      </c>
      <c r="I125" t="n">
        <v>2025</v>
      </c>
      <c r="J125" t="inlineStr">
        <is>
          <t>ขท.นนทบุรี</t>
        </is>
      </c>
      <c r="K125" t="inlineStr">
        <is>
          <t>นนทบุรี</t>
        </is>
      </c>
      <c r="L125" t="n">
        <v>13.8218436479156</v>
      </c>
      <c r="M125" t="n">
        <v>100.412558749955</v>
      </c>
      <c r="N125" t="inlineStr">
        <is>
          <t>POINT (13.8218436479156 100.412558749955)</t>
        </is>
      </c>
    </row>
    <row r="126">
      <c r="A126" t="inlineStr">
        <is>
          <t>hods_aadt_pnt_2568.fid-6461857d_1a0f2643074_5325</t>
        </is>
      </c>
      <c r="B126" t="n">
        <v>3902</v>
      </c>
      <c r="C126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26" t="n">
        <v>201</v>
      </c>
      <c r="E126" t="inlineStr">
        <is>
          <t>คลองมหาสวัสดิ์ - คลองบางไผ่</t>
        </is>
      </c>
      <c r="F126" t="inlineStr">
        <is>
          <t>39+528</t>
        </is>
      </c>
      <c r="G126" t="inlineStr">
        <is>
          <t>สถานีย่อย (C)</t>
        </is>
      </c>
      <c r="H126" t="n">
        <v>83819</v>
      </c>
      <c r="I126" t="n">
        <v>2025</v>
      </c>
      <c r="J126" t="inlineStr">
        <is>
          <t>ขท.นนทบุรี</t>
        </is>
      </c>
      <c r="K126" t="inlineStr">
        <is>
          <t>นนทบุรี</t>
        </is>
      </c>
      <c r="L126" t="n">
        <v>13.8597689684125</v>
      </c>
      <c r="M126" t="n">
        <v>100.411375923833</v>
      </c>
      <c r="N126" t="inlineStr">
        <is>
          <t>POINT (13.8597689684125 100.411375923833)</t>
        </is>
      </c>
    </row>
    <row r="127">
      <c r="A127" t="inlineStr">
        <is>
          <t>hods_aadt_pnt_2568.fid-6461857d_1a0f2643074_5326</t>
        </is>
      </c>
      <c r="B127" t="n">
        <v>3902</v>
      </c>
      <c r="C127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27" t="n">
        <v>202</v>
      </c>
      <c r="E127" t="inlineStr">
        <is>
          <t>คลองบางไผ่ - คลองบางหลวง</t>
        </is>
      </c>
      <c r="F127" t="inlineStr">
        <is>
          <t>46+472</t>
        </is>
      </c>
      <c r="G127" t="inlineStr">
        <is>
          <t>สถานีย่อย (C)</t>
        </is>
      </c>
      <c r="H127" t="n">
        <v>95918</v>
      </c>
      <c r="I127" t="n">
        <v>2025</v>
      </c>
      <c r="J127" t="inlineStr">
        <is>
          <t>ขท.นนทบุรี</t>
        </is>
      </c>
      <c r="K127" t="inlineStr">
        <is>
          <t>นนทบุรี</t>
        </is>
      </c>
      <c r="L127" t="n">
        <v>13.9217260791823</v>
      </c>
      <c r="M127" t="n">
        <v>100.412335689944</v>
      </c>
      <c r="N127" t="inlineStr">
        <is>
          <t>POINT (13.9217260791823 100.412335689944)</t>
        </is>
      </c>
    </row>
    <row r="128">
      <c r="A128" t="inlineStr">
        <is>
          <t>hods_aadt_pnt_2568.fid-6461857d_1a0f2643074_5328</t>
        </is>
      </c>
      <c r="B128" t="n">
        <v>3902</v>
      </c>
      <c r="C128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28" t="n">
        <v>500</v>
      </c>
      <c r="E128" t="inlineStr">
        <is>
          <t>คลองระพีพัฒน์ - บึงคำพร้อย</t>
        </is>
      </c>
      <c r="F128" t="inlineStr">
        <is>
          <t>14+300</t>
        </is>
      </c>
      <c r="G128" t="inlineStr">
        <is>
          <t>สถานีย่อย (C)</t>
        </is>
      </c>
      <c r="H128" t="n">
        <v>13741</v>
      </c>
      <c r="I128" t="n">
        <v>2025</v>
      </c>
      <c r="J128" t="inlineStr">
        <is>
          <t>ขท.ปทุมธานี</t>
        </is>
      </c>
      <c r="K128" t="inlineStr">
        <is>
          <t>ปทุมธานี</t>
        </is>
      </c>
      <c r="L128" t="n">
        <v>14.0757042639476</v>
      </c>
      <c r="M128" t="n">
        <v>100.69559328531</v>
      </c>
      <c r="N128" t="inlineStr">
        <is>
          <t>POINT (14.0757042639476 100.69559328531)</t>
        </is>
      </c>
    </row>
    <row r="129">
      <c r="A129" t="inlineStr">
        <is>
          <t>hods_aadt_pnt_2568.fid-6461857d_1a0f2643074_5329</t>
        </is>
      </c>
      <c r="B129" t="n">
        <v>3902</v>
      </c>
      <c r="C129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29" t="n">
        <v>500</v>
      </c>
      <c r="E129" t="inlineStr">
        <is>
          <t>คลองระพีพัฒน์ - บึงคำพร้อย</t>
        </is>
      </c>
      <c r="F129" t="inlineStr">
        <is>
          <t>14+300</t>
        </is>
      </c>
      <c r="G129" t="inlineStr">
        <is>
          <t>สถานีย่อย (C)</t>
        </is>
      </c>
      <c r="H129" t="n">
        <v>13741</v>
      </c>
      <c r="I129" t="n">
        <v>2025</v>
      </c>
      <c r="J129" t="inlineStr">
        <is>
          <t>ขท.ปทุมธานี</t>
        </is>
      </c>
      <c r="K129" t="inlineStr">
        <is>
          <t>ปทุมธานี</t>
        </is>
      </c>
      <c r="L129" t="n">
        <v>14.0757042639476</v>
      </c>
      <c r="M129" t="n">
        <v>100.69559328531</v>
      </c>
      <c r="N129" t="inlineStr">
        <is>
          <t>POINT (14.0757042639476 100.69559328531)</t>
        </is>
      </c>
    </row>
    <row r="130">
      <c r="A130" t="inlineStr">
        <is>
          <t>hods_aadt_pnt_2568.fid-6461857d_1a0f2643074_532a</t>
        </is>
      </c>
      <c r="B130" t="n">
        <v>3902</v>
      </c>
      <c r="C130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0" t="n">
        <v>500</v>
      </c>
      <c r="E130" t="inlineStr">
        <is>
          <t>คลองระพีพัฒน์ - บึงคำพร้อย</t>
        </is>
      </c>
      <c r="F130" t="inlineStr">
        <is>
          <t>14+300</t>
        </is>
      </c>
      <c r="G130" t="inlineStr">
        <is>
          <t>สถานีย่อย (C)</t>
        </is>
      </c>
      <c r="H130" t="n">
        <v>13741</v>
      </c>
      <c r="I130" t="n">
        <v>2025</v>
      </c>
      <c r="J130" t="inlineStr">
        <is>
          <t>ขท.ปทุมธานี</t>
        </is>
      </c>
      <c r="K130" t="inlineStr">
        <is>
          <t>ปทุมธานี</t>
        </is>
      </c>
      <c r="L130" t="n">
        <v>14.0757042639476</v>
      </c>
      <c r="M130" t="n">
        <v>100.69559328531</v>
      </c>
      <c r="N130" t="inlineStr">
        <is>
          <t>POINT (14.0757042639476 100.69559328531)</t>
        </is>
      </c>
    </row>
    <row r="131">
      <c r="A131" t="inlineStr">
        <is>
          <t>hods_aadt_pnt_2568.fid-6461857d_1a0f2643074_532b</t>
        </is>
      </c>
      <c r="B131" t="n">
        <v>3902</v>
      </c>
      <c r="C131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1" t="n">
        <v>500</v>
      </c>
      <c r="E131" t="inlineStr">
        <is>
          <t>คลองระพีพัฒน์ - บึงคำพร้อย</t>
        </is>
      </c>
      <c r="F131" t="inlineStr">
        <is>
          <t>14+300</t>
        </is>
      </c>
      <c r="G131" t="inlineStr">
        <is>
          <t>สถานีย่อย (C)</t>
        </is>
      </c>
      <c r="H131" t="n">
        <v>13741</v>
      </c>
      <c r="I131" t="n">
        <v>2025</v>
      </c>
      <c r="J131" t="inlineStr">
        <is>
          <t>ขท.ปทุมธานี</t>
        </is>
      </c>
      <c r="K131" t="inlineStr">
        <is>
          <t>ปทุมธานี</t>
        </is>
      </c>
      <c r="L131" t="n">
        <v>14.0757042639476</v>
      </c>
      <c r="M131" t="n">
        <v>100.69559328531</v>
      </c>
      <c r="N131" t="inlineStr">
        <is>
          <t>POINT (14.0757042639476 100.69559328531)</t>
        </is>
      </c>
    </row>
    <row r="132">
      <c r="A132" t="inlineStr">
        <is>
          <t>hods_aadt_pnt_2568.fid-6461857d_1a0f2643074_532c</t>
        </is>
      </c>
      <c r="B132" t="n">
        <v>3902</v>
      </c>
      <c r="C132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2" t="n">
        <v>500</v>
      </c>
      <c r="E132" t="inlineStr">
        <is>
          <t>คลองระพีพัฒน์ - บึงคำพร้อย</t>
        </is>
      </c>
      <c r="F132" t="inlineStr">
        <is>
          <t>14+300</t>
        </is>
      </c>
      <c r="G132" t="inlineStr">
        <is>
          <t>สถานีย่อย (C)</t>
        </is>
      </c>
      <c r="H132" t="n">
        <v>13741</v>
      </c>
      <c r="I132" t="n">
        <v>2025</v>
      </c>
      <c r="J132" t="inlineStr">
        <is>
          <t>ขท.ปทุมธานี</t>
        </is>
      </c>
      <c r="K132" t="inlineStr">
        <is>
          <t>ปทุมธานี</t>
        </is>
      </c>
      <c r="L132" t="n">
        <v>14.0757042639476</v>
      </c>
      <c r="M132" t="n">
        <v>100.69559328531</v>
      </c>
      <c r="N132" t="inlineStr">
        <is>
          <t>POINT (14.0757042639476 100.69559328531)</t>
        </is>
      </c>
    </row>
    <row r="133">
      <c r="A133" t="inlineStr">
        <is>
          <t>hods_aadt_pnt_2568.fid-6461857d_1a0f2643074_532d</t>
        </is>
      </c>
      <c r="B133" t="n">
        <v>3902</v>
      </c>
      <c r="C133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3" t="n">
        <v>500</v>
      </c>
      <c r="E133" t="inlineStr">
        <is>
          <t>คลองระพีพัฒน์ - บึงคำพร้อย</t>
        </is>
      </c>
      <c r="F133" t="inlineStr">
        <is>
          <t>25+000</t>
        </is>
      </c>
      <c r="G133" t="inlineStr">
        <is>
          <t>สถานีย่อย (C)</t>
        </is>
      </c>
      <c r="H133" t="n">
        <v>16588</v>
      </c>
      <c r="I133" t="n">
        <v>2025</v>
      </c>
      <c r="J133" t="inlineStr">
        <is>
          <t>ขท.ปทุมธานี</t>
        </is>
      </c>
      <c r="K133" t="inlineStr">
        <is>
          <t>ปทุมธานี</t>
        </is>
      </c>
      <c r="L133" t="n">
        <v>13.984414780929</v>
      </c>
      <c r="M133" t="n">
        <v>100.713169072341</v>
      </c>
      <c r="N133" t="inlineStr">
        <is>
          <t>POINT (13.984414780929 100.713169072341)</t>
        </is>
      </c>
    </row>
    <row r="134">
      <c r="A134" t="inlineStr">
        <is>
          <t>hods_aadt_pnt_2568.fid-6461857d_1a0f2643074_532e</t>
        </is>
      </c>
      <c r="B134" t="n">
        <v>3902</v>
      </c>
      <c r="C134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4" t="n">
        <v>500</v>
      </c>
      <c r="E134" t="inlineStr">
        <is>
          <t>คลองระพีพัฒน์ - บึงคำพร้อย</t>
        </is>
      </c>
      <c r="F134" t="inlineStr">
        <is>
          <t>25+000</t>
        </is>
      </c>
      <c r="G134" t="inlineStr">
        <is>
          <t>สถานีย่อย (C)</t>
        </is>
      </c>
      <c r="H134" t="n">
        <v>16588</v>
      </c>
      <c r="I134" t="n">
        <v>2025</v>
      </c>
      <c r="J134" t="inlineStr">
        <is>
          <t>ขท.ปทุมธานี</t>
        </is>
      </c>
      <c r="K134" t="inlineStr">
        <is>
          <t>ปทุมธานี</t>
        </is>
      </c>
      <c r="L134" t="n">
        <v>13.984414780929</v>
      </c>
      <c r="M134" t="n">
        <v>100.713169072341</v>
      </c>
      <c r="N134" t="inlineStr">
        <is>
          <t>POINT (13.984414780929 100.713169072341)</t>
        </is>
      </c>
    </row>
    <row r="135">
      <c r="A135" t="inlineStr">
        <is>
          <t>hods_aadt_pnt_2568.fid-6461857d_1a0f2643074_532f</t>
        </is>
      </c>
      <c r="B135" t="n">
        <v>3902</v>
      </c>
      <c r="C135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5" t="n">
        <v>500</v>
      </c>
      <c r="E135" t="inlineStr">
        <is>
          <t>คลองระพีพัฒน์ - บึงคำพร้อย</t>
        </is>
      </c>
      <c r="F135" t="inlineStr">
        <is>
          <t>25+000</t>
        </is>
      </c>
      <c r="G135" t="inlineStr">
        <is>
          <t>สถานีย่อย (C)</t>
        </is>
      </c>
      <c r="H135" t="n">
        <v>16588</v>
      </c>
      <c r="I135" t="n">
        <v>2025</v>
      </c>
      <c r="J135" t="inlineStr">
        <is>
          <t>ขท.ปทุมธานี</t>
        </is>
      </c>
      <c r="K135" t="inlineStr">
        <is>
          <t>ปทุมธานี</t>
        </is>
      </c>
      <c r="L135" t="n">
        <v>13.984414780929</v>
      </c>
      <c r="M135" t="n">
        <v>100.713169072341</v>
      </c>
      <c r="N135" t="inlineStr">
        <is>
          <t>POINT (13.984414780929 100.713169072341)</t>
        </is>
      </c>
    </row>
    <row r="136">
      <c r="A136" t="inlineStr">
        <is>
          <t>hods_aadt_pnt_2568.fid-6461857d_1a0f2643074_5330</t>
        </is>
      </c>
      <c r="B136" t="n">
        <v>3902</v>
      </c>
      <c r="C136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6" t="n">
        <v>500</v>
      </c>
      <c r="E136" t="inlineStr">
        <is>
          <t>คลองระพีพัฒน์ - บึงคำพร้อย</t>
        </is>
      </c>
      <c r="F136" t="inlineStr">
        <is>
          <t>25+000</t>
        </is>
      </c>
      <c r="G136" t="inlineStr">
        <is>
          <t>สถานีย่อย (C)</t>
        </is>
      </c>
      <c r="H136" t="n">
        <v>16588</v>
      </c>
      <c r="I136" t="n">
        <v>2025</v>
      </c>
      <c r="J136" t="inlineStr">
        <is>
          <t>ขท.ปทุมธานี</t>
        </is>
      </c>
      <c r="K136" t="inlineStr">
        <is>
          <t>ปทุมธานี</t>
        </is>
      </c>
      <c r="L136" t="n">
        <v>13.984414780929</v>
      </c>
      <c r="M136" t="n">
        <v>100.713169072341</v>
      </c>
      <c r="N136" t="inlineStr">
        <is>
          <t>POINT (13.984414780929 100.713169072341)</t>
        </is>
      </c>
    </row>
    <row r="137">
      <c r="A137" t="inlineStr">
        <is>
          <t>hods_aadt_pnt_2568.fid-6461857d_1a0f2643074_5331</t>
        </is>
      </c>
      <c r="B137" t="n">
        <v>3902</v>
      </c>
      <c r="C137" t="inlineStr">
        <is>
          <t>ทางบริการด้านในของทางหลวงพิเศษหมายเลข 9 ถนนวงแหวนรอบนอกกรุงเทพมหานคร</t>
        </is>
      </c>
      <c r="D137" t="n">
        <v>500</v>
      </c>
      <c r="E137" t="inlineStr">
        <is>
          <t>คลองระพีพัฒน์ - บึงคำพร้อย</t>
        </is>
      </c>
      <c r="F137" t="inlineStr">
        <is>
          <t>25+000</t>
        </is>
      </c>
      <c r="G137" t="inlineStr">
        <is>
          <t>สถานีย่อย (C)</t>
        </is>
      </c>
      <c r="H137" t="n">
        <v>16588</v>
      </c>
      <c r="I137" t="n">
        <v>2025</v>
      </c>
      <c r="J137" t="inlineStr">
        <is>
          <t>ขท.ปทุมธานี</t>
        </is>
      </c>
      <c r="K137" t="inlineStr">
        <is>
          <t>ปทุมธานี</t>
        </is>
      </c>
      <c r="L137" t="n">
        <v>13.984414780929</v>
      </c>
      <c r="M137" t="n">
        <v>100.713169072341</v>
      </c>
      <c r="N137" t="inlineStr">
        <is>
          <t>POINT (13.984414780929 100.713169072341)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6" t="inlineStr">
        <is>
          <t>สูตร (สมการ 2.2)</t>
        </is>
      </c>
      <c r="B1" t="inlineStr">
        <is>
          <t>R = (A × 1,000,000) / (365 × T × V × L)</t>
        </is>
      </c>
    </row>
    <row r="2">
      <c r="A2" s="6" t="inlineStr">
        <is>
          <t>สูตร (สมการ 2.3 กรณีทางแยก)</t>
        </is>
      </c>
      <c r="B2" t="inlineStr">
        <is>
          <t>R = (A × 1,000,000) / (365 × T × V)</t>
        </is>
      </c>
    </row>
    <row r="3">
      <c r="A3" s="6" t="inlineStr">
        <is>
          <t>R</t>
        </is>
      </c>
      <c r="B3" t="inlineStr">
        <is>
          <t>อัตราการเกิดอุบัติเหตุ (สมการ 2.2: ครั้งต่อล้านคัน-กม. · สมการ 2.3: ครั้งต่อล้านคัน)</t>
        </is>
      </c>
    </row>
    <row r="4">
      <c r="A4" s="6" t="inlineStr">
        <is>
          <t>A</t>
        </is>
      </c>
      <c r="B4" t="inlineStr">
        <is>
          <t>จำนวนอุบัติเหตุในคลัสเตอร์ ปี 2566–2568 (accident_count ของแผนที่จุดเสี่ยง)</t>
        </is>
      </c>
    </row>
    <row r="5">
      <c r="A5" s="6" t="inlineStr">
        <is>
          <t>T</t>
        </is>
      </c>
      <c r="B5" t="inlineStr">
        <is>
          <t>ช่วงเวลาที่ศึกษา = 3 ปี</t>
        </is>
      </c>
    </row>
    <row r="6">
      <c r="A6" s="6" t="inlineStr">
        <is>
          <t>V</t>
        </is>
      </c>
      <c r="B6" t="inlineStr">
        <is>
          <t>AADT ปี 2568 (vehcat_aadt_all) ของจุดสำรวจในตอนควบคุมเดียวกับคลัสเตอร์ · ถ้าตอนมีหลายจุด ใช้ค่าสูงสุด</t>
        </is>
      </c>
    </row>
    <row r="7">
      <c r="A7" s="6" t="inlineStr">
        <is>
          <t>L</t>
        </is>
      </c>
      <c r="B7" t="inlineStr">
        <is>
          <t>กำหนดคงที่ = 1 กม. ทุกคลัสเตอร์ · เมื่อ L = 1 สมการ 2.2 กับ 2.3 ได้ตัวเลขเท่ากัน</t>
        </is>
      </c>
    </row>
    <row r="8">
      <c r="A8" s="6" t="inlineStr">
        <is>
          <t>ที่มาของสูตร</t>
        </is>
      </c>
      <c r="B8" t="inlineStr">
        <is>
          <t>ณัฐพงศ์ ซื่อสัตย์ (2558) วิทยานิพนธ์ มหาวิทยาลัยเทคโนโลยีสุรนารี หัวข้อ 2.1.2 สมการ 2.2–2.3</t>
        </is>
      </c>
    </row>
    <row r="9">
      <c r="A9" s="6" t="inlineStr">
        <is>
          <t>แหล่ง AADT</t>
        </is>
      </c>
      <c r="B9" t="inlineStr">
        <is>
          <t>ข้อมูลปริมาณจราจรบนทางหลวงรายจุดสำรวจ (AADT_Pnt_2568) · DOH One Map https://onemap.doh.go.th/metadata/438 · สำนักอำนวยความปลอดภัย กรมทางหลวง</t>
        </is>
      </c>
    </row>
    <row r="10">
      <c r="A10" s="6" t="inlineStr">
        <is>
          <t>พิกัดจุดสำรวจ</t>
        </is>
      </c>
      <c r="B10" t="inlineStr">
        <is>
          <t>คอลัมน์ spatial_data ในไฟล์ต้นฉบับเขียนเป็น POINT (lat lon) · แยกเป็นคอลัมน์ lat / lon ให้แล้ว</t>
        </is>
      </c>
    </row>
    <row r="11">
      <c r="A11" s="6" t="inlineStr">
        <is>
          <t>วิธีจับคู่</t>
        </is>
      </c>
      <c r="B11" t="inlineStr">
        <is>
          <t>เลขทางหลวง + ตอนควบคุมของคลัสเตอร์ (หาจากช่วง กม. ของตอนควบคุม) = highway_code + road_code ของจุดสำรวจ</t>
        </is>
      </c>
    </row>
    <row r="12">
      <c r="A12" s="6" t="inlineStr">
        <is>
          <t>ความครอบคลุม</t>
        </is>
      </c>
      <c r="B12" t="inlineStr">
        <is>
          <t>394 จาก 630 คลัสเตอร์ (62.5%) · ที่ขาด: ทางพิเศษ 126 · ทางหลวงชนบท 39 · ทล. ตอนสถานีอัตโนมัติ 71</t>
        </is>
      </c>
    </row>
    <row r="13">
      <c r="A13" s="6" t="inlineStr">
        <is>
          <t>คอลัมน์สีส้ม</t>
        </is>
      </c>
      <c r="B13" t="inlineStr">
        <is>
          <t>เป็นสูตร Excel คำนวณจาก A, T, V, L ในแถวเดียวกัน แก้ค่าแล้วผลเปลี่ยนตาม</t>
        </is>
      </c>
    </row>
    <row r="14">
      <c r="A14" s="6" t="inlineStr">
        <is>
          <t>จัดทำ</t>
        </is>
      </c>
      <c r="B14" t="inlineStr">
        <is>
          <t>1 ต.ค. 2569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2026-10-01T07:30:41Z</dcterms:created>
  <dcterms:modified xmlns:dcterms="http://purl.org/dc/terms/" xmlns:xsi="http://www.w3.org/2001/XMLSchema-instance" xsi:type="dcterms:W3CDTF">2026-10-01T07:30:41Z</dcterms:modified>
</cp:coreProperties>
</file>