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 ตอนควบคุม" sheetId="1" state="visible" r:id="rId1"/>
    <sheet xmlns:r="http://schemas.openxmlformats.org/officeDocument/2006/relationships" name="69 คลัสเตอร์ + Accident Rate" sheetId="2" state="visible" r:id="rId2"/>
    <sheet xmlns:r="http://schemas.openxmlformats.org/officeDocument/2006/relationships" name="วิธีตรวจสอบ" sheetId="3" state="visible" r:id="rId3"/>
  </sheets>
  <definedNames>
    <definedName name="_xlnm._FilterDatabase" localSheetId="1" hidden="1">'69 คลัสเตอร์ + Accident Rate'!$A$1:$V$70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FFF2CC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1" fillId="4" borderId="0" applyAlignment="1" pivotButton="0" quotePrefix="0" xfId="0">
      <alignment vertical="center" wrapText="1"/>
    </xf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station_id%2Cstation_type%2Cvehcat_aadt_all%2Ctraffic_year&amp;CQL_FILTER=highway_code%3D%270007%27+AND+road_code%3D%270101%27" TargetMode="External" Id="rId1"/><Relationship Type="http://schemas.openxmlformats.org/officeDocument/2006/relationships/hyperlink" Target="https://opendata.doh.go.th/dataset/ed101df4-f0a1-4d7f-b9d9-76859b2ca73e/resource/6f55e818-7d88-4466-b345-89348882f6c9" TargetMode="External" Id="rId2"/><Relationship Type="http://schemas.openxmlformats.org/officeDocument/2006/relationships/hyperlink" Target="https://opendata.doh.go.th/dataset/ed101df4-f0a1-4d7f-b9d9-76859b2ca73e/resource/f1a73a43-f496-4f35-a246-b0e5b373c3bd" TargetMode="External" Id="rId3"/><Relationship Type="http://schemas.openxmlformats.org/officeDocument/2006/relationships/hyperlink" Target="https://opendata.doh.go.th/dataset/ed101df4-f0a1-4d7f-b9d9-76859b2ca73e/resource/f88f9c4e-b32e-4cd1-bf51-4e1f84ba7b16" TargetMode="External" Id="rId4"/><Relationship Type="http://schemas.openxmlformats.org/officeDocument/2006/relationships/hyperlink" Target="https://onemap-layers.doh.go.th/geoserver/wfs?service=WFS&amp;version=2.0.0&amp;request=GetFeature&amp;typeNames=dohonemap%3Ahgds_aadt_pnt_2568&amp;outputFormat=application%2Fjson&amp;propertyName=highway_code%2Croad_code%2Croad_name%2Ckm%2Cstation_id%2Cvehcat_aadt_all%2Ctraffic_year%2Clatitude%2Clongitude&amp;CQL_FILTER=station_id%3D345" TargetMode="External" Id="rId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station_id%2Cstation_type%2Cvehcat_aadt_all%2Ctraffic_year&amp;CQL_FILTER=highway_code%3D%273902%27+AND+road_code%3D%270101%27" TargetMode="External" Id="rId6"/><Relationship Type="http://schemas.openxmlformats.org/officeDocument/2006/relationships/hyperlink" Target="https://opendata.doh.go.th/dataset/ed101df4-f0a1-4d7f-b9d9-76859b2ca73e/resource/6f55e818-7d88-4466-b345-89348882f6c9" TargetMode="External" Id="rId7"/><Relationship Type="http://schemas.openxmlformats.org/officeDocument/2006/relationships/hyperlink" Target="https://opendata.doh.go.th/dataset/ed101df4-f0a1-4d7f-b9d9-76859b2ca73e/resource/f1a73a43-f496-4f35-a246-b0e5b373c3bd" TargetMode="External" Id="rId8"/><Relationship Type="http://schemas.openxmlformats.org/officeDocument/2006/relationships/hyperlink" Target="https://opendata.doh.go.th/dataset/ed101df4-f0a1-4d7f-b9d9-76859b2ca73e/resource/f88f9c4e-b32e-4cd1-bf51-4e1f84ba7b16" TargetMode="External" Id="rId9"/><Relationship Type="http://schemas.openxmlformats.org/officeDocument/2006/relationships/hyperlink" Target="https://onemap-layers.doh.go.th/geoserver/wfs?service=WFS&amp;version=2.0.0&amp;request=GetFeature&amp;typeNames=dohonemap%3Ahgds_aadt_pnt_2568&amp;outputFormat=application%2Fjson&amp;propertyName=highway_code%2Croad_code%2Croad_name%2Ckm%2Cstation_id%2Cvehcat_aadt_all%2Ctraffic_year%2Clatitude%2Clongitude&amp;CQL_FILTER=station_id%3D130" TargetMode="External" Id="rId1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station_id%2Cstation_type%2Cvehcat_aadt_all%2Ctraffic_year&amp;CQL_FILTER=highway_code%3D%270031%27+AND+road_code%3D%270101%27" TargetMode="External" Id="rId11"/><Relationship Type="http://schemas.openxmlformats.org/officeDocument/2006/relationships/hyperlink" Target="https://opendata.doh.go.th/dataset/ed101df4-f0a1-4d7f-b9d9-76859b2ca73e/resource/6f55e818-7d88-4466-b345-89348882f6c9" TargetMode="External" Id="rId12"/><Relationship Type="http://schemas.openxmlformats.org/officeDocument/2006/relationships/hyperlink" Target="https://opendata.doh.go.th/dataset/ed101df4-f0a1-4d7f-b9d9-76859b2ca73e/resource/f1a73a43-f496-4f35-a246-b0e5b373c3bd" TargetMode="External" Id="rId13"/><Relationship Type="http://schemas.openxmlformats.org/officeDocument/2006/relationships/hyperlink" Target="https://opendata.doh.go.th/dataset/ed101df4-f0a1-4d7f-b9d9-76859b2ca73e/resource/f88f9c4e-b32e-4cd1-bf51-4e1f84ba7b16" TargetMode="External" Id="rId14"/><Relationship Type="http://schemas.openxmlformats.org/officeDocument/2006/relationships/hyperlink" Target="https://onemap-layers.doh.go.th/geoserver/wfs?service=WFS&amp;version=2.0.0&amp;request=GetFeature&amp;typeNames=dohonemap%3Ahgds_aadt_pnt_2568&amp;outputFormat=application%2Fjson&amp;propertyName=highway_code%2Croad_code%2Croad_name%2Ckm%2Cstation_id%2Cvehcat_aadt_all%2Ctraffic_year%2Clatitude%2Clongitude&amp;CQL_FILTER=station_id%3D104" TargetMode="External" Id="rId1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station_id%2Cstation_type%2Cvehcat_aadt_all%2Ctraffic_year&amp;CQL_FILTER=highway_code%3D%270009%27+AND+road_code%3D%270101%27" TargetMode="External" Id="rId16"/><Relationship Type="http://schemas.openxmlformats.org/officeDocument/2006/relationships/hyperlink" Target="https://opendata.doh.go.th/dataset/ed101df4-f0a1-4d7f-b9d9-76859b2ca73e/resource/6f55e818-7d88-4466-b345-89348882f6c9" TargetMode="External" Id="rId17"/><Relationship Type="http://schemas.openxmlformats.org/officeDocument/2006/relationships/hyperlink" Target="https://opendata.doh.go.th/dataset/ed101df4-f0a1-4d7f-b9d9-76859b2ca73e/resource/f1a73a43-f496-4f35-a246-b0e5b373c3bd" TargetMode="External" Id="rId18"/><Relationship Type="http://schemas.openxmlformats.org/officeDocument/2006/relationships/hyperlink" Target="https://opendata.doh.go.th/dataset/ed101df4-f0a1-4d7f-b9d9-76859b2ca73e/resource/f88f9c4e-b32e-4cd1-bf51-4e1f84ba7b16" TargetMode="External" Id="rId19"/><Relationship Type="http://schemas.openxmlformats.org/officeDocument/2006/relationships/hyperlink" Target="https://onemap-layers.doh.go.th/geoserver/wfs?service=WFS&amp;version=2.0.0&amp;request=GetFeature&amp;typeNames=dohonemap%3Ahgds_aadt_pnt_2568&amp;outputFormat=application%2Fjson&amp;propertyName=highway_code%2Croad_code%2Croad_name%2Ckm%2Cstation_id%2Cvehcat_aadt_all%2Ctraffic_year%2Clatitude%2Clongitude&amp;CQL_FILTER=station_id%3D123" TargetMode="External" Id="rId2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station_id%2Cstation_type%2Cvehcat_aadt_all%2Ctraffic_year&amp;CQL_FILTER=highway_code%3D%270302%27+AND+road_code%3D%270100%27" TargetMode="External" Id="rId21"/><Relationship Type="http://schemas.openxmlformats.org/officeDocument/2006/relationships/hyperlink" Target="https://opendata.doh.go.th/dataset/ed101df4-f0a1-4d7f-b9d9-76859b2ca73e/resource/6f55e818-7d88-4466-b345-89348882f6c9" TargetMode="External" Id="rId22"/><Relationship Type="http://schemas.openxmlformats.org/officeDocument/2006/relationships/hyperlink" Target="https://opendata.doh.go.th/dataset/ed101df4-f0a1-4d7f-b9d9-76859b2ca73e/resource/f1a73a43-f496-4f35-a246-b0e5b373c3bd" TargetMode="External" Id="rId23"/><Relationship Type="http://schemas.openxmlformats.org/officeDocument/2006/relationships/hyperlink" Target="https://opendata.doh.go.th/dataset/ed101df4-f0a1-4d7f-b9d9-76859b2ca73e/resource/f88f9c4e-b32e-4cd1-bf51-4e1f84ba7b16" TargetMode="External" Id="rId24"/><Relationship Type="http://schemas.openxmlformats.org/officeDocument/2006/relationships/hyperlink" Target="https://onemap-layers.doh.go.th/geoserver/wfs?service=WFS&amp;version=2.0.0&amp;request=GetFeature&amp;typeNames=dohonemap%3Ahgds_aadt_pnt_2568&amp;outputFormat=application%2Fjson&amp;propertyName=highway_code%2Croad_code%2Croad_name%2Ckm%2Cstation_id%2Cvehcat_aadt_all%2Ctraffic_year%2Clatitude%2Clongitude&amp;CQL_FILTER=station_id%3D104" TargetMode="External" Id="rId2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station_id%2Cstation_type%2Cvehcat_aadt_all%2Ctraffic_year&amp;CQL_FILTER=highway_code%3D%270341%27+AND+road_code%3D%270100%27" TargetMode="External" Id="rId26"/><Relationship Type="http://schemas.openxmlformats.org/officeDocument/2006/relationships/hyperlink" Target="https://opendata.doh.go.th/dataset/ed101df4-f0a1-4d7f-b9d9-76859b2ca73e/resource/6f55e818-7d88-4466-b345-89348882f6c9" TargetMode="External" Id="rId27"/><Relationship Type="http://schemas.openxmlformats.org/officeDocument/2006/relationships/hyperlink" Target="https://opendata.doh.go.th/dataset/ed101df4-f0a1-4d7f-b9d9-76859b2ca73e/resource/f1a73a43-f496-4f35-a246-b0e5b373c3bd" TargetMode="External" Id="rId28"/><Relationship Type="http://schemas.openxmlformats.org/officeDocument/2006/relationships/hyperlink" Target="https://opendata.doh.go.th/dataset/ed101df4-f0a1-4d7f-b9d9-76859b2ca73e/resource/f88f9c4e-b32e-4cd1-bf51-4e1f84ba7b16" TargetMode="External" Id="rId29"/><Relationship Type="http://schemas.openxmlformats.org/officeDocument/2006/relationships/hyperlink" Target="https://onemap-layers.doh.go.th/geoserver/wfs?service=WFS&amp;version=2.0.0&amp;request=GetFeature&amp;typeNames=dohonemap%3Ahgds_aadt_pnt_2568&amp;outputFormat=application%2Fjson&amp;propertyName=highway_code%2Croad_code%2Croad_name%2Ckm%2Cstation_id%2Cvehcat_aadt_all%2Ctraffic_year%2Clatitude%2Clongitude&amp;CQL_FILTER=station_id%3D125" TargetMode="External" Id="rId3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station_id%2Cstation_type%2Cvehcat_aadt_all%2Ctraffic_year&amp;CQL_FILTER=highway_code%3D%270350%27+AND+road_code%3D%270100%27" TargetMode="External" Id="rId31"/><Relationship Type="http://schemas.openxmlformats.org/officeDocument/2006/relationships/hyperlink" Target="https://opendata.doh.go.th/dataset/ed101df4-f0a1-4d7f-b9d9-76859b2ca73e/resource/6f55e818-7d88-4466-b345-89348882f6c9" TargetMode="External" Id="rId32"/><Relationship Type="http://schemas.openxmlformats.org/officeDocument/2006/relationships/hyperlink" Target="https://opendata.doh.go.th/dataset/ed101df4-f0a1-4d7f-b9d9-76859b2ca73e/resource/f1a73a43-f496-4f35-a246-b0e5b373c3bd" TargetMode="External" Id="rId33"/><Relationship Type="http://schemas.openxmlformats.org/officeDocument/2006/relationships/hyperlink" Target="https://opendata.doh.go.th/dataset/ed101df4-f0a1-4d7f-b9d9-76859b2ca73e/resource/f88f9c4e-b32e-4cd1-bf51-4e1f84ba7b16" TargetMode="External" Id="rId34"/><Relationship Type="http://schemas.openxmlformats.org/officeDocument/2006/relationships/hyperlink" Target="https://onemap-layers.doh.go.th/geoserver/wfs?service=WFS&amp;version=2.0.0&amp;request=GetFeature&amp;typeNames=dohonemap%3Ahgds_aadt_pnt_2568&amp;outputFormat=application%2Fjson&amp;propertyName=highway_code%2Croad_code%2Croad_name%2Ckm%2Cstation_id%2Cvehcat_aadt_all%2Ctraffic_year%2Clatitude%2Clongitude&amp;CQL_FILTER=station_id%3D8" TargetMode="External" Id="rId3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station_id%2Cstation_type%2Cvehcat_aadt_all%2Ctraffic_year&amp;CQL_FILTER=highway_code%3D%273651%27+AND+road_code%3D%270100%27" TargetMode="External" Id="rId36"/><Relationship Type="http://schemas.openxmlformats.org/officeDocument/2006/relationships/hyperlink" Target="https://opendata.doh.go.th/dataset/ed101df4-f0a1-4d7f-b9d9-76859b2ca73e/resource/6f55e818-7d88-4466-b345-89348882f6c9" TargetMode="External" Id="rId37"/><Relationship Type="http://schemas.openxmlformats.org/officeDocument/2006/relationships/hyperlink" Target="https://opendata.doh.go.th/dataset/ed101df4-f0a1-4d7f-b9d9-76859b2ca73e/resource/f1a73a43-f496-4f35-a246-b0e5b373c3bd" TargetMode="External" Id="rId38"/><Relationship Type="http://schemas.openxmlformats.org/officeDocument/2006/relationships/hyperlink" Target="https://opendata.doh.go.th/dataset/ed101df4-f0a1-4d7f-b9d9-76859b2ca73e/resource/f88f9c4e-b32e-4cd1-bf51-4e1f84ba7b16" TargetMode="External" Id="rId39"/><Relationship Type="http://schemas.openxmlformats.org/officeDocument/2006/relationships/hyperlink" Target="https://onemap-layers.doh.go.th/geoserver/wfs?service=WFS&amp;version=2.0.0&amp;request=GetFeature&amp;typeNames=dohonemap%3Ahgds_aadt_pnt_2568&amp;outputFormat=application%2Fjson&amp;propertyName=highway_code%2Croad_code%2Croad_name%2Ckm%2Cstation_id%2Cvehcat_aadt_all%2Ctraffic_year%2Clatitude%2Clongitude&amp;CQL_FILTER=station_id%3D61" TargetMode="External" Id="rId4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station_id%2Cstation_type%2Cvehcat_aadt_all%2Ctraffic_year&amp;CQL_FILTER=highway_code%3D%270003%27+AND+road_code%3D%270103%27" TargetMode="External" Id="rId41"/><Relationship Type="http://schemas.openxmlformats.org/officeDocument/2006/relationships/hyperlink" Target="https://opendata.doh.go.th/dataset/ed101df4-f0a1-4d7f-b9d9-76859b2ca73e/resource/6f55e818-7d88-4466-b345-89348882f6c9" TargetMode="External" Id="rId42"/><Relationship Type="http://schemas.openxmlformats.org/officeDocument/2006/relationships/hyperlink" Target="https://opendata.doh.go.th/dataset/ed101df4-f0a1-4d7f-b9d9-76859b2ca73e/resource/f1a73a43-f496-4f35-a246-b0e5b373c3bd" TargetMode="External" Id="rId43"/><Relationship Type="http://schemas.openxmlformats.org/officeDocument/2006/relationships/hyperlink" Target="https://opendata.doh.go.th/dataset/ed101df4-f0a1-4d7f-b9d9-76859b2ca73e/resource/f88f9c4e-b32e-4cd1-bf51-4e1f84ba7b16" TargetMode="External" Id="rId44"/><Relationship Type="http://schemas.openxmlformats.org/officeDocument/2006/relationships/hyperlink" Target="https://onemap-layers.doh.go.th/geoserver/wfs?service=WFS&amp;version=2.0.0&amp;request=GetFeature&amp;typeNames=dohonemap%3Ahgds_aadt_pnt_2568&amp;outputFormat=application%2Fjson&amp;propertyName=highway_code%2Croad_code%2Croad_name%2Ckm%2Cstation_id%2Cvehcat_aadt_all%2Ctraffic_year%2Clatitude%2Clongitude&amp;CQL_FILTER=station_id%3D137" TargetMode="External" Id="rId4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station_id%2Cstation_type%2Cvehcat_aadt_all%2Ctraffic_year&amp;CQL_FILTER=highway_code%3D%270304%27+AND+road_code%3D%270202%27" TargetMode="External" Id="rId46"/><Relationship Type="http://schemas.openxmlformats.org/officeDocument/2006/relationships/hyperlink" Target="https://opendata.doh.go.th/dataset/ed101df4-f0a1-4d7f-b9d9-76859b2ca73e/resource/6f55e818-7d88-4466-b345-89348882f6c9" TargetMode="External" Id="rId47"/><Relationship Type="http://schemas.openxmlformats.org/officeDocument/2006/relationships/hyperlink" Target="https://opendata.doh.go.th/dataset/ed101df4-f0a1-4d7f-b9d9-76859b2ca73e/resource/f1a73a43-f496-4f35-a246-b0e5b373c3bd" TargetMode="External" Id="rId48"/><Relationship Type="http://schemas.openxmlformats.org/officeDocument/2006/relationships/hyperlink" Target="https://opendata.doh.go.th/dataset/ed101df4-f0a1-4d7f-b9d9-76859b2ca73e/resource/f88f9c4e-b32e-4cd1-bf51-4e1f84ba7b16" TargetMode="External" Id="rId49"/><Relationship Type="http://schemas.openxmlformats.org/officeDocument/2006/relationships/hyperlink" Target="https://onemap-layers.doh.go.th/geoserver/wfs?service=WFS&amp;version=2.0.0&amp;request=GetFeature&amp;typeNames=dohonemap%3Ahgds_aadt_pnt_2568&amp;outputFormat=application%2Fjson&amp;propertyName=highway_code%2Croad_code%2Croad_name%2Ckm%2Cstation_id%2Cvehcat_aadt_all%2Ctraffic_year%2Clatitude%2Clongitude&amp;CQL_FILTER=station_id%3D2" TargetMode="External" Id="rId5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station_id%2Cstation_type%2Cvehcat_aadt_all%2Ctraffic_year&amp;CQL_FILTER=highway_code%3D%273902%27+AND+road_code%3D%270300%27" TargetMode="External" Id="rId51"/><Relationship Type="http://schemas.openxmlformats.org/officeDocument/2006/relationships/hyperlink" Target="https://opendata.doh.go.th/dataset/ed101df4-f0a1-4d7f-b9d9-76859b2ca73e/resource/6f55e818-7d88-4466-b345-89348882f6c9" TargetMode="External" Id="rId52"/><Relationship Type="http://schemas.openxmlformats.org/officeDocument/2006/relationships/hyperlink" Target="https://opendata.doh.go.th/dataset/ed101df4-f0a1-4d7f-b9d9-76859b2ca73e/resource/f1a73a43-f496-4f35-a246-b0e5b373c3bd" TargetMode="External" Id="rId53"/><Relationship Type="http://schemas.openxmlformats.org/officeDocument/2006/relationships/hyperlink" Target="https://opendata.doh.go.th/dataset/ed101df4-f0a1-4d7f-b9d9-76859b2ca73e/resource/f88f9c4e-b32e-4cd1-bf51-4e1f84ba7b16" TargetMode="External" Id="rId54"/><Relationship Type="http://schemas.openxmlformats.org/officeDocument/2006/relationships/hyperlink" Target="https://onemap-layers.doh.go.th/geoserver/wfs?service=WFS&amp;version=2.0.0&amp;request=GetFeature&amp;typeNames=dohonemap%3Ahgds_aadt_pnt_2568&amp;outputFormat=application%2Fjson&amp;propertyName=highway_code%2Croad_code%2Croad_name%2Ckm%2Cstation_id%2Cvehcat_aadt_all%2Ctraffic_year%2Clatitude%2Clongitude&amp;CQL_FILTER=station_id%3D80" TargetMode="External" Id="rId5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station_id%2Cstation_type%2Cvehcat_aadt_all%2Ctraffic_year&amp;CQL_FILTER=highway_code%3D%270031%27+AND+road_code%3D%270102%27" TargetMode="External" Id="rId56"/><Relationship Type="http://schemas.openxmlformats.org/officeDocument/2006/relationships/hyperlink" Target="https://opendata.doh.go.th/dataset/ed101df4-f0a1-4d7f-b9d9-76859b2ca73e/resource/6f55e818-7d88-4466-b345-89348882f6c9" TargetMode="External" Id="rId57"/><Relationship Type="http://schemas.openxmlformats.org/officeDocument/2006/relationships/hyperlink" Target="https://opendata.doh.go.th/dataset/ed101df4-f0a1-4d7f-b9d9-76859b2ca73e/resource/f1a73a43-f496-4f35-a246-b0e5b373c3bd" TargetMode="External" Id="rId58"/><Relationship Type="http://schemas.openxmlformats.org/officeDocument/2006/relationships/hyperlink" Target="https://opendata.doh.go.th/dataset/ed101df4-f0a1-4d7f-b9d9-76859b2ca73e/resource/f88f9c4e-b32e-4cd1-bf51-4e1f84ba7b16" TargetMode="External" Id="rId59"/><Relationship Type="http://schemas.openxmlformats.org/officeDocument/2006/relationships/hyperlink" Target="https://onemap-layers.doh.go.th/geoserver/wfs?service=WFS&amp;version=2.0.0&amp;request=GetFeature&amp;typeNames=dohonemap%3Ahgds_aadt_pnt_2568&amp;outputFormat=application%2Fjson&amp;propertyName=highway_code%2Croad_code%2Croad_name%2Ckm%2Cstation_id%2Cvehcat_aadt_all%2Ctraffic_year%2Clatitude%2Clongitude&amp;CQL_FILTER=station_id%3D104" TargetMode="External" Id="rId6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station_id%2Cstation_type%2Cvehcat_aadt_all%2Ctraffic_year&amp;CQL_FILTER=highway_code%3D%273901%27+AND+road_code%3D%270101%27" TargetMode="External" Id="rId61"/><Relationship Type="http://schemas.openxmlformats.org/officeDocument/2006/relationships/hyperlink" Target="https://opendata.doh.go.th/dataset/ed101df4-f0a1-4d7f-b9d9-76859b2ca73e/resource/6f55e818-7d88-4466-b345-89348882f6c9" TargetMode="External" Id="rId62"/><Relationship Type="http://schemas.openxmlformats.org/officeDocument/2006/relationships/hyperlink" Target="https://opendata.doh.go.th/dataset/ed101df4-f0a1-4d7f-b9d9-76859b2ca73e/resource/f1a73a43-f496-4f35-a246-b0e5b373c3bd" TargetMode="External" Id="rId63"/><Relationship Type="http://schemas.openxmlformats.org/officeDocument/2006/relationships/hyperlink" Target="https://opendata.doh.go.th/dataset/ed101df4-f0a1-4d7f-b9d9-76859b2ca73e/resource/f88f9c4e-b32e-4cd1-bf51-4e1f84ba7b16" TargetMode="External" Id="rId64"/><Relationship Type="http://schemas.openxmlformats.org/officeDocument/2006/relationships/hyperlink" Target="https://onemap-layers.doh.go.th/geoserver/wfs?service=WFS&amp;version=2.0.0&amp;request=GetFeature&amp;typeNames=dohonemap%3Ahgds_aadt_pnt_2568&amp;outputFormat=application%2Fjson&amp;propertyName=highway_code%2Croad_code%2Croad_name%2Ckm%2Cstation_id%2Cvehcat_aadt_all%2Ctraffic_year%2Clatitude%2Clongitude&amp;CQL_FILTER=station_id%3D131" TargetMode="External" Id="rId6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station_id%2Cstation_type%2Cvehcat_aadt_all%2Ctraffic_year&amp;CQL_FILTER=highway_code%3D%273256%27+AND+road_code%3D%270101%27" TargetMode="External" Id="rId66"/><Relationship Type="http://schemas.openxmlformats.org/officeDocument/2006/relationships/hyperlink" Target="https://opendata.doh.go.th/dataset/ed101df4-f0a1-4d7f-b9d9-76859b2ca73e/resource/6f55e818-7d88-4466-b345-89348882f6c9" TargetMode="External" Id="rId67"/><Relationship Type="http://schemas.openxmlformats.org/officeDocument/2006/relationships/hyperlink" Target="https://opendata.doh.go.th/dataset/ed101df4-f0a1-4d7f-b9d9-76859b2ca73e/resource/f1a73a43-f496-4f35-a246-b0e5b373c3bd" TargetMode="External" Id="rId68"/><Relationship Type="http://schemas.openxmlformats.org/officeDocument/2006/relationships/hyperlink" Target="https://opendata.doh.go.th/dataset/ed101df4-f0a1-4d7f-b9d9-76859b2ca73e/resource/f88f9c4e-b32e-4cd1-bf51-4e1f84ba7b16" TargetMode="External" Id="rId69"/><Relationship Type="http://schemas.openxmlformats.org/officeDocument/2006/relationships/hyperlink" Target="https://onemap-layers.doh.go.th/geoserver/wfs?service=WFS&amp;version=2.0.0&amp;request=GetFeature&amp;typeNames=dohonemap%3Ahgds_aadt_pnt_2568&amp;outputFormat=application%2Fjson&amp;propertyName=highway_code%2Croad_code%2Croad_name%2Ckm%2Cstation_id%2Cvehcat_aadt_all%2Ctraffic_year%2Clatitude%2Clongitude&amp;CQL_FILTER=station_id%3D98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3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44" customWidth="1" min="19" max="19"/>
    <col width="14" customWidth="1" min="20" max="20"/>
    <col width="44" customWidth="1" min="21" max="21"/>
    <col width="14" customWidth="1" min="22" max="22"/>
    <col width="44" customWidth="1" min="23" max="23"/>
    <col width="14" customWidth="1" min="24" max="24"/>
    <col width="32" customWidth="1" min="25" max="25"/>
  </cols>
  <sheetData>
    <row r="1" ht="45" customHeight="1">
      <c r="A1" s="1" t="inlineStr">
        <is>
          <t>ทางหลวง</t>
        </is>
      </c>
      <c r="B1" s="1" t="inlineStr">
        <is>
          <t>ตอนควบคุม</t>
        </is>
      </c>
      <c r="C1" s="1" t="inlineStr">
        <is>
          <t>ชื่อตอน</t>
        </is>
      </c>
      <c r="D1" s="1" t="inlineStr">
        <is>
          <t>กม. ตอน</t>
        </is>
      </c>
      <c r="E1" s="1" t="inlineStr">
        <is>
          <t>station_id ตัวแทน (ทล. กำหนด)</t>
        </is>
      </c>
      <c r="F1" s="1" t="inlineStr">
        <is>
          <t>สถานีตัวแทน: ทางหลวง</t>
        </is>
      </c>
      <c r="G1" s="1" t="inlineStr">
        <is>
          <t>ตอน</t>
        </is>
      </c>
      <c r="H1" s="1" t="inlineStr">
        <is>
          <t>ชื่อตอนของสถานี</t>
        </is>
      </c>
      <c r="I1" s="1" t="inlineStr">
        <is>
          <t>กม. สถานี</t>
        </is>
      </c>
      <c r="J1" s="1" t="inlineStr">
        <is>
          <t>lat สถานี</t>
        </is>
      </c>
      <c r="K1" s="1" t="inlineStr">
        <is>
          <t>lon สถานี</t>
        </is>
      </c>
      <c r="L1" s="1" t="inlineStr">
        <is>
          <t>ประเภทสถานี</t>
        </is>
      </c>
      <c r="M1" s="1" t="inlineStr">
        <is>
          <t>AADT 2566</t>
        </is>
      </c>
      <c r="N1" s="1" t="inlineStr">
        <is>
          <t>AADT 2567</t>
        </is>
      </c>
      <c r="O1" s="1" t="inlineStr">
        <is>
          <t>AADT 2568</t>
        </is>
      </c>
      <c r="P1" s="1" t="inlineStr">
        <is>
          <t>AADT เฉลี่ย 3 ปี</t>
        </is>
      </c>
      <c r="Q1" s="1" t="inlineStr">
        <is>
          <t>ลิงก์ ① สถานีตัวแทนของตอน (ปี 2567)</t>
        </is>
      </c>
      <c r="R1" s="1" t="inlineStr">
        <is>
          <t>ลิงก์ ② 2566 (opendata ทล.)</t>
        </is>
      </c>
      <c r="S1" s="1" t="inlineStr">
        <is>
          <t>วิธีค้น 2566</t>
        </is>
      </c>
      <c r="T1" s="1" t="inlineStr">
        <is>
          <t>ลิงก์ ③ 2567 (opendata ทล.)</t>
        </is>
      </c>
      <c r="U1" s="1" t="inlineStr">
        <is>
          <t>วิธีค้น 2567</t>
        </is>
      </c>
      <c r="V1" s="1" t="inlineStr">
        <is>
          <t>ลิงก์ ④ 2568 (opendata ทล.)</t>
        </is>
      </c>
      <c r="W1" s="1" t="inlineStr">
        <is>
          <t>วิธีค้น 2568</t>
        </is>
      </c>
      <c r="X1" s="1" t="inlineStr">
        <is>
          <t>ลิงก์ ⑤ สถานีเดียวกัน 3 ปี (GeoServer)</t>
        </is>
      </c>
      <c r="Y1" s="1" t="inlineStr">
        <is>
          <t>หมายเหตุ</t>
        </is>
      </c>
    </row>
    <row r="2">
      <c r="A2" t="n">
        <v>7</v>
      </c>
      <c r="B2" t="inlineStr">
        <is>
          <t>0101</t>
        </is>
      </c>
      <c r="C2" t="inlineStr">
        <is>
          <t>ถนนศรีนครินทร - แขวงคลองสองต้นนุ่น</t>
        </is>
      </c>
      <c r="D2" t="inlineStr">
        <is>
          <t>0+000 – 8+000</t>
        </is>
      </c>
      <c r="E2" t="n">
        <v>345</v>
      </c>
      <c r="F2" t="n">
        <v>7</v>
      </c>
      <c r="G2" t="inlineStr">
        <is>
          <t>0103</t>
        </is>
      </c>
      <c r="H2" t="inlineStr">
        <is>
          <t>แขวงคลองสองต้นนุ่น - พิมพา</t>
        </is>
      </c>
      <c r="I2" t="inlineStr">
        <is>
          <t>17+000</t>
        </is>
      </c>
      <c r="J2" t="n">
        <v>13.7334</v>
      </c>
      <c r="K2" t="n">
        <v>100.79514</v>
      </c>
      <c r="L2" t="inlineStr">
        <is>
          <t>สถานีย่อย (C)</t>
        </is>
      </c>
      <c r="M2" s="2" t="n">
        <v>220901</v>
      </c>
      <c r="N2" s="2" t="n">
        <v>242192</v>
      </c>
      <c r="O2" s="2" t="n">
        <v>262343</v>
      </c>
      <c r="P2" s="2" t="n">
        <v>241812</v>
      </c>
      <c r="Q2" s="3" t="inlineStr">
        <is>
          <t>เปิดลิงก์</t>
        </is>
      </c>
      <c r="R2" s="3" t="inlineStr">
        <is>
          <t>เปิดลิงก์</t>
        </is>
      </c>
      <c r="S2" t="inlineStr">
        <is>
          <t>ค้นแถว ทางหลวงสาย 7 · ตอนควบคุม 103 · จุดสำรวจ 17+000 → คอลัมน์ 'รวม'</t>
        </is>
      </c>
      <c r="T2" s="3" t="inlineStr">
        <is>
          <t>เปิดลิงก์</t>
        </is>
      </c>
      <c r="U2" t="inlineStr">
        <is>
          <t>ค้นแถว ทางหลวงสาย 7 · ตอนควบคุม 103 · จุดสำรวจ 17+000 → คอลัมน์ 'รวม'</t>
        </is>
      </c>
      <c r="V2" s="3" t="inlineStr">
        <is>
          <t>เปิดลิงก์</t>
        </is>
      </c>
      <c r="W2" t="inlineStr">
        <is>
          <t>ค้นแถว ทางหลวงสาย 7 · ตอนควบคุม 103 · จุดสำรวจ 17+000 → คอลัมน์ 'รวม'</t>
        </is>
      </c>
      <c r="X2" s="3" t="inlineStr">
        <is>
          <t>เปิดลิงก์</t>
        </is>
      </c>
      <c r="Y2" t="inlineStr">
        <is>
          <t>สถานีอยู่ทางหลวงสายเดียวกัน (ตอนถัดไป)</t>
        </is>
      </c>
    </row>
    <row r="3">
      <c r="A3" t="n">
        <v>3902</v>
      </c>
      <c r="B3" t="inlineStr">
        <is>
          <t>0101</t>
        </is>
      </c>
      <c r="C3" t="inlineStr">
        <is>
          <t>พระประแดง - บางแค</t>
        </is>
      </c>
      <c r="D3" t="inlineStr">
        <is>
          <t>0+000 – 19+972</t>
        </is>
      </c>
      <c r="E3" t="n">
        <v>130</v>
      </c>
      <c r="F3" t="n">
        <v>3902</v>
      </c>
      <c r="G3" t="inlineStr">
        <is>
          <t>0102</t>
        </is>
      </c>
      <c r="H3" t="inlineStr">
        <is>
          <t>บางแค - คลองมหาสวัสดิ์</t>
        </is>
      </c>
      <c r="I3" t="inlineStr">
        <is>
          <t>20+430</t>
        </is>
      </c>
      <c r="J3" t="n">
        <v>13.680387</v>
      </c>
      <c r="K3" t="n">
        <v>100.40681</v>
      </c>
      <c r="L3" t="inlineStr">
        <is>
          <t>สถานีย่อย (C)</t>
        </is>
      </c>
      <c r="M3" s="2" t="n">
        <v>27004</v>
      </c>
      <c r="N3" s="2" t="n">
        <v>33591</v>
      </c>
      <c r="O3" s="2" t="n">
        <v>38106</v>
      </c>
      <c r="P3" s="2" t="n">
        <v>32900.3</v>
      </c>
      <c r="Q3" s="3" t="inlineStr">
        <is>
          <t>เปิดลิงก์</t>
        </is>
      </c>
      <c r="R3" s="3" t="inlineStr">
        <is>
          <t>เปิดลิงก์</t>
        </is>
      </c>
      <c r="S3" t="inlineStr">
        <is>
          <t>ค้นแถว ทางหลวงสาย 3902 · ตอนควบคุม 102 · จุดสำรวจ 20+430 → คอลัมน์ 'รวม'</t>
        </is>
      </c>
      <c r="T3" s="3" t="inlineStr">
        <is>
          <t>เปิดลิงก์</t>
        </is>
      </c>
      <c r="U3" t="inlineStr">
        <is>
          <t>ค้นแถว ทางหลวงสาย 3902 · ตอนควบคุม 102 · จุดสำรวจ 20+430 → คอลัมน์ 'รวม'</t>
        </is>
      </c>
      <c r="V3" s="3" t="inlineStr">
        <is>
          <t>เปิดลิงก์</t>
        </is>
      </c>
      <c r="W3" t="inlineStr">
        <is>
          <t>ค้นแถว ทางหลวงสาย 3902 · ตอนควบคุม 102 · จุดสำรวจ 20+430 → คอลัมน์ 'รวม'</t>
        </is>
      </c>
      <c r="X3" s="3" t="inlineStr">
        <is>
          <t>เปิดลิงก์</t>
        </is>
      </c>
      <c r="Y3" t="inlineStr">
        <is>
          <t>สถานีอยู่ทางหลวงสายเดียวกัน (ตอนถัดไป)</t>
        </is>
      </c>
    </row>
    <row r="4">
      <c r="A4" t="n">
        <v>31</v>
      </c>
      <c r="B4" t="inlineStr">
        <is>
          <t>0101</t>
        </is>
      </c>
      <c r="C4" t="inlineStr">
        <is>
          <t>ดินแดง - งามวงศ์วาน</t>
        </is>
      </c>
      <c r="D4" t="inlineStr">
        <is>
          <t>4+990 – 14+700</t>
        </is>
      </c>
      <c r="E4" t="n">
        <v>104</v>
      </c>
      <c r="F4" t="n">
        <v>302</v>
      </c>
      <c r="G4" t="inlineStr">
        <is>
          <t>0201</t>
        </is>
      </c>
      <c r="H4" t="inlineStr">
        <is>
          <t>แยกพงษ์เพชร - สะพานพระนั่งเกล้า</t>
        </is>
      </c>
      <c r="I4" t="inlineStr">
        <is>
          <t>5+822</t>
        </is>
      </c>
      <c r="J4" t="n">
        <v>13.858586</v>
      </c>
      <c r="K4" t="n">
        <v>100.52565</v>
      </c>
      <c r="L4" t="inlineStr">
        <is>
          <t>สถานีย่อย (C)</t>
        </is>
      </c>
      <c r="M4" s="2" t="n">
        <v>111493</v>
      </c>
      <c r="N4" s="2" t="n">
        <v>113776</v>
      </c>
      <c r="O4" s="2" t="n">
        <v>111297</v>
      </c>
      <c r="P4" s="2" t="n">
        <v>112188.7</v>
      </c>
      <c r="Q4" s="3" t="inlineStr">
        <is>
          <t>เปิดลิงก์</t>
        </is>
      </c>
      <c r="R4" s="3" t="inlineStr">
        <is>
          <t>เปิดลิงก์</t>
        </is>
      </c>
      <c r="S4" t="inlineStr">
        <is>
          <t>ค้นแถว ทางหลวงสาย 302 · ตอนควบคุม 201 · จุดสำรวจ 5+822 → คอลัมน์ 'รวม'</t>
        </is>
      </c>
      <c r="T4" s="3" t="inlineStr">
        <is>
          <t>เปิดลิงก์</t>
        </is>
      </c>
      <c r="U4" t="inlineStr">
        <is>
          <t>ค้นแถว ทางหลวงสาย 302 · ตอนควบคุม 201 · จุดสำรวจ 5+822 → คอลัมน์ 'รวม'</t>
        </is>
      </c>
      <c r="V4" s="3" t="inlineStr">
        <is>
          <t>เปิดลิงก์</t>
        </is>
      </c>
      <c r="W4" t="inlineStr">
        <is>
          <t>ค้นแถว ทางหลวงสาย 302 · ตอนควบคุม 201 · จุดสำรวจ 5+822 → คอลัมน์ 'รวม'</t>
        </is>
      </c>
      <c r="X4" s="3" t="inlineStr">
        <is>
          <t>เปิดลิงก์</t>
        </is>
      </c>
      <c r="Y4" s="4" t="inlineStr">
        <is>
          <t>⚠ ทล. ให้สถานีของทางหลวง 302 เป็นตัวแทน (ไม่ใช่สายเดียวกัน)</t>
        </is>
      </c>
    </row>
    <row r="5">
      <c r="A5" t="n">
        <v>9</v>
      </c>
      <c r="B5" t="inlineStr">
        <is>
          <t>0101</t>
        </is>
      </c>
      <c r="C5" t="inlineStr">
        <is>
          <t>พระประแดง - บางแค</t>
        </is>
      </c>
      <c r="D5" t="inlineStr">
        <is>
          <t>0+000 – 19+972</t>
        </is>
      </c>
      <c r="E5" t="n">
        <v>123</v>
      </c>
      <c r="F5" t="n">
        <v>9</v>
      </c>
      <c r="G5" t="inlineStr">
        <is>
          <t>0102</t>
        </is>
      </c>
      <c r="H5" t="inlineStr">
        <is>
          <t>บางแค - คลองมหาสวัสดิ์</t>
        </is>
      </c>
      <c r="I5" t="inlineStr">
        <is>
          <t>20+430</t>
        </is>
      </c>
      <c r="J5" t="n">
        <v>13.680379</v>
      </c>
      <c r="K5" t="n">
        <v>100.40671</v>
      </c>
      <c r="L5" t="inlineStr">
        <is>
          <t>สถานีย่อย (C)</t>
        </is>
      </c>
      <c r="M5" s="2" t="n">
        <v>161583</v>
      </c>
      <c r="N5" s="2" t="n">
        <v>167210</v>
      </c>
      <c r="O5" s="2" t="n">
        <v>164129</v>
      </c>
      <c r="P5" s="2" t="n">
        <v>164307.3</v>
      </c>
      <c r="Q5" s="3" t="inlineStr">
        <is>
          <t>เปิดลิงก์</t>
        </is>
      </c>
      <c r="R5" s="3" t="inlineStr">
        <is>
          <t>เปิดลิงก์</t>
        </is>
      </c>
      <c r="S5" t="inlineStr">
        <is>
          <t>ค้นแถว ทางหลวงสาย 9 · ตอนควบคุม 102 · จุดสำรวจ 20+430 → คอลัมน์ 'รวม'</t>
        </is>
      </c>
      <c r="T5" s="3" t="inlineStr">
        <is>
          <t>เปิดลิงก์</t>
        </is>
      </c>
      <c r="U5" t="inlineStr">
        <is>
          <t>ค้นแถว ทางหลวงสาย 9 · ตอนควบคุม 102 · จุดสำรวจ 20+430 → คอลัมน์ 'รวม'</t>
        </is>
      </c>
      <c r="V5" s="3" t="inlineStr">
        <is>
          <t>เปิดลิงก์</t>
        </is>
      </c>
      <c r="W5" t="inlineStr">
        <is>
          <t>ค้นแถว ทางหลวงสาย 9 · ตอนควบคุม 102 · จุดสำรวจ 20+430 → คอลัมน์ 'รวม'</t>
        </is>
      </c>
      <c r="X5" s="3" t="inlineStr">
        <is>
          <t>เปิดลิงก์</t>
        </is>
      </c>
      <c r="Y5" t="inlineStr">
        <is>
          <t>สถานีอยู่ทางหลวงสายเดียวกัน (ตอนถัดไป)</t>
        </is>
      </c>
    </row>
    <row r="6">
      <c r="A6" t="n">
        <v>302</v>
      </c>
      <c r="B6" t="inlineStr">
        <is>
          <t>0100</t>
        </is>
      </c>
      <c r="C6" t="inlineStr">
        <is>
          <t>แยกมหาวิทยาลัยเกษตรศาสตร์ - สี่แยกแคราย</t>
        </is>
      </c>
      <c r="D6" t="inlineStr">
        <is>
          <t>0+000 – 2+150</t>
        </is>
      </c>
      <c r="E6" t="n">
        <v>104</v>
      </c>
      <c r="F6" t="n">
        <v>302</v>
      </c>
      <c r="G6" t="inlineStr">
        <is>
          <t>0201</t>
        </is>
      </c>
      <c r="H6" t="inlineStr">
        <is>
          <t>แยกพงษ์เพชร - สะพานพระนั่งเกล้า</t>
        </is>
      </c>
      <c r="I6" t="inlineStr">
        <is>
          <t>5+822</t>
        </is>
      </c>
      <c r="J6" t="n">
        <v>13.858586</v>
      </c>
      <c r="K6" t="n">
        <v>100.52565</v>
      </c>
      <c r="L6" t="inlineStr">
        <is>
          <t>สถานีย่อย (C)</t>
        </is>
      </c>
      <c r="M6" s="2" t="n">
        <v>111493</v>
      </c>
      <c r="N6" s="2" t="n">
        <v>113776</v>
      </c>
      <c r="O6" s="2" t="n">
        <v>111297</v>
      </c>
      <c r="P6" s="2" t="n">
        <v>112188.7</v>
      </c>
      <c r="Q6" s="3" t="inlineStr">
        <is>
          <t>เปิดลิงก์</t>
        </is>
      </c>
      <c r="R6" s="3" t="inlineStr">
        <is>
          <t>เปิดลิงก์</t>
        </is>
      </c>
      <c r="S6" t="inlineStr">
        <is>
          <t>ค้นแถว ทางหลวงสาย 302 · ตอนควบคุม 201 · จุดสำรวจ 5+822 → คอลัมน์ 'รวม'</t>
        </is>
      </c>
      <c r="T6" s="3" t="inlineStr">
        <is>
          <t>เปิดลิงก์</t>
        </is>
      </c>
      <c r="U6" t="inlineStr">
        <is>
          <t>ค้นแถว ทางหลวงสาย 302 · ตอนควบคุม 201 · จุดสำรวจ 5+822 → คอลัมน์ 'รวม'</t>
        </is>
      </c>
      <c r="V6" s="3" t="inlineStr">
        <is>
          <t>เปิดลิงก์</t>
        </is>
      </c>
      <c r="W6" t="inlineStr">
        <is>
          <t>ค้นแถว ทางหลวงสาย 302 · ตอนควบคุม 201 · จุดสำรวจ 5+822 → คอลัมน์ 'รวม'</t>
        </is>
      </c>
      <c r="X6" s="3" t="inlineStr">
        <is>
          <t>เปิดลิงก์</t>
        </is>
      </c>
      <c r="Y6" t="inlineStr">
        <is>
          <t>สถานีอยู่ทางหลวงสายเดียวกัน (ตอนถัดไป)</t>
        </is>
      </c>
    </row>
    <row r="7">
      <c r="A7" t="n">
        <v>341</v>
      </c>
      <c r="B7" t="inlineStr">
        <is>
          <t>0100</t>
        </is>
      </c>
      <c r="C7" t="inlineStr">
        <is>
          <t>บางพลัด - บางบำหรุ</t>
        </is>
      </c>
      <c r="D7" t="inlineStr">
        <is>
          <t>0+000 – 0+352</t>
        </is>
      </c>
      <c r="E7" t="n">
        <v>125</v>
      </c>
      <c r="F7" t="n">
        <v>338</v>
      </c>
      <c r="G7" t="inlineStr">
        <is>
          <t>0101</t>
        </is>
      </c>
      <c r="H7" t="inlineStr">
        <is>
          <t>อรุณอมรินทร์ - พุทธมณฑลสาย4</t>
        </is>
      </c>
      <c r="I7" t="inlineStr">
        <is>
          <t>9+281</t>
        </is>
      </c>
      <c r="J7" t="n">
        <v>13.78557</v>
      </c>
      <c r="K7" t="n">
        <v>100.38688</v>
      </c>
      <c r="L7" t="inlineStr">
        <is>
          <t>สถานีย่อย (C)</t>
        </is>
      </c>
      <c r="M7" s="2" t="n">
        <v>143761</v>
      </c>
      <c r="N7" s="2" t="n">
        <v>146988</v>
      </c>
      <c r="O7" s="2" t="n">
        <v>145895</v>
      </c>
      <c r="P7" s="2" t="n">
        <v>145548</v>
      </c>
      <c r="Q7" s="3" t="inlineStr">
        <is>
          <t>เปิดลิงก์</t>
        </is>
      </c>
      <c r="R7" s="3" t="inlineStr">
        <is>
          <t>เปิดลิงก์</t>
        </is>
      </c>
      <c r="S7" t="inlineStr">
        <is>
          <t>ค้นแถว ทางหลวงสาย 338 · ตอนควบคุม 101 · จุดสำรวจ 9+281 → คอลัมน์ 'รวม'</t>
        </is>
      </c>
      <c r="T7" s="3" t="inlineStr">
        <is>
          <t>เปิดลิงก์</t>
        </is>
      </c>
      <c r="U7" t="inlineStr">
        <is>
          <t>ค้นแถว ทางหลวงสาย 338 · ตอนควบคุม 101 · จุดสำรวจ 9+281 → คอลัมน์ 'รวม'</t>
        </is>
      </c>
      <c r="V7" s="3" t="inlineStr">
        <is>
          <t>เปิดลิงก์</t>
        </is>
      </c>
      <c r="W7" t="inlineStr">
        <is>
          <t>ค้นแถว ทางหลวงสาย 338 · ตอนควบคุม 101 · จุดสำรวจ 9+281 → คอลัมน์ 'รวม'</t>
        </is>
      </c>
      <c r="X7" s="3" t="inlineStr">
        <is>
          <t>เปิดลิงก์</t>
        </is>
      </c>
      <c r="Y7" s="4" t="inlineStr">
        <is>
          <t>⚠ ทล. ให้สถานีของทางหลวง 338 เป็นตัวแทน (ไม่ใช่สายเดียวกัน)</t>
        </is>
      </c>
    </row>
    <row r="8">
      <c r="A8" t="n">
        <v>350</v>
      </c>
      <c r="B8" t="inlineStr">
        <is>
          <t>0100</t>
        </is>
      </c>
      <c r="C8" t="inlineStr">
        <is>
          <t>รัชดาภิเษก - รามอินทรา</t>
        </is>
      </c>
      <c r="D8" t="inlineStr">
        <is>
          <t>0+000 – 4+406</t>
        </is>
      </c>
      <c r="E8" t="n">
        <v>8</v>
      </c>
      <c r="F8" t="n">
        <v>351</v>
      </c>
      <c r="G8" t="inlineStr">
        <is>
          <t>0100</t>
        </is>
      </c>
      <c r="H8" t="inlineStr">
        <is>
          <t>มหาวิทยาลัยเกษตรศาสตร์ - คันนายาว</t>
        </is>
      </c>
      <c r="I8" t="inlineStr">
        <is>
          <t>4+700</t>
        </is>
      </c>
      <c r="J8" t="n">
        <v>13.831075</v>
      </c>
      <c r="K8" t="n">
        <v>100.61604</v>
      </c>
      <c r="L8" t="inlineStr">
        <is>
          <t>สถานีย่อย (C)</t>
        </is>
      </c>
      <c r="M8" s="2" t="n">
        <v>96826</v>
      </c>
      <c r="N8" s="2" t="n">
        <v>76671</v>
      </c>
      <c r="O8" s="2" t="n">
        <v>73453</v>
      </c>
      <c r="P8" s="2" t="n">
        <v>82316.7</v>
      </c>
      <c r="Q8" s="3" t="inlineStr">
        <is>
          <t>เปิดลิงก์</t>
        </is>
      </c>
      <c r="R8" s="3" t="inlineStr">
        <is>
          <t>เปิดลิงก์</t>
        </is>
      </c>
      <c r="S8" t="inlineStr">
        <is>
          <t>ค้นแถว ทางหลวงสาย 351 · ตอนควบคุม 100 · จุดสำรวจ 4+700 → คอลัมน์ 'รวม'</t>
        </is>
      </c>
      <c r="T8" s="3" t="inlineStr">
        <is>
          <t>เปิดลิงก์</t>
        </is>
      </c>
      <c r="U8" t="inlineStr">
        <is>
          <t>ค้นแถว ทางหลวงสาย 351 · ตอนควบคุม 100 · จุดสำรวจ 4+700 → คอลัมน์ 'รวม'</t>
        </is>
      </c>
      <c r="V8" s="3" t="inlineStr">
        <is>
          <t>เปิดลิงก์</t>
        </is>
      </c>
      <c r="W8" t="inlineStr">
        <is>
          <t>ค้นแถว ทางหลวงสาย 351 · ตอนควบคุม 100 · จุดสำรวจ 4+700 → คอลัมน์ 'รวม'</t>
        </is>
      </c>
      <c r="X8" s="3" t="inlineStr">
        <is>
          <t>เปิดลิงก์</t>
        </is>
      </c>
      <c r="Y8" s="4" t="inlineStr">
        <is>
          <t>⚠ ทล. ให้สถานีของทางหลวง 351 เป็นตัวแทน (ไม่ใช่สายเดียวกัน)</t>
        </is>
      </c>
    </row>
    <row r="9">
      <c r="A9" t="n">
        <v>3651</v>
      </c>
      <c r="B9" t="inlineStr">
        <is>
          <t>0100</t>
        </is>
      </c>
      <c r="C9" t="inlineStr">
        <is>
          <t>แยกสาครเกษม - คลองมะเดื่อ</t>
        </is>
      </c>
      <c r="D9" t="inlineStr">
        <is>
          <t>0+000 – 7+445</t>
        </is>
      </c>
      <c r="E9" t="n">
        <v>61</v>
      </c>
      <c r="F9" t="n">
        <v>3091</v>
      </c>
      <c r="G9" t="inlineStr">
        <is>
          <t>0100</t>
        </is>
      </c>
      <c r="H9" t="inlineStr">
        <is>
          <t>อ้อมน้อย - สมุทรสาคร</t>
        </is>
      </c>
      <c r="I9" t="inlineStr">
        <is>
          <t>0+500</t>
        </is>
      </c>
      <c r="J9" t="n">
        <v>13.702281</v>
      </c>
      <c r="K9" t="n">
        <v>100.29961</v>
      </c>
      <c r="L9" t="inlineStr">
        <is>
          <t>สถานีย่อย (C)</t>
        </is>
      </c>
      <c r="M9" s="2" t="n">
        <v>35856</v>
      </c>
      <c r="N9" s="2" t="n">
        <v>37288</v>
      </c>
      <c r="O9" s="2" t="n">
        <v>37588</v>
      </c>
      <c r="P9" s="2" t="n">
        <v>36910.7</v>
      </c>
      <c r="Q9" s="3" t="inlineStr">
        <is>
          <t>เปิดลิงก์</t>
        </is>
      </c>
      <c r="R9" s="3" t="inlineStr">
        <is>
          <t>เปิดลิงก์</t>
        </is>
      </c>
      <c r="S9" t="inlineStr">
        <is>
          <t>ค้นแถว ทางหลวงสาย 3091 · ตอนควบคุม 100 · จุดสำรวจ 0+500 → คอลัมน์ 'รวม'</t>
        </is>
      </c>
      <c r="T9" s="3" t="inlineStr">
        <is>
          <t>เปิดลิงก์</t>
        </is>
      </c>
      <c r="U9" t="inlineStr">
        <is>
          <t>ค้นแถว ทางหลวงสาย 3091 · ตอนควบคุม 100 · จุดสำรวจ 0+500 → คอลัมน์ 'รวม'</t>
        </is>
      </c>
      <c r="V9" s="3" t="inlineStr">
        <is>
          <t>เปิดลิงก์</t>
        </is>
      </c>
      <c r="W9" t="inlineStr">
        <is>
          <t>ค้นแถว ทางหลวงสาย 3091 · ตอนควบคุม 100 · จุดสำรวจ 0+500 → คอลัมน์ 'รวม'</t>
        </is>
      </c>
      <c r="X9" s="3" t="inlineStr">
        <is>
          <t>เปิดลิงก์</t>
        </is>
      </c>
      <c r="Y9" s="4" t="inlineStr">
        <is>
          <t>⚠ ทล. ให้สถานีของทางหลวง 3091 เป็นตัวแทน (ไม่ใช่สายเดียวกัน) · ชั้นข้อมูลปี 2565 เคยใช้สถานี 65</t>
        </is>
      </c>
    </row>
    <row r="10">
      <c r="A10" t="n">
        <v>3</v>
      </c>
      <c r="B10" t="inlineStr">
        <is>
          <t>0103</t>
        </is>
      </c>
      <c r="C10" t="inlineStr">
        <is>
          <t>ท้ายบ้าน - บางตำหรุ</t>
        </is>
      </c>
      <c r="D10" t="inlineStr">
        <is>
          <t>31+600 – 40+550</t>
        </is>
      </c>
      <c r="E10" t="n">
        <v>137</v>
      </c>
      <c r="F10" t="n">
        <v>3</v>
      </c>
      <c r="G10" t="inlineStr">
        <is>
          <t>0104</t>
        </is>
      </c>
      <c r="H10" t="inlineStr">
        <is>
          <t>บางตำหรุ - คลองด่าน</t>
        </is>
      </c>
      <c r="I10" t="inlineStr">
        <is>
          <t>40+800</t>
        </is>
      </c>
      <c r="J10" t="n">
        <v>13.515172</v>
      </c>
      <c r="K10" t="n">
        <v>100.68446</v>
      </c>
      <c r="L10" t="inlineStr">
        <is>
          <t>สถานีย่อย (C)</t>
        </is>
      </c>
      <c r="M10" s="2" t="n">
        <v>30051</v>
      </c>
      <c r="N10" s="2" t="n">
        <v>27433</v>
      </c>
      <c r="O10" s="2" t="n">
        <v>26664</v>
      </c>
      <c r="P10" s="2" t="n">
        <v>28049.3</v>
      </c>
      <c r="Q10" s="3" t="inlineStr">
        <is>
          <t>เปิดลิงก์</t>
        </is>
      </c>
      <c r="R10" s="3" t="inlineStr">
        <is>
          <t>เปิดลิงก์</t>
        </is>
      </c>
      <c r="S10" t="inlineStr">
        <is>
          <t>ค้นแถว ทางหลวงสาย 3 · ตอนควบคุม 104 · จุดสำรวจ 40+800 → คอลัมน์ 'รวม'</t>
        </is>
      </c>
      <c r="T10" s="3" t="inlineStr">
        <is>
          <t>เปิดลิงก์</t>
        </is>
      </c>
      <c r="U10" t="inlineStr">
        <is>
          <t>ค้นแถว ทางหลวงสาย 3 · ตอนควบคุม 104 · จุดสำรวจ 40+800 → คอลัมน์ 'รวม'</t>
        </is>
      </c>
      <c r="V10" s="3" t="inlineStr">
        <is>
          <t>เปิดลิงก์</t>
        </is>
      </c>
      <c r="W10" t="inlineStr">
        <is>
          <t>ค้นแถว ทางหลวงสาย 3 · ตอนควบคุม 104 · จุดสำรวจ 40+800 → คอลัมน์ 'รวม'</t>
        </is>
      </c>
      <c r="X10" s="3" t="inlineStr">
        <is>
          <t>เปิดลิงก์</t>
        </is>
      </c>
      <c r="Y10" t="inlineStr">
        <is>
          <t>สถานีอยู่ทางหลวงสายเดียวกัน (ตอนถัดไป) · ชั้นข้อมูลปี 2565 เคยใช้สถานี 91</t>
        </is>
      </c>
    </row>
    <row r="11">
      <c r="A11" t="n">
        <v>304</v>
      </c>
      <c r="B11" t="inlineStr">
        <is>
          <t>0202</t>
        </is>
      </c>
      <c r="C11" t="inlineStr">
        <is>
          <t>คันนายาว - แยกเข้ามีนบุรี</t>
        </is>
      </c>
      <c r="D11" t="inlineStr">
        <is>
          <t>19+600 – 26+075</t>
        </is>
      </c>
      <c r="E11" t="n">
        <v>2</v>
      </c>
      <c r="F11" t="n">
        <v>304</v>
      </c>
      <c r="G11" t="inlineStr">
        <is>
          <t>0203</t>
        </is>
      </c>
      <c r="H11" t="inlineStr">
        <is>
          <t>แยกเข้ามีนบุรี - คลองหลวงแพ่ง</t>
        </is>
      </c>
      <c r="I11" t="inlineStr">
        <is>
          <t>28+250</t>
        </is>
      </c>
      <c r="J11" t="n">
        <v>13.819379</v>
      </c>
      <c r="K11" t="n">
        <v>100.73602</v>
      </c>
      <c r="L11" t="inlineStr">
        <is>
          <t>สถานีย่อย (C)</t>
        </is>
      </c>
      <c r="M11" s="2" t="n">
        <v>51653</v>
      </c>
      <c r="N11" s="2" t="n">
        <v>53216</v>
      </c>
      <c r="O11" s="2" t="n">
        <v>78286</v>
      </c>
      <c r="P11" s="2" t="n">
        <v>61051.7</v>
      </c>
      <c r="Q11" s="3" t="inlineStr">
        <is>
          <t>เปิดลิงก์</t>
        </is>
      </c>
      <c r="R11" s="3" t="inlineStr">
        <is>
          <t>เปิดลิงก์</t>
        </is>
      </c>
      <c r="S11" t="inlineStr">
        <is>
          <t>ค้นแถว ทางหลวงสาย 304 · ตอนควบคุม 203 · จุดสำรวจ 28+250 → คอลัมน์ 'รวม'</t>
        </is>
      </c>
      <c r="T11" s="3" t="inlineStr">
        <is>
          <t>เปิดลิงก์</t>
        </is>
      </c>
      <c r="U11" t="inlineStr">
        <is>
          <t>ค้นแถว ทางหลวงสาย 304 · ตอนควบคุม 203 · จุดสำรวจ 28+250 → คอลัมน์ 'รวม'</t>
        </is>
      </c>
      <c r="V11" s="3" t="inlineStr">
        <is>
          <t>เปิดลิงก์</t>
        </is>
      </c>
      <c r="W11" t="inlineStr">
        <is>
          <t>ค้นแถว ทางหลวงสาย 304 · ตอนควบคุม 203 · จุดสำรวจ 28+250 → คอลัมน์ 'รวม'</t>
        </is>
      </c>
      <c r="X11" s="3" t="inlineStr">
        <is>
          <t>เปิดลิงก์</t>
        </is>
      </c>
      <c r="Y11" t="inlineStr">
        <is>
          <t>สถานีอยู่ทางหลวงสายเดียวกัน (ตอนถัดไป)</t>
        </is>
      </c>
    </row>
    <row r="12">
      <c r="A12" t="n">
        <v>3902</v>
      </c>
      <c r="B12" t="inlineStr">
        <is>
          <t>0300</t>
        </is>
      </c>
      <c r="C12" t="inlineStr">
        <is>
          <t>คลองบางหลวง - ต่างระดับเชียงรากน้อย</t>
        </is>
      </c>
      <c r="D12" t="inlineStr">
        <is>
          <t>62+300 – 73+800</t>
        </is>
      </c>
      <c r="E12" t="n">
        <v>80</v>
      </c>
      <c r="F12" t="n">
        <v>346</v>
      </c>
      <c r="G12" t="inlineStr">
        <is>
          <t>0103</t>
        </is>
      </c>
      <c r="H12" t="inlineStr">
        <is>
          <t>แยกบ้านกลาง - ต่างระดับลาดหลุมแก้ว</t>
        </is>
      </c>
      <c r="I12" t="inlineStr">
        <is>
          <t>9+500</t>
        </is>
      </c>
      <c r="J12" t="n">
        <v>14.019648</v>
      </c>
      <c r="K12" t="n">
        <v>100.54524</v>
      </c>
      <c r="L12" t="inlineStr">
        <is>
          <t>สถานีย่อย (C)</t>
        </is>
      </c>
      <c r="M12" s="2" t="n">
        <v>136361</v>
      </c>
      <c r="N12" s="2" t="n">
        <v>143360</v>
      </c>
      <c r="O12" s="2" t="n">
        <v>139052</v>
      </c>
      <c r="P12" s="2" t="n">
        <v>139591</v>
      </c>
      <c r="Q12" s="3" t="inlineStr">
        <is>
          <t>เปิดลิงก์</t>
        </is>
      </c>
      <c r="R12" s="3" t="inlineStr">
        <is>
          <t>เปิดลิงก์</t>
        </is>
      </c>
      <c r="S12" t="inlineStr">
        <is>
          <t>ค้นแถว ทางหลวงสาย 346 · ตอนควบคุม 102 · จุดสำรวจ 9+500 → คอลัมน์ 'รวม'</t>
        </is>
      </c>
      <c r="T12" s="3" t="inlineStr">
        <is>
          <t>เปิดลิงก์</t>
        </is>
      </c>
      <c r="U12" t="inlineStr">
        <is>
          <t>ค้นแถว ทางหลวงสาย 346 · ตอนควบคุม 103 · จุดสำรวจ 9+500 → คอลัมน์ 'รวม'</t>
        </is>
      </c>
      <c r="V12" s="3" t="inlineStr">
        <is>
          <t>เปิดลิงก์</t>
        </is>
      </c>
      <c r="W12" t="inlineStr">
        <is>
          <t>ค้นแถว ทางหลวงสาย 346 · ตอนควบคุม 103 · จุดสำรวจ 9+500 → คอลัมน์ 'รวม'</t>
        </is>
      </c>
      <c r="X12" s="3" t="inlineStr">
        <is>
          <t>เปิดลิงก์</t>
        </is>
      </c>
      <c r="Y12" s="4" t="inlineStr">
        <is>
          <t>⚠ ทล. ให้สถานีของทางหลวง 346 เป็นตัวแทน (ไม่ใช่สายเดียวกัน) · ชั้นข้อมูลปี 2565 เคยใช้สถานี 81</t>
        </is>
      </c>
    </row>
    <row r="13">
      <c r="A13" t="n">
        <v>31</v>
      </c>
      <c r="B13" t="inlineStr">
        <is>
          <t>0102</t>
        </is>
      </c>
      <c r="C13" t="inlineStr">
        <is>
          <t>งามวงศ์วาน - ดอนเมือง</t>
        </is>
      </c>
      <c r="D13" t="inlineStr">
        <is>
          <t>14+700 – 28+500</t>
        </is>
      </c>
      <c r="E13" t="n">
        <v>104</v>
      </c>
      <c r="F13" t="n">
        <v>302</v>
      </c>
      <c r="G13" t="inlineStr">
        <is>
          <t>0201</t>
        </is>
      </c>
      <c r="H13" t="inlineStr">
        <is>
          <t>แยกพงษ์เพชร - สะพานพระนั่งเกล้า</t>
        </is>
      </c>
      <c r="I13" t="inlineStr">
        <is>
          <t>5+822</t>
        </is>
      </c>
      <c r="J13" t="n">
        <v>13.858586</v>
      </c>
      <c r="K13" t="n">
        <v>100.52565</v>
      </c>
      <c r="L13" t="inlineStr">
        <is>
          <t>สถานีย่อย (C)</t>
        </is>
      </c>
      <c r="M13" s="2" t="n">
        <v>111493</v>
      </c>
      <c r="N13" s="2" t="n">
        <v>113776</v>
      </c>
      <c r="O13" s="2" t="n">
        <v>111297</v>
      </c>
      <c r="P13" s="2" t="n">
        <v>112188.7</v>
      </c>
      <c r="Q13" s="3" t="inlineStr">
        <is>
          <t>เปิดลิงก์</t>
        </is>
      </c>
      <c r="R13" s="3" t="inlineStr">
        <is>
          <t>เปิดลิงก์</t>
        </is>
      </c>
      <c r="S13" t="inlineStr">
        <is>
          <t>ค้นแถว ทางหลวงสาย 302 · ตอนควบคุม 201 · จุดสำรวจ 5+822 → คอลัมน์ 'รวม'</t>
        </is>
      </c>
      <c r="T13" s="3" t="inlineStr">
        <is>
          <t>เปิดลิงก์</t>
        </is>
      </c>
      <c r="U13" t="inlineStr">
        <is>
          <t>ค้นแถว ทางหลวงสาย 302 · ตอนควบคุม 201 · จุดสำรวจ 5+822 → คอลัมน์ 'รวม'</t>
        </is>
      </c>
      <c r="V13" s="3" t="inlineStr">
        <is>
          <t>เปิดลิงก์</t>
        </is>
      </c>
      <c r="W13" t="inlineStr">
        <is>
          <t>ค้นแถว ทางหลวงสาย 302 · ตอนควบคุม 201 · จุดสำรวจ 5+822 → คอลัมน์ 'รวม'</t>
        </is>
      </c>
      <c r="X13" s="3" t="inlineStr">
        <is>
          <t>เปิดลิงก์</t>
        </is>
      </c>
      <c r="Y13" s="4" t="inlineStr">
        <is>
          <t>⚠ ทล. ให้สถานีของทางหลวง 302 เป็นตัวแทน (ไม่ใช่สายเดียวกัน)</t>
        </is>
      </c>
    </row>
    <row r="14">
      <c r="A14" t="n">
        <v>3901</v>
      </c>
      <c r="B14" t="inlineStr">
        <is>
          <t>0101</t>
        </is>
      </c>
      <c r="C14" t="inlineStr">
        <is>
          <t>พระประแดง - บางแค</t>
        </is>
      </c>
      <c r="D14" t="inlineStr">
        <is>
          <t>0+000 – 19+972</t>
        </is>
      </c>
      <c r="E14" t="n">
        <v>131</v>
      </c>
      <c r="F14" t="n">
        <v>3901</v>
      </c>
      <c r="G14" t="inlineStr">
        <is>
          <t>0102</t>
        </is>
      </c>
      <c r="H14" t="inlineStr">
        <is>
          <t>บางแค - คลองมหาสวัสดิ์</t>
        </is>
      </c>
      <c r="I14" t="inlineStr">
        <is>
          <t>20+430</t>
        </is>
      </c>
      <c r="J14" t="n">
        <v>13.680396</v>
      </c>
      <c r="K14" t="n">
        <v>100.40661</v>
      </c>
      <c r="L14" t="inlineStr">
        <is>
          <t>สถานีย่อย (C)</t>
        </is>
      </c>
      <c r="M14" s="2" t="n">
        <v>33842</v>
      </c>
      <c r="N14" s="2" t="n">
        <v>35924</v>
      </c>
      <c r="O14" s="2" t="n">
        <v>41328</v>
      </c>
      <c r="P14" s="2" t="n">
        <v>37031.3</v>
      </c>
      <c r="Q14" s="3" t="inlineStr">
        <is>
          <t>เปิดลิงก์</t>
        </is>
      </c>
      <c r="R14" s="3" t="inlineStr">
        <is>
          <t>เปิดลิงก์</t>
        </is>
      </c>
      <c r="S14" t="inlineStr">
        <is>
          <t>ค้นแถว ทางหลวงสาย 3901 · ตอนควบคุม 102 · จุดสำรวจ 20+430 → คอลัมน์ 'รวม'</t>
        </is>
      </c>
      <c r="T14" s="3" t="inlineStr">
        <is>
          <t>เปิดลิงก์</t>
        </is>
      </c>
      <c r="U14" t="inlineStr">
        <is>
          <t>ค้นแถว ทางหลวงสาย 3901 · ตอนควบคุม 102 · จุดสำรวจ 20+430 → คอลัมน์ 'รวม'</t>
        </is>
      </c>
      <c r="V14" s="3" t="inlineStr">
        <is>
          <t>เปิดลิงก์</t>
        </is>
      </c>
      <c r="W14" t="inlineStr">
        <is>
          <t>ค้นแถว ทางหลวงสาย 3901 · ตอนควบคุม 102 · จุดสำรวจ 20+430 → คอลัมน์ 'รวม'</t>
        </is>
      </c>
      <c r="X14" s="3" t="inlineStr">
        <is>
          <t>เปิดลิงก์</t>
        </is>
      </c>
      <c r="Y14" t="inlineStr">
        <is>
          <t>สถานีอยู่ทางหลวงสายเดียวกัน (ตอนถัดไป)</t>
        </is>
      </c>
    </row>
    <row r="15">
      <c r="A15" t="n">
        <v>3256</v>
      </c>
      <c r="B15" t="inlineStr">
        <is>
          <t>0101</t>
        </is>
      </c>
      <c r="C15" t="inlineStr">
        <is>
          <t>บางปู - บางพลี</t>
        </is>
      </c>
      <c r="D15" t="inlineStr">
        <is>
          <t>0+000 – 10+012</t>
        </is>
      </c>
      <c r="E15" t="n">
        <v>98</v>
      </c>
      <c r="F15" t="n">
        <v>3256</v>
      </c>
      <c r="G15" t="inlineStr">
        <is>
          <t>0102</t>
        </is>
      </c>
      <c r="H15" t="inlineStr">
        <is>
          <t>บางพลี - กิ่งแก้ว</t>
        </is>
      </c>
      <c r="I15" t="inlineStr">
        <is>
          <t>19+857</t>
        </is>
      </c>
      <c r="J15" t="n">
        <v>13.699252</v>
      </c>
      <c r="K15" t="n">
        <v>100.73278</v>
      </c>
      <c r="L15" t="inlineStr">
        <is>
          <t>สถานีย่อย (C)</t>
        </is>
      </c>
      <c r="M15" s="2" t="n">
        <v>61837</v>
      </c>
      <c r="N15" s="2" t="n">
        <v>64320</v>
      </c>
      <c r="O15" s="2" t="n">
        <v>69133</v>
      </c>
      <c r="P15" s="2" t="n">
        <v>65096.7</v>
      </c>
      <c r="Q15" s="3" t="inlineStr">
        <is>
          <t>เปิดลิงก์</t>
        </is>
      </c>
      <c r="R15" s="3" t="inlineStr">
        <is>
          <t>เปิดลิงก์</t>
        </is>
      </c>
      <c r="S15" t="inlineStr">
        <is>
          <t>ค้นแถว ทางหลวงสาย 3256 · ตอนควบคุม 102 · จุดสำรวจ 19+857 → คอลัมน์ 'รวม'</t>
        </is>
      </c>
      <c r="T15" s="3" t="inlineStr">
        <is>
          <t>เปิดลิงก์</t>
        </is>
      </c>
      <c r="U15" t="inlineStr">
        <is>
          <t>ค้นแถว ทางหลวงสาย 3256 · ตอนควบคุม 102 · จุดสำรวจ 19+857 → คอลัมน์ 'รวม'</t>
        </is>
      </c>
      <c r="V15" s="3" t="inlineStr">
        <is>
          <t>เปิดลิงก์</t>
        </is>
      </c>
      <c r="W15" t="inlineStr">
        <is>
          <t>ค้นแถว ทางหลวงสาย 3256 · ตอนควบคุม 102 · จุดสำรวจ 19+857 → คอลัมน์ 'รวม'</t>
        </is>
      </c>
      <c r="X15" s="3" t="inlineStr">
        <is>
          <t>เปิดลิงก์</t>
        </is>
      </c>
      <c r="Y15" t="inlineStr">
        <is>
          <t>สถานีอยู่ทางหลวงสายเดียวกัน (ตอนถัดไป)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T2" r:id="rId3"/>
    <hyperlink xmlns:r="http://schemas.openxmlformats.org/officeDocument/2006/relationships" ref="V2" r:id="rId4"/>
    <hyperlink xmlns:r="http://schemas.openxmlformats.org/officeDocument/2006/relationships" ref="X2" r:id="rId5"/>
    <hyperlink xmlns:r="http://schemas.openxmlformats.org/officeDocument/2006/relationships" ref="Q3" r:id="rId6"/>
    <hyperlink xmlns:r="http://schemas.openxmlformats.org/officeDocument/2006/relationships" ref="R3" r:id="rId7"/>
    <hyperlink xmlns:r="http://schemas.openxmlformats.org/officeDocument/2006/relationships" ref="T3" r:id="rId8"/>
    <hyperlink xmlns:r="http://schemas.openxmlformats.org/officeDocument/2006/relationships" ref="V3" r:id="rId9"/>
    <hyperlink xmlns:r="http://schemas.openxmlformats.org/officeDocument/2006/relationships" ref="X3" r:id="rId10"/>
    <hyperlink xmlns:r="http://schemas.openxmlformats.org/officeDocument/2006/relationships" ref="Q4" r:id="rId11"/>
    <hyperlink xmlns:r="http://schemas.openxmlformats.org/officeDocument/2006/relationships" ref="R4" r:id="rId12"/>
    <hyperlink xmlns:r="http://schemas.openxmlformats.org/officeDocument/2006/relationships" ref="T4" r:id="rId13"/>
    <hyperlink xmlns:r="http://schemas.openxmlformats.org/officeDocument/2006/relationships" ref="V4" r:id="rId14"/>
    <hyperlink xmlns:r="http://schemas.openxmlformats.org/officeDocument/2006/relationships" ref="X4" r:id="rId15"/>
    <hyperlink xmlns:r="http://schemas.openxmlformats.org/officeDocument/2006/relationships" ref="Q5" r:id="rId16"/>
    <hyperlink xmlns:r="http://schemas.openxmlformats.org/officeDocument/2006/relationships" ref="R5" r:id="rId17"/>
    <hyperlink xmlns:r="http://schemas.openxmlformats.org/officeDocument/2006/relationships" ref="T5" r:id="rId18"/>
    <hyperlink xmlns:r="http://schemas.openxmlformats.org/officeDocument/2006/relationships" ref="V5" r:id="rId19"/>
    <hyperlink xmlns:r="http://schemas.openxmlformats.org/officeDocument/2006/relationships" ref="X5" r:id="rId20"/>
    <hyperlink xmlns:r="http://schemas.openxmlformats.org/officeDocument/2006/relationships" ref="Q6" r:id="rId21"/>
    <hyperlink xmlns:r="http://schemas.openxmlformats.org/officeDocument/2006/relationships" ref="R6" r:id="rId22"/>
    <hyperlink xmlns:r="http://schemas.openxmlformats.org/officeDocument/2006/relationships" ref="T6" r:id="rId23"/>
    <hyperlink xmlns:r="http://schemas.openxmlformats.org/officeDocument/2006/relationships" ref="V6" r:id="rId24"/>
    <hyperlink xmlns:r="http://schemas.openxmlformats.org/officeDocument/2006/relationships" ref="X6" r:id="rId25"/>
    <hyperlink xmlns:r="http://schemas.openxmlformats.org/officeDocument/2006/relationships" ref="Q7" r:id="rId26"/>
    <hyperlink xmlns:r="http://schemas.openxmlformats.org/officeDocument/2006/relationships" ref="R7" r:id="rId27"/>
    <hyperlink xmlns:r="http://schemas.openxmlformats.org/officeDocument/2006/relationships" ref="T7" r:id="rId28"/>
    <hyperlink xmlns:r="http://schemas.openxmlformats.org/officeDocument/2006/relationships" ref="V7" r:id="rId29"/>
    <hyperlink xmlns:r="http://schemas.openxmlformats.org/officeDocument/2006/relationships" ref="X7" r:id="rId30"/>
    <hyperlink xmlns:r="http://schemas.openxmlformats.org/officeDocument/2006/relationships" ref="Q8" r:id="rId31"/>
    <hyperlink xmlns:r="http://schemas.openxmlformats.org/officeDocument/2006/relationships" ref="R8" r:id="rId32"/>
    <hyperlink xmlns:r="http://schemas.openxmlformats.org/officeDocument/2006/relationships" ref="T8" r:id="rId33"/>
    <hyperlink xmlns:r="http://schemas.openxmlformats.org/officeDocument/2006/relationships" ref="V8" r:id="rId34"/>
    <hyperlink xmlns:r="http://schemas.openxmlformats.org/officeDocument/2006/relationships" ref="X8" r:id="rId35"/>
    <hyperlink xmlns:r="http://schemas.openxmlformats.org/officeDocument/2006/relationships" ref="Q9" r:id="rId36"/>
    <hyperlink xmlns:r="http://schemas.openxmlformats.org/officeDocument/2006/relationships" ref="R9" r:id="rId37"/>
    <hyperlink xmlns:r="http://schemas.openxmlformats.org/officeDocument/2006/relationships" ref="T9" r:id="rId38"/>
    <hyperlink xmlns:r="http://schemas.openxmlformats.org/officeDocument/2006/relationships" ref="V9" r:id="rId39"/>
    <hyperlink xmlns:r="http://schemas.openxmlformats.org/officeDocument/2006/relationships" ref="X9" r:id="rId40"/>
    <hyperlink xmlns:r="http://schemas.openxmlformats.org/officeDocument/2006/relationships" ref="Q10" r:id="rId41"/>
    <hyperlink xmlns:r="http://schemas.openxmlformats.org/officeDocument/2006/relationships" ref="R10" r:id="rId42"/>
    <hyperlink xmlns:r="http://schemas.openxmlformats.org/officeDocument/2006/relationships" ref="T10" r:id="rId43"/>
    <hyperlink xmlns:r="http://schemas.openxmlformats.org/officeDocument/2006/relationships" ref="V10" r:id="rId44"/>
    <hyperlink xmlns:r="http://schemas.openxmlformats.org/officeDocument/2006/relationships" ref="X10" r:id="rId45"/>
    <hyperlink xmlns:r="http://schemas.openxmlformats.org/officeDocument/2006/relationships" ref="Q11" r:id="rId46"/>
    <hyperlink xmlns:r="http://schemas.openxmlformats.org/officeDocument/2006/relationships" ref="R11" r:id="rId47"/>
    <hyperlink xmlns:r="http://schemas.openxmlformats.org/officeDocument/2006/relationships" ref="T11" r:id="rId48"/>
    <hyperlink xmlns:r="http://schemas.openxmlformats.org/officeDocument/2006/relationships" ref="V11" r:id="rId49"/>
    <hyperlink xmlns:r="http://schemas.openxmlformats.org/officeDocument/2006/relationships" ref="X11" r:id="rId50"/>
    <hyperlink xmlns:r="http://schemas.openxmlformats.org/officeDocument/2006/relationships" ref="Q12" r:id="rId51"/>
    <hyperlink xmlns:r="http://schemas.openxmlformats.org/officeDocument/2006/relationships" ref="R12" r:id="rId52"/>
    <hyperlink xmlns:r="http://schemas.openxmlformats.org/officeDocument/2006/relationships" ref="T12" r:id="rId53"/>
    <hyperlink xmlns:r="http://schemas.openxmlformats.org/officeDocument/2006/relationships" ref="V12" r:id="rId54"/>
    <hyperlink xmlns:r="http://schemas.openxmlformats.org/officeDocument/2006/relationships" ref="X12" r:id="rId55"/>
    <hyperlink xmlns:r="http://schemas.openxmlformats.org/officeDocument/2006/relationships" ref="Q13" r:id="rId56"/>
    <hyperlink xmlns:r="http://schemas.openxmlformats.org/officeDocument/2006/relationships" ref="R13" r:id="rId57"/>
    <hyperlink xmlns:r="http://schemas.openxmlformats.org/officeDocument/2006/relationships" ref="T13" r:id="rId58"/>
    <hyperlink xmlns:r="http://schemas.openxmlformats.org/officeDocument/2006/relationships" ref="V13" r:id="rId59"/>
    <hyperlink xmlns:r="http://schemas.openxmlformats.org/officeDocument/2006/relationships" ref="X13" r:id="rId60"/>
    <hyperlink xmlns:r="http://schemas.openxmlformats.org/officeDocument/2006/relationships" ref="Q14" r:id="rId61"/>
    <hyperlink xmlns:r="http://schemas.openxmlformats.org/officeDocument/2006/relationships" ref="R14" r:id="rId62"/>
    <hyperlink xmlns:r="http://schemas.openxmlformats.org/officeDocument/2006/relationships" ref="T14" r:id="rId63"/>
    <hyperlink xmlns:r="http://schemas.openxmlformats.org/officeDocument/2006/relationships" ref="V14" r:id="rId64"/>
    <hyperlink xmlns:r="http://schemas.openxmlformats.org/officeDocument/2006/relationships" ref="X14" r:id="rId65"/>
    <hyperlink xmlns:r="http://schemas.openxmlformats.org/officeDocument/2006/relationships" ref="Q15" r:id="rId66"/>
    <hyperlink xmlns:r="http://schemas.openxmlformats.org/officeDocument/2006/relationships" ref="R15" r:id="rId67"/>
    <hyperlink xmlns:r="http://schemas.openxmlformats.org/officeDocument/2006/relationships" ref="T15" r:id="rId68"/>
    <hyperlink xmlns:r="http://schemas.openxmlformats.org/officeDocument/2006/relationships" ref="V15" r:id="rId69"/>
    <hyperlink xmlns:r="http://schemas.openxmlformats.org/officeDocument/2006/relationships" ref="X15" r:id="rId7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13" customWidth="1" min="3" max="3"/>
    <col width="13" customWidth="1" min="4" max="4"/>
    <col width="13" customWidth="1" min="5" max="5"/>
    <col width="2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45" customHeight="1">
      <c r="A1" s="1" t="inlineStr">
        <is>
          <t>id</t>
        </is>
      </c>
      <c r="B1" s="1" t="inlineStr">
        <is>
          <t>ถนน</t>
        </is>
      </c>
      <c r="C1" s="1" t="inlineStr">
        <is>
          <t>จังหวัด</t>
        </is>
      </c>
      <c r="D1" s="1" t="inlineStr">
        <is>
          <t>route_code</t>
        </is>
      </c>
      <c r="E1" s="1" t="inlineStr">
        <is>
          <t>กม. คลัสเตอร์</t>
        </is>
      </c>
      <c r="F1" s="1" t="inlineStr">
        <is>
          <t>ตอนที่จับคู่</t>
        </is>
      </c>
      <c r="G1" s="1" t="inlineStr">
        <is>
          <t>station_id ตัวแทน (ทล. กำหนด)</t>
        </is>
      </c>
      <c r="H1" s="1" t="inlineStr">
        <is>
          <t>A</t>
        </is>
      </c>
      <c r="I1" s="1" t="inlineStr">
        <is>
          <t>เสียชีวิต</t>
        </is>
      </c>
      <c r="J1" s="1" t="inlineStr">
        <is>
          <t>บาดเจ็บ</t>
        </is>
      </c>
      <c r="K1" s="1" t="inlineStr">
        <is>
          <t>SI</t>
        </is>
      </c>
      <c r="L1" s="1" t="inlineStr">
        <is>
          <t>ระดับ_SI</t>
        </is>
      </c>
      <c r="M1" s="1" t="inlineStr">
        <is>
          <t>AADT 2566</t>
        </is>
      </c>
      <c r="N1" s="1" t="inlineStr">
        <is>
          <t>AADT 2567</t>
        </is>
      </c>
      <c r="O1" s="1" t="inlineStr">
        <is>
          <t>AADT 2568</t>
        </is>
      </c>
      <c r="P1" s="5" t="inlineStr">
        <is>
          <t>V = AADT เฉลี่ย 3 ปี</t>
        </is>
      </c>
      <c r="Q1" s="1" t="inlineStr">
        <is>
          <t>T (ปี)</t>
        </is>
      </c>
      <c r="R1" s="1" t="inlineStr">
        <is>
          <t>L (กม.)</t>
        </is>
      </c>
      <c r="S1" s="6" t="inlineStr">
        <is>
          <t>ตัวตั้ง A×1,000,000</t>
        </is>
      </c>
      <c r="T1" s="6" t="inlineStr">
        <is>
          <t>ตัวหาร 365×T×V×L</t>
        </is>
      </c>
      <c r="U1" s="6" t="inlineStr">
        <is>
          <t>R (ครั้ง/ล้านคัน-กม.)</t>
        </is>
      </c>
      <c r="V1" s="6" t="inlineStr">
        <is>
          <t>อันดับ R ใน 69 วง</t>
        </is>
      </c>
    </row>
    <row r="2">
      <c r="A2" t="inlineStr">
        <is>
          <t>zone_522</t>
        </is>
      </c>
      <c r="B2" t="inlineStr">
        <is>
          <t>ท้ายบ้าน - บางตำหรุ</t>
        </is>
      </c>
      <c r="C2" t="inlineStr">
        <is>
          <t>สมุทรปราการ</t>
        </is>
      </c>
      <c r="D2" t="inlineStr">
        <is>
          <t>3</t>
        </is>
      </c>
      <c r="E2" t="inlineStr">
        <is>
          <t>38.98–39.3</t>
        </is>
      </c>
      <c r="F2" t="inlineStr">
        <is>
          <t>ทางหลวง 3 ตอนควบคุม 0103</t>
        </is>
      </c>
      <c r="G2" t="n">
        <v>137</v>
      </c>
      <c r="H2" t="n">
        <v>5</v>
      </c>
      <c r="I2" t="n">
        <v>0</v>
      </c>
      <c r="J2" t="n">
        <v>0</v>
      </c>
      <c r="K2" t="n">
        <v>0</v>
      </c>
      <c r="L2" t="inlineStr">
        <is>
          <t>low</t>
        </is>
      </c>
      <c r="M2" s="2" t="n">
        <v>30051</v>
      </c>
      <c r="N2" s="2" t="n">
        <v>27433</v>
      </c>
      <c r="O2" s="2" t="n">
        <v>26664</v>
      </c>
      <c r="P2" s="2">
        <f>AVERAGE(M2:O2)</f>
        <v/>
      </c>
      <c r="Q2" t="n">
        <v>3</v>
      </c>
      <c r="R2" t="n">
        <v>1</v>
      </c>
      <c r="S2" s="2">
        <f>H2*1000000</f>
        <v/>
      </c>
      <c r="T2" s="2">
        <f>365*Q2*P2*R2</f>
        <v/>
      </c>
      <c r="U2" s="7">
        <f>S2/T2</f>
        <v/>
      </c>
      <c r="V2">
        <f>RANK(U2,$U$2:$U$70,0)</f>
        <v/>
      </c>
    </row>
    <row r="3">
      <c r="A3" t="inlineStr">
        <is>
          <t>zone_523</t>
        </is>
      </c>
      <c r="B3" t="inlineStr">
        <is>
          <t>ท้ายบ้าน - บางตำหรุ</t>
        </is>
      </c>
      <c r="C3" t="inlineStr">
        <is>
          <t>สมุทรปราการ</t>
        </is>
      </c>
      <c r="D3" t="inlineStr">
        <is>
          <t>3</t>
        </is>
      </c>
      <c r="E3" t="inlineStr">
        <is>
          <t>37.5–37.95</t>
        </is>
      </c>
      <c r="F3" t="inlineStr">
        <is>
          <t>ทางหลวง 3 ตอนควบคุม 0103</t>
        </is>
      </c>
      <c r="G3" t="n">
        <v>137</v>
      </c>
      <c r="H3" t="n">
        <v>7</v>
      </c>
      <c r="I3" t="n">
        <v>0</v>
      </c>
      <c r="J3" t="n">
        <v>2</v>
      </c>
      <c r="K3" t="n">
        <v>0.2857</v>
      </c>
      <c r="L3" t="inlineStr">
        <is>
          <t>low</t>
        </is>
      </c>
      <c r="M3" s="2" t="n">
        <v>30051</v>
      </c>
      <c r="N3" s="2" t="n">
        <v>27433</v>
      </c>
      <c r="O3" s="2" t="n">
        <v>26664</v>
      </c>
      <c r="P3" s="2">
        <f>AVERAGE(M3:O3)</f>
        <v/>
      </c>
      <c r="Q3" t="n">
        <v>3</v>
      </c>
      <c r="R3" t="n">
        <v>1</v>
      </c>
      <c r="S3" s="2">
        <f>H3*1000000</f>
        <v/>
      </c>
      <c r="T3" s="2">
        <f>365*Q3*P3*R3</f>
        <v/>
      </c>
      <c r="U3" s="7">
        <f>S3/T3</f>
        <v/>
      </c>
      <c r="V3">
        <f>RANK(U3,$U$2:$U$70,0)</f>
        <v/>
      </c>
    </row>
    <row r="4">
      <c r="A4" t="inlineStr">
        <is>
          <t>zone_560</t>
        </is>
      </c>
      <c r="B4" t="inlineStr">
        <is>
          <t>ท้ายบ้าน - บางตำหรุ</t>
        </is>
      </c>
      <c r="C4" t="inlineStr">
        <is>
          <t>สมุทรปราการ</t>
        </is>
      </c>
      <c r="D4" t="inlineStr">
        <is>
          <t>3</t>
        </is>
      </c>
      <c r="E4" t="inlineStr">
        <is>
          <t>35.12–35.31</t>
        </is>
      </c>
      <c r="F4" t="inlineStr">
        <is>
          <t>ทางหลวง 3 ตอนควบคุม 0103</t>
        </is>
      </c>
      <c r="G4" t="n">
        <v>137</v>
      </c>
      <c r="H4" t="n">
        <v>3</v>
      </c>
      <c r="I4" t="n">
        <v>0</v>
      </c>
      <c r="J4" t="n">
        <v>1</v>
      </c>
      <c r="K4" t="n">
        <v>0.3333</v>
      </c>
      <c r="L4" t="inlineStr">
        <is>
          <t>low</t>
        </is>
      </c>
      <c r="M4" s="2" t="n">
        <v>30051</v>
      </c>
      <c r="N4" s="2" t="n">
        <v>27433</v>
      </c>
      <c r="O4" s="2" t="n">
        <v>26664</v>
      </c>
      <c r="P4" s="2">
        <f>AVERAGE(M4:O4)</f>
        <v/>
      </c>
      <c r="Q4" t="n">
        <v>3</v>
      </c>
      <c r="R4" t="n">
        <v>1</v>
      </c>
      <c r="S4" s="2">
        <f>H4*1000000</f>
        <v/>
      </c>
      <c r="T4" s="2">
        <f>365*Q4*P4*R4</f>
        <v/>
      </c>
      <c r="U4" s="7">
        <f>S4/T4</f>
        <v/>
      </c>
      <c r="V4">
        <f>RANK(U4,$U$2:$U$70,0)</f>
        <v/>
      </c>
    </row>
    <row r="5">
      <c r="A5" t="inlineStr">
        <is>
          <t>zone_125</t>
        </is>
      </c>
      <c r="B5" t="inlineStr">
        <is>
          <t>แยกมหาวิทยาลัยเกษตรศาสตร์ - สี่แยกแคราย</t>
        </is>
      </c>
      <c r="C5" t="inlineStr">
        <is>
          <t>กรุงเทพมหานคร</t>
        </is>
      </c>
      <c r="D5" t="inlineStr">
        <is>
          <t>302</t>
        </is>
      </c>
      <c r="E5" t="inlineStr">
        <is>
          <t>0.025–0.33</t>
        </is>
      </c>
      <c r="F5" t="inlineStr">
        <is>
          <t>ทางหลวง 302 ตอนควบคุม 0100</t>
        </is>
      </c>
      <c r="G5" t="n">
        <v>104</v>
      </c>
      <c r="H5" t="n">
        <v>35</v>
      </c>
      <c r="I5" t="n">
        <v>0</v>
      </c>
      <c r="J5" t="n">
        <v>27</v>
      </c>
      <c r="K5" t="n">
        <v>0.7714</v>
      </c>
      <c r="L5" t="inlineStr">
        <is>
          <t>low</t>
        </is>
      </c>
      <c r="M5" s="2" t="n">
        <v>111493</v>
      </c>
      <c r="N5" s="2" t="n">
        <v>113776</v>
      </c>
      <c r="O5" s="2" t="n">
        <v>111297</v>
      </c>
      <c r="P5" s="2">
        <f>AVERAGE(M5:O5)</f>
        <v/>
      </c>
      <c r="Q5" t="n">
        <v>3</v>
      </c>
      <c r="R5" t="n">
        <v>1</v>
      </c>
      <c r="S5" s="2">
        <f>H5*1000000</f>
        <v/>
      </c>
      <c r="T5" s="2">
        <f>365*Q5*P5*R5</f>
        <v/>
      </c>
      <c r="U5" s="7">
        <f>S5/T5</f>
        <v/>
      </c>
      <c r="V5">
        <f>RANK(U5,$U$2:$U$70,0)</f>
        <v/>
      </c>
    </row>
    <row r="6">
      <c r="A6" t="inlineStr">
        <is>
          <t>zone_205</t>
        </is>
      </c>
      <c r="B6" t="inlineStr">
        <is>
          <t>คันนายาว - แยกเข้ามีนบุรี</t>
        </is>
      </c>
      <c r="C6" t="inlineStr">
        <is>
          <t>กรุงเทพมหานคร</t>
        </is>
      </c>
      <c r="D6" t="inlineStr">
        <is>
          <t>304</t>
        </is>
      </c>
      <c r="E6" t="inlineStr">
        <is>
          <t>21.86–22.48</t>
        </is>
      </c>
      <c r="F6" t="inlineStr">
        <is>
          <t>ทางหลวง 304 ตอนควบคุม 0202</t>
        </is>
      </c>
      <c r="G6" t="n">
        <v>2</v>
      </c>
      <c r="H6" t="n">
        <v>5</v>
      </c>
      <c r="I6" t="n">
        <v>0</v>
      </c>
      <c r="J6" t="n">
        <v>0</v>
      </c>
      <c r="K6" t="n">
        <v>0</v>
      </c>
      <c r="L6" t="inlineStr">
        <is>
          <t>low</t>
        </is>
      </c>
      <c r="M6" s="2" t="n">
        <v>51653</v>
      </c>
      <c r="N6" s="2" t="n">
        <v>53216</v>
      </c>
      <c r="O6" s="2" t="n">
        <v>78286</v>
      </c>
      <c r="P6" s="2">
        <f>AVERAGE(M6:O6)</f>
        <v/>
      </c>
      <c r="Q6" t="n">
        <v>3</v>
      </c>
      <c r="R6" t="n">
        <v>1</v>
      </c>
      <c r="S6" s="2">
        <f>H6*1000000</f>
        <v/>
      </c>
      <c r="T6" s="2">
        <f>365*Q6*P6*R6</f>
        <v/>
      </c>
      <c r="U6" s="7">
        <f>S6/T6</f>
        <v/>
      </c>
      <c r="V6">
        <f>RANK(U6,$U$2:$U$70,0)</f>
        <v/>
      </c>
    </row>
    <row r="7">
      <c r="A7" t="inlineStr">
        <is>
          <t>zone_267</t>
        </is>
      </c>
      <c r="B7" t="inlineStr">
        <is>
          <t>คันนายาว - แยกเข้ามีนบุรี</t>
        </is>
      </c>
      <c r="C7" t="inlineStr">
        <is>
          <t>กรุงเทพมหานคร</t>
        </is>
      </c>
      <c r="D7" t="inlineStr">
        <is>
          <t>304</t>
        </is>
      </c>
      <c r="E7" t="inlineStr">
        <is>
          <t>25.78–26.075</t>
        </is>
      </c>
      <c r="F7" t="inlineStr">
        <is>
          <t>ทางหลวง 304 ตอนควบคุม 0202</t>
        </is>
      </c>
      <c r="G7" t="n">
        <v>2</v>
      </c>
      <c r="H7" t="n">
        <v>6</v>
      </c>
      <c r="I7" t="n">
        <v>1</v>
      </c>
      <c r="J7" t="n">
        <v>2</v>
      </c>
      <c r="K7" t="n">
        <v>0.5</v>
      </c>
      <c r="L7" t="inlineStr">
        <is>
          <t>low</t>
        </is>
      </c>
      <c r="M7" s="2" t="n">
        <v>51653</v>
      </c>
      <c r="N7" s="2" t="n">
        <v>53216</v>
      </c>
      <c r="O7" s="2" t="n">
        <v>78286</v>
      </c>
      <c r="P7" s="2">
        <f>AVERAGE(M7:O7)</f>
        <v/>
      </c>
      <c r="Q7" t="n">
        <v>3</v>
      </c>
      <c r="R7" t="n">
        <v>1</v>
      </c>
      <c r="S7" s="2">
        <f>H7*1000000</f>
        <v/>
      </c>
      <c r="T7" s="2">
        <f>365*Q7*P7*R7</f>
        <v/>
      </c>
      <c r="U7" s="7">
        <f>S7/T7</f>
        <v/>
      </c>
      <c r="V7">
        <f>RANK(U7,$U$2:$U$70,0)</f>
        <v/>
      </c>
    </row>
    <row r="8">
      <c r="A8" t="inlineStr">
        <is>
          <t>zone_268</t>
        </is>
      </c>
      <c r="B8" t="inlineStr">
        <is>
          <t>คันนายาว - แยกเข้ามีนบุรี</t>
        </is>
      </c>
      <c r="C8" t="inlineStr">
        <is>
          <t>กรุงเทพมหานคร</t>
        </is>
      </c>
      <c r="D8" t="inlineStr">
        <is>
          <t>304</t>
        </is>
      </c>
      <c r="E8" t="inlineStr">
        <is>
          <t>25.912–26.12</t>
        </is>
      </c>
      <c r="F8" t="inlineStr">
        <is>
          <t>ทางหลวง 304 ตอนควบคุม 0202</t>
        </is>
      </c>
      <c r="G8" t="n">
        <v>2</v>
      </c>
      <c r="H8" t="n">
        <v>3</v>
      </c>
      <c r="I8" t="n">
        <v>0</v>
      </c>
      <c r="J8" t="n">
        <v>1</v>
      </c>
      <c r="K8" t="n">
        <v>0.3333</v>
      </c>
      <c r="L8" t="inlineStr">
        <is>
          <t>low</t>
        </is>
      </c>
      <c r="M8" s="2" t="n">
        <v>51653</v>
      </c>
      <c r="N8" s="2" t="n">
        <v>53216</v>
      </c>
      <c r="O8" s="2" t="n">
        <v>78286</v>
      </c>
      <c r="P8" s="2">
        <f>AVERAGE(M8:O8)</f>
        <v/>
      </c>
      <c r="Q8" t="n">
        <v>3</v>
      </c>
      <c r="R8" t="n">
        <v>1</v>
      </c>
      <c r="S8" s="2">
        <f>H8*1000000</f>
        <v/>
      </c>
      <c r="T8" s="2">
        <f>365*Q8*P8*R8</f>
        <v/>
      </c>
      <c r="U8" s="7">
        <f>S8/T8</f>
        <v/>
      </c>
      <c r="V8">
        <f>RANK(U8,$U$2:$U$70,0)</f>
        <v/>
      </c>
    </row>
    <row r="9">
      <c r="A9" t="inlineStr">
        <is>
          <t>zone_120</t>
        </is>
      </c>
      <c r="B9" t="inlineStr">
        <is>
          <t>ดินแดง - งามวงศ์วาน</t>
        </is>
      </c>
      <c r="C9" t="inlineStr">
        <is>
          <t>กรุงเทพมหานคร</t>
        </is>
      </c>
      <c r="D9" t="inlineStr">
        <is>
          <t>31</t>
        </is>
      </c>
      <c r="E9" t="inlineStr">
        <is>
          <t>10.56–10.873</t>
        </is>
      </c>
      <c r="F9" t="inlineStr">
        <is>
          <t>ทางหลวง 31 ตอนควบคุม 0101</t>
        </is>
      </c>
      <c r="G9" t="n">
        <v>104</v>
      </c>
      <c r="H9" t="n">
        <v>9</v>
      </c>
      <c r="I9" t="n">
        <v>0</v>
      </c>
      <c r="J9" t="n">
        <v>11</v>
      </c>
      <c r="K9" t="n">
        <v>1.2222</v>
      </c>
      <c r="L9" t="inlineStr">
        <is>
          <t>medium</t>
        </is>
      </c>
      <c r="M9" s="2" t="n">
        <v>111493</v>
      </c>
      <c r="N9" s="2" t="n">
        <v>113776</v>
      </c>
      <c r="O9" s="2" t="n">
        <v>111297</v>
      </c>
      <c r="P9" s="2">
        <f>AVERAGE(M9:O9)</f>
        <v/>
      </c>
      <c r="Q9" t="n">
        <v>3</v>
      </c>
      <c r="R9" t="n">
        <v>1</v>
      </c>
      <c r="S9" s="2">
        <f>H9*1000000</f>
        <v/>
      </c>
      <c r="T9" s="2">
        <f>365*Q9*P9*R9</f>
        <v/>
      </c>
      <c r="U9" s="7">
        <f>S9/T9</f>
        <v/>
      </c>
      <c r="V9">
        <f>RANK(U9,$U$2:$U$70,0)</f>
        <v/>
      </c>
    </row>
    <row r="10">
      <c r="A10" t="inlineStr">
        <is>
          <t>zone_121</t>
        </is>
      </c>
      <c r="B10" t="inlineStr">
        <is>
          <t>ดินแดง - งามวงศ์วาน</t>
        </is>
      </c>
      <c r="C10" t="inlineStr">
        <is>
          <t>กรุงเทพมหานคร</t>
        </is>
      </c>
      <c r="D10" t="inlineStr">
        <is>
          <t>31</t>
        </is>
      </c>
      <c r="E10" t="inlineStr">
        <is>
          <t>10.27–10.447</t>
        </is>
      </c>
      <c r="F10" t="inlineStr">
        <is>
          <t>ทางหลวง 31 ตอนควบคุม 0101</t>
        </is>
      </c>
      <c r="G10" t="n">
        <v>104</v>
      </c>
      <c r="H10" t="n">
        <v>3</v>
      </c>
      <c r="I10" t="n">
        <v>0</v>
      </c>
      <c r="J10" t="n">
        <v>3</v>
      </c>
      <c r="K10" t="n">
        <v>1</v>
      </c>
      <c r="L10" t="inlineStr">
        <is>
          <t>medium</t>
        </is>
      </c>
      <c r="M10" s="2" t="n">
        <v>111493</v>
      </c>
      <c r="N10" s="2" t="n">
        <v>113776</v>
      </c>
      <c r="O10" s="2" t="n">
        <v>111297</v>
      </c>
      <c r="P10" s="2">
        <f>AVERAGE(M10:O10)</f>
        <v/>
      </c>
      <c r="Q10" t="n">
        <v>3</v>
      </c>
      <c r="R10" t="n">
        <v>1</v>
      </c>
      <c r="S10" s="2">
        <f>H10*1000000</f>
        <v/>
      </c>
      <c r="T10" s="2">
        <f>365*Q10*P10*R10</f>
        <v/>
      </c>
      <c r="U10" s="7">
        <f>S10/T10</f>
        <v/>
      </c>
      <c r="V10">
        <f>RANK(U10,$U$2:$U$70,0)</f>
        <v/>
      </c>
    </row>
    <row r="11">
      <c r="A11" t="inlineStr">
        <is>
          <t>zone_122</t>
        </is>
      </c>
      <c r="B11" t="inlineStr">
        <is>
          <t>ดินแดง - งามวงศ์วาน</t>
        </is>
      </c>
      <c r="C11" t="inlineStr">
        <is>
          <t>กรุงเทพมหานคร</t>
        </is>
      </c>
      <c r="D11" t="inlineStr">
        <is>
          <t>31</t>
        </is>
      </c>
      <c r="E11" t="inlineStr">
        <is>
          <t>11.195–11.228</t>
        </is>
      </c>
      <c r="F11" t="inlineStr">
        <is>
          <t>ทางหลวง 31 ตอนควบคุม 0101</t>
        </is>
      </c>
      <c r="G11" t="n">
        <v>104</v>
      </c>
      <c r="H11" t="n">
        <v>3</v>
      </c>
      <c r="I11" t="n">
        <v>0</v>
      </c>
      <c r="J11" t="n">
        <v>3</v>
      </c>
      <c r="K11" t="n">
        <v>1</v>
      </c>
      <c r="L11" t="inlineStr">
        <is>
          <t>medium</t>
        </is>
      </c>
      <c r="M11" s="2" t="n">
        <v>111493</v>
      </c>
      <c r="N11" s="2" t="n">
        <v>113776</v>
      </c>
      <c r="O11" s="2" t="n">
        <v>111297</v>
      </c>
      <c r="P11" s="2">
        <f>AVERAGE(M11:O11)</f>
        <v/>
      </c>
      <c r="Q11" t="n">
        <v>3</v>
      </c>
      <c r="R11" t="n">
        <v>1</v>
      </c>
      <c r="S11" s="2">
        <f>H11*1000000</f>
        <v/>
      </c>
      <c r="T11" s="2">
        <f>365*Q11*P11*R11</f>
        <v/>
      </c>
      <c r="U11" s="7">
        <f>S11/T11</f>
        <v/>
      </c>
      <c r="V11">
        <f>RANK(U11,$U$2:$U$70,0)</f>
        <v/>
      </c>
    </row>
    <row r="12">
      <c r="A12" t="inlineStr">
        <is>
          <t>zone_123</t>
        </is>
      </c>
      <c r="B12" t="inlineStr">
        <is>
          <t>ดินแดง - งามวงศ์วาน</t>
        </is>
      </c>
      <c r="C12" t="inlineStr">
        <is>
          <t>กรุงเทพมหานคร</t>
        </is>
      </c>
      <c r="D12" t="inlineStr">
        <is>
          <t>31</t>
        </is>
      </c>
      <c r="E12" t="inlineStr">
        <is>
          <t>10.229–10.597</t>
        </is>
      </c>
      <c r="F12" t="inlineStr">
        <is>
          <t>ทางหลวง 31 ตอนควบคุม 0101</t>
        </is>
      </c>
      <c r="G12" t="n">
        <v>104</v>
      </c>
      <c r="H12" t="n">
        <v>4</v>
      </c>
      <c r="I12" t="n">
        <v>0</v>
      </c>
      <c r="J12" t="n">
        <v>7</v>
      </c>
      <c r="K12" t="n">
        <v>1.75</v>
      </c>
      <c r="L12" t="inlineStr">
        <is>
          <t>medium</t>
        </is>
      </c>
      <c r="M12" s="2" t="n">
        <v>111493</v>
      </c>
      <c r="N12" s="2" t="n">
        <v>113776</v>
      </c>
      <c r="O12" s="2" t="n">
        <v>111297</v>
      </c>
      <c r="P12" s="2">
        <f>AVERAGE(M12:O12)</f>
        <v/>
      </c>
      <c r="Q12" t="n">
        <v>3</v>
      </c>
      <c r="R12" t="n">
        <v>1</v>
      </c>
      <c r="S12" s="2">
        <f>H12*1000000</f>
        <v/>
      </c>
      <c r="T12" s="2">
        <f>365*Q12*P12*R12</f>
        <v/>
      </c>
      <c r="U12" s="7">
        <f>S12/T12</f>
        <v/>
      </c>
      <c r="V12">
        <f>RANK(U12,$U$2:$U$70,0)</f>
        <v/>
      </c>
    </row>
    <row r="13">
      <c r="A13" t="inlineStr">
        <is>
          <t>zone_127</t>
        </is>
      </c>
      <c r="B13" t="inlineStr">
        <is>
          <t>ดินแดง - งามวงศ์วาน</t>
        </is>
      </c>
      <c r="C13" t="inlineStr">
        <is>
          <t>กรุงเทพมหานคร</t>
        </is>
      </c>
      <c r="D13" t="inlineStr">
        <is>
          <t>31</t>
        </is>
      </c>
      <c r="E13" t="inlineStr">
        <is>
          <t>11.93–12.24</t>
        </is>
      </c>
      <c r="F13" t="inlineStr">
        <is>
          <t>ทางหลวง 31 ตอนควบคุม 0101</t>
        </is>
      </c>
      <c r="G13" t="n">
        <v>104</v>
      </c>
      <c r="H13" t="n">
        <v>6</v>
      </c>
      <c r="I13" t="n">
        <v>0</v>
      </c>
      <c r="J13" t="n">
        <v>2</v>
      </c>
      <c r="K13" t="n">
        <v>0.3333</v>
      </c>
      <c r="L13" t="inlineStr">
        <is>
          <t>low</t>
        </is>
      </c>
      <c r="M13" s="2" t="n">
        <v>111493</v>
      </c>
      <c r="N13" s="2" t="n">
        <v>113776</v>
      </c>
      <c r="O13" s="2" t="n">
        <v>111297</v>
      </c>
      <c r="P13" s="2">
        <f>AVERAGE(M13:O13)</f>
        <v/>
      </c>
      <c r="Q13" t="n">
        <v>3</v>
      </c>
      <c r="R13" t="n">
        <v>1</v>
      </c>
      <c r="S13" s="2">
        <f>H13*1000000</f>
        <v/>
      </c>
      <c r="T13" s="2">
        <f>365*Q13*P13*R13</f>
        <v/>
      </c>
      <c r="U13" s="7">
        <f>S13/T13</f>
        <v/>
      </c>
      <c r="V13">
        <f>RANK(U13,$U$2:$U$70,0)</f>
        <v/>
      </c>
    </row>
    <row r="14">
      <c r="A14" t="inlineStr">
        <is>
          <t>zone_140</t>
        </is>
      </c>
      <c r="B14" t="inlineStr">
        <is>
          <t>ดินแดง - งามวงศ์วาน</t>
        </is>
      </c>
      <c r="C14" t="inlineStr">
        <is>
          <t>กรุงเทพมหานคร</t>
        </is>
      </c>
      <c r="D14" t="inlineStr">
        <is>
          <t>31</t>
        </is>
      </c>
      <c r="E14" t="inlineStr">
        <is>
          <t>8.115–8.565</t>
        </is>
      </c>
      <c r="F14" t="inlineStr">
        <is>
          <t>ทางหลวง 31 ตอนควบคุม 0101</t>
        </is>
      </c>
      <c r="G14" t="n">
        <v>104</v>
      </c>
      <c r="H14" t="n">
        <v>7</v>
      </c>
      <c r="I14" t="n">
        <v>0</v>
      </c>
      <c r="J14" t="n">
        <v>6</v>
      </c>
      <c r="K14" t="n">
        <v>0.8571</v>
      </c>
      <c r="L14" t="inlineStr">
        <is>
          <t>low</t>
        </is>
      </c>
      <c r="M14" s="2" t="n">
        <v>111493</v>
      </c>
      <c r="N14" s="2" t="n">
        <v>113776</v>
      </c>
      <c r="O14" s="2" t="n">
        <v>111297</v>
      </c>
      <c r="P14" s="2">
        <f>AVERAGE(M14:O14)</f>
        <v/>
      </c>
      <c r="Q14" t="n">
        <v>3</v>
      </c>
      <c r="R14" t="n">
        <v>1</v>
      </c>
      <c r="S14" s="2">
        <f>H14*1000000</f>
        <v/>
      </c>
      <c r="T14" s="2">
        <f>365*Q14*P14*R14</f>
        <v/>
      </c>
      <c r="U14" s="7">
        <f>S14/T14</f>
        <v/>
      </c>
      <c r="V14">
        <f>RANK(U14,$U$2:$U$70,0)</f>
        <v/>
      </c>
    </row>
    <row r="15">
      <c r="A15" t="inlineStr">
        <is>
          <t>zone_141</t>
        </is>
      </c>
      <c r="B15" t="inlineStr">
        <is>
          <t>ดินแดง - งามวงศ์วาน</t>
        </is>
      </c>
      <c r="C15" t="inlineStr">
        <is>
          <t>กรุงเทพมหานคร</t>
        </is>
      </c>
      <c r="D15" t="inlineStr">
        <is>
          <t>31</t>
        </is>
      </c>
      <c r="E15" t="inlineStr">
        <is>
          <t>5.1–5.2</t>
        </is>
      </c>
      <c r="F15" t="inlineStr">
        <is>
          <t>ทางหลวง 31 ตอนควบคุม 0101</t>
        </is>
      </c>
      <c r="G15" t="n">
        <v>104</v>
      </c>
      <c r="H15" t="n">
        <v>4</v>
      </c>
      <c r="I15" t="n">
        <v>0</v>
      </c>
      <c r="J15" t="n">
        <v>3</v>
      </c>
      <c r="K15" t="n">
        <v>0.75</v>
      </c>
      <c r="L15" t="inlineStr">
        <is>
          <t>low</t>
        </is>
      </c>
      <c r="M15" s="2" t="n">
        <v>111493</v>
      </c>
      <c r="N15" s="2" t="n">
        <v>113776</v>
      </c>
      <c r="O15" s="2" t="n">
        <v>111297</v>
      </c>
      <c r="P15" s="2">
        <f>AVERAGE(M15:O15)</f>
        <v/>
      </c>
      <c r="Q15" t="n">
        <v>3</v>
      </c>
      <c r="R15" t="n">
        <v>1</v>
      </c>
      <c r="S15" s="2">
        <f>H15*1000000</f>
        <v/>
      </c>
      <c r="T15" s="2">
        <f>365*Q15*P15*R15</f>
        <v/>
      </c>
      <c r="U15" s="7">
        <f>S15/T15</f>
        <v/>
      </c>
      <c r="V15">
        <f>RANK(U15,$U$2:$U$70,0)</f>
        <v/>
      </c>
    </row>
    <row r="16">
      <c r="A16" t="inlineStr">
        <is>
          <t>zone_142</t>
        </is>
      </c>
      <c r="B16" t="inlineStr">
        <is>
          <t>ดินแดง - งามวงศ์วาน</t>
        </is>
      </c>
      <c r="C16" t="inlineStr">
        <is>
          <t>กรุงเทพมหานคร</t>
        </is>
      </c>
      <c r="D16" t="inlineStr">
        <is>
          <t>31</t>
        </is>
      </c>
      <c r="E16" t="inlineStr">
        <is>
          <t>9.667–9.96</t>
        </is>
      </c>
      <c r="F16" t="inlineStr">
        <is>
          <t>ทางหลวง 31 ตอนควบคุม 0101</t>
        </is>
      </c>
      <c r="G16" t="n">
        <v>104</v>
      </c>
      <c r="H16" t="n">
        <v>6</v>
      </c>
      <c r="I16" t="n">
        <v>0</v>
      </c>
      <c r="J16" t="n">
        <v>5</v>
      </c>
      <c r="K16" t="n">
        <v>0.8333</v>
      </c>
      <c r="L16" t="inlineStr">
        <is>
          <t>low</t>
        </is>
      </c>
      <c r="M16" s="2" t="n">
        <v>111493</v>
      </c>
      <c r="N16" s="2" t="n">
        <v>113776</v>
      </c>
      <c r="O16" s="2" t="n">
        <v>111297</v>
      </c>
      <c r="P16" s="2">
        <f>AVERAGE(M16:O16)</f>
        <v/>
      </c>
      <c r="Q16" t="n">
        <v>3</v>
      </c>
      <c r="R16" t="n">
        <v>1</v>
      </c>
      <c r="S16" s="2">
        <f>H16*1000000</f>
        <v/>
      </c>
      <c r="T16" s="2">
        <f>365*Q16*P16*R16</f>
        <v/>
      </c>
      <c r="U16" s="7">
        <f>S16/T16</f>
        <v/>
      </c>
      <c r="V16">
        <f>RANK(U16,$U$2:$U$70,0)</f>
        <v/>
      </c>
    </row>
    <row r="17">
      <c r="A17" t="inlineStr">
        <is>
          <t>zone_155</t>
        </is>
      </c>
      <c r="B17" t="inlineStr">
        <is>
          <t>ดินแดง - งามวงศ์วาน</t>
        </is>
      </c>
      <c r="C17" t="inlineStr">
        <is>
          <t>กรุงเทพมหานคร</t>
        </is>
      </c>
      <c r="D17" t="inlineStr">
        <is>
          <t>31</t>
        </is>
      </c>
      <c r="E17" t="inlineStr">
        <is>
          <t>5.725–6.1</t>
        </is>
      </c>
      <c r="F17" t="inlineStr">
        <is>
          <t>ทางหลวง 31 ตอนควบคุม 0101</t>
        </is>
      </c>
      <c r="G17" t="n">
        <v>104</v>
      </c>
      <c r="H17" t="n">
        <v>9</v>
      </c>
      <c r="I17" t="n">
        <v>1</v>
      </c>
      <c r="J17" t="n">
        <v>6</v>
      </c>
      <c r="K17" t="n">
        <v>0.7778</v>
      </c>
      <c r="L17" t="inlineStr">
        <is>
          <t>low</t>
        </is>
      </c>
      <c r="M17" s="2" t="n">
        <v>111493</v>
      </c>
      <c r="N17" s="2" t="n">
        <v>113776</v>
      </c>
      <c r="O17" s="2" t="n">
        <v>111297</v>
      </c>
      <c r="P17" s="2">
        <f>AVERAGE(M17:O17)</f>
        <v/>
      </c>
      <c r="Q17" t="n">
        <v>3</v>
      </c>
      <c r="R17" t="n">
        <v>1</v>
      </c>
      <c r="S17" s="2">
        <f>H17*1000000</f>
        <v/>
      </c>
      <c r="T17" s="2">
        <f>365*Q17*P17*R17</f>
        <v/>
      </c>
      <c r="U17" s="7">
        <f>S17/T17</f>
        <v/>
      </c>
      <c r="V17">
        <f>RANK(U17,$U$2:$U$70,0)</f>
        <v/>
      </c>
    </row>
    <row r="18">
      <c r="A18" t="inlineStr">
        <is>
          <t>zone_162</t>
        </is>
      </c>
      <c r="B18" t="inlineStr">
        <is>
          <t>ดินแดง - งามวงศ์วาน</t>
        </is>
      </c>
      <c r="C18" t="inlineStr">
        <is>
          <t>กรุงเทพมหานคร</t>
        </is>
      </c>
      <c r="D18" t="inlineStr">
        <is>
          <t>31</t>
        </is>
      </c>
      <c r="E18" t="inlineStr">
        <is>
          <t>8.385–13.347</t>
        </is>
      </c>
      <c r="F18" t="inlineStr">
        <is>
          <t>ทางหลวง 31 ตอนควบคุม 0101</t>
        </is>
      </c>
      <c r="G18" t="n">
        <v>104</v>
      </c>
      <c r="H18" t="n">
        <v>5</v>
      </c>
      <c r="I18" t="n">
        <v>1</v>
      </c>
      <c r="J18" t="n">
        <v>3</v>
      </c>
      <c r="K18" t="n">
        <v>0.8</v>
      </c>
      <c r="L18" t="inlineStr">
        <is>
          <t>low</t>
        </is>
      </c>
      <c r="M18" s="2" t="n">
        <v>111493</v>
      </c>
      <c r="N18" s="2" t="n">
        <v>113776</v>
      </c>
      <c r="O18" s="2" t="n">
        <v>111297</v>
      </c>
      <c r="P18" s="2">
        <f>AVERAGE(M18:O18)</f>
        <v/>
      </c>
      <c r="Q18" t="n">
        <v>3</v>
      </c>
      <c r="R18" t="n">
        <v>1</v>
      </c>
      <c r="S18" s="2">
        <f>H18*1000000</f>
        <v/>
      </c>
      <c r="T18" s="2">
        <f>365*Q18*P18*R18</f>
        <v/>
      </c>
      <c r="U18" s="7">
        <f>S18/T18</f>
        <v/>
      </c>
      <c r="V18">
        <f>RANK(U18,$U$2:$U$70,0)</f>
        <v/>
      </c>
    </row>
    <row r="19">
      <c r="A19" t="inlineStr">
        <is>
          <t>zone_163</t>
        </is>
      </c>
      <c r="B19" t="inlineStr">
        <is>
          <t>ดินแดง - งามวงศ์วาน</t>
        </is>
      </c>
      <c r="C19" t="inlineStr">
        <is>
          <t>กรุงเทพมหานคร</t>
        </is>
      </c>
      <c r="D19" t="inlineStr">
        <is>
          <t>31</t>
        </is>
      </c>
      <c r="E19" t="inlineStr">
        <is>
          <t>6.565–6.92</t>
        </is>
      </c>
      <c r="F19" t="inlineStr">
        <is>
          <t>ทางหลวง 31 ตอนควบคุม 0101</t>
        </is>
      </c>
      <c r="G19" t="n">
        <v>104</v>
      </c>
      <c r="H19" t="n">
        <v>5</v>
      </c>
      <c r="I19" t="n">
        <v>0</v>
      </c>
      <c r="J19" t="n">
        <v>7</v>
      </c>
      <c r="K19" t="n">
        <v>1.4</v>
      </c>
      <c r="L19" t="inlineStr">
        <is>
          <t>medium</t>
        </is>
      </c>
      <c r="M19" s="2" t="n">
        <v>111493</v>
      </c>
      <c r="N19" s="2" t="n">
        <v>113776</v>
      </c>
      <c r="O19" s="2" t="n">
        <v>111297</v>
      </c>
      <c r="P19" s="2">
        <f>AVERAGE(M19:O19)</f>
        <v/>
      </c>
      <c r="Q19" t="n">
        <v>3</v>
      </c>
      <c r="R19" t="n">
        <v>1</v>
      </c>
      <c r="S19" s="2">
        <f>H19*1000000</f>
        <v/>
      </c>
      <c r="T19" s="2">
        <f>365*Q19*P19*R19</f>
        <v/>
      </c>
      <c r="U19" s="7">
        <f>S19/T19</f>
        <v/>
      </c>
      <c r="V19">
        <f>RANK(U19,$U$2:$U$70,0)</f>
        <v/>
      </c>
    </row>
    <row r="20">
      <c r="A20" t="inlineStr">
        <is>
          <t>zone_199</t>
        </is>
      </c>
      <c r="B20" t="inlineStr">
        <is>
          <t>ดินแดง - งามวงศ์วาน</t>
        </is>
      </c>
      <c r="C20" t="inlineStr">
        <is>
          <t>กรุงเทพมหานคร</t>
        </is>
      </c>
      <c r="D20" t="inlineStr">
        <is>
          <t>31</t>
        </is>
      </c>
      <c r="E20" t="inlineStr">
        <is>
          <t>8.89–9.035</t>
        </is>
      </c>
      <c r="F20" t="inlineStr">
        <is>
          <t>ทางหลวง 31 ตอนควบคุม 0101</t>
        </is>
      </c>
      <c r="G20" t="n">
        <v>104</v>
      </c>
      <c r="H20" t="n">
        <v>3</v>
      </c>
      <c r="I20" t="n">
        <v>0</v>
      </c>
      <c r="J20" t="n">
        <v>3</v>
      </c>
      <c r="K20" t="n">
        <v>1</v>
      </c>
      <c r="L20" t="inlineStr">
        <is>
          <t>medium</t>
        </is>
      </c>
      <c r="M20" s="2" t="n">
        <v>111493</v>
      </c>
      <c r="N20" s="2" t="n">
        <v>113776</v>
      </c>
      <c r="O20" s="2" t="n">
        <v>111297</v>
      </c>
      <c r="P20" s="2">
        <f>AVERAGE(M20:O20)</f>
        <v/>
      </c>
      <c r="Q20" t="n">
        <v>3</v>
      </c>
      <c r="R20" t="n">
        <v>1</v>
      </c>
      <c r="S20" s="2">
        <f>H20*1000000</f>
        <v/>
      </c>
      <c r="T20" s="2">
        <f>365*Q20*P20*R20</f>
        <v/>
      </c>
      <c r="U20" s="7">
        <f>S20/T20</f>
        <v/>
      </c>
      <c r="V20">
        <f>RANK(U20,$U$2:$U$70,0)</f>
        <v/>
      </c>
    </row>
    <row r="21">
      <c r="A21" t="inlineStr">
        <is>
          <t>zone_213</t>
        </is>
      </c>
      <c r="B21" t="inlineStr">
        <is>
          <t>ดินแดง - งามวงศ์วาน</t>
        </is>
      </c>
      <c r="C21" t="inlineStr">
        <is>
          <t>กรุงเทพมหานคร</t>
        </is>
      </c>
      <c r="D21" t="inlineStr">
        <is>
          <t>31</t>
        </is>
      </c>
      <c r="E21" t="inlineStr">
        <is>
          <t>9.135–14.314</t>
        </is>
      </c>
      <c r="F21" t="inlineStr">
        <is>
          <t>ทางหลวง 31 ตอนควบคุม 0101</t>
        </is>
      </c>
      <c r="G21" t="n">
        <v>104</v>
      </c>
      <c r="H21" t="n">
        <v>4</v>
      </c>
      <c r="I21" t="n">
        <v>0</v>
      </c>
      <c r="J21" t="n">
        <v>3</v>
      </c>
      <c r="K21" t="n">
        <v>0.75</v>
      </c>
      <c r="L21" t="inlineStr">
        <is>
          <t>low</t>
        </is>
      </c>
      <c r="M21" s="2" t="n">
        <v>111493</v>
      </c>
      <c r="N21" s="2" t="n">
        <v>113776</v>
      </c>
      <c r="O21" s="2" t="n">
        <v>111297</v>
      </c>
      <c r="P21" s="2">
        <f>AVERAGE(M21:O21)</f>
        <v/>
      </c>
      <c r="Q21" t="n">
        <v>3</v>
      </c>
      <c r="R21" t="n">
        <v>1</v>
      </c>
      <c r="S21" s="2">
        <f>H21*1000000</f>
        <v/>
      </c>
      <c r="T21" s="2">
        <f>365*Q21*P21*R21</f>
        <v/>
      </c>
      <c r="U21" s="7">
        <f>S21/T21</f>
        <v/>
      </c>
      <c r="V21">
        <f>RANK(U21,$U$2:$U$70,0)</f>
        <v/>
      </c>
    </row>
    <row r="22">
      <c r="A22" t="inlineStr">
        <is>
          <t>zone_214</t>
        </is>
      </c>
      <c r="B22" t="inlineStr">
        <is>
          <t>ดินแดง - งามวงศ์วาน</t>
        </is>
      </c>
      <c r="C22" t="inlineStr">
        <is>
          <t>กรุงเทพมหานคร</t>
        </is>
      </c>
      <c r="D22" t="inlineStr">
        <is>
          <t>31</t>
        </is>
      </c>
      <c r="E22" t="inlineStr">
        <is>
          <t>12.6–12.65</t>
        </is>
      </c>
      <c r="F22" t="inlineStr">
        <is>
          <t>ทางหลวง 31 ตอนควบคุม 0101</t>
        </is>
      </c>
      <c r="G22" t="n">
        <v>104</v>
      </c>
      <c r="H22" t="n">
        <v>3</v>
      </c>
      <c r="I22" t="n">
        <v>0</v>
      </c>
      <c r="J22" t="n">
        <v>3</v>
      </c>
      <c r="K22" t="n">
        <v>1</v>
      </c>
      <c r="L22" t="inlineStr">
        <is>
          <t>medium</t>
        </is>
      </c>
      <c r="M22" s="2" t="n">
        <v>111493</v>
      </c>
      <c r="N22" s="2" t="n">
        <v>113776</v>
      </c>
      <c r="O22" s="2" t="n">
        <v>111297</v>
      </c>
      <c r="P22" s="2">
        <f>AVERAGE(M22:O22)</f>
        <v/>
      </c>
      <c r="Q22" t="n">
        <v>3</v>
      </c>
      <c r="R22" t="n">
        <v>1</v>
      </c>
      <c r="S22" s="2">
        <f>H22*1000000</f>
        <v/>
      </c>
      <c r="T22" s="2">
        <f>365*Q22*P22*R22</f>
        <v/>
      </c>
      <c r="U22" s="7">
        <f>S22/T22</f>
        <v/>
      </c>
      <c r="V22">
        <f>RANK(U22,$U$2:$U$70,0)</f>
        <v/>
      </c>
    </row>
    <row r="23">
      <c r="A23" t="inlineStr">
        <is>
          <t>zone_255</t>
        </is>
      </c>
      <c r="B23" t="inlineStr">
        <is>
          <t>ดินแดง - งามวงศ์วาน</t>
        </is>
      </c>
      <c r="C23" t="inlineStr">
        <is>
          <t>กรุงเทพมหานคร</t>
        </is>
      </c>
      <c r="D23" t="inlineStr">
        <is>
          <t>31</t>
        </is>
      </c>
      <c r="E23" t="inlineStr">
        <is>
          <t>7.135–7.255</t>
        </is>
      </c>
      <c r="F23" t="inlineStr">
        <is>
          <t>ทางหลวง 31 ตอนควบคุม 0101</t>
        </is>
      </c>
      <c r="G23" t="n">
        <v>104</v>
      </c>
      <c r="H23" t="n">
        <v>3</v>
      </c>
      <c r="I23" t="n">
        <v>2</v>
      </c>
      <c r="J23" t="n">
        <v>1</v>
      </c>
      <c r="K23" t="n">
        <v>0.6667</v>
      </c>
      <c r="L23" t="inlineStr">
        <is>
          <t>low</t>
        </is>
      </c>
      <c r="M23" s="2" t="n">
        <v>111493</v>
      </c>
      <c r="N23" s="2" t="n">
        <v>113776</v>
      </c>
      <c r="O23" s="2" t="n">
        <v>111297</v>
      </c>
      <c r="P23" s="2">
        <f>AVERAGE(M23:O23)</f>
        <v/>
      </c>
      <c r="Q23" t="n">
        <v>3</v>
      </c>
      <c r="R23" t="n">
        <v>1</v>
      </c>
      <c r="S23" s="2">
        <f>H23*1000000</f>
        <v/>
      </c>
      <c r="T23" s="2">
        <f>365*Q23*P23*R23</f>
        <v/>
      </c>
      <c r="U23" s="7">
        <f>S23/T23</f>
        <v/>
      </c>
      <c r="V23">
        <f>RANK(U23,$U$2:$U$70,0)</f>
        <v/>
      </c>
    </row>
    <row r="24">
      <c r="A24" t="inlineStr">
        <is>
          <t>zone_269</t>
        </is>
      </c>
      <c r="B24" t="inlineStr">
        <is>
          <t>งามวงศ์วาน - ดอนเมือง</t>
        </is>
      </c>
      <c r="C24" t="inlineStr">
        <is>
          <t>กรุงเทพมหานคร</t>
        </is>
      </c>
      <c r="D24" t="inlineStr">
        <is>
          <t>31</t>
        </is>
      </c>
      <c r="E24" t="inlineStr">
        <is>
          <t>21.279–21.85</t>
        </is>
      </c>
      <c r="F24" t="inlineStr">
        <is>
          <t>ทางหลวง 31 ตอนควบคุม 0102</t>
        </is>
      </c>
      <c r="G24" t="n">
        <v>104</v>
      </c>
      <c r="H24" t="n">
        <v>5</v>
      </c>
      <c r="I24" t="n">
        <v>1</v>
      </c>
      <c r="J24" t="n">
        <v>0</v>
      </c>
      <c r="K24" t="n">
        <v>0.2</v>
      </c>
      <c r="L24" t="inlineStr">
        <is>
          <t>low</t>
        </is>
      </c>
      <c r="M24" s="2" t="n">
        <v>111493</v>
      </c>
      <c r="N24" s="2" t="n">
        <v>113776</v>
      </c>
      <c r="O24" s="2" t="n">
        <v>111297</v>
      </c>
      <c r="P24" s="2">
        <f>AVERAGE(M24:O24)</f>
        <v/>
      </c>
      <c r="Q24" t="n">
        <v>3</v>
      </c>
      <c r="R24" t="n">
        <v>1</v>
      </c>
      <c r="S24" s="2">
        <f>H24*1000000</f>
        <v/>
      </c>
      <c r="T24" s="2">
        <f>365*Q24*P24*R24</f>
        <v/>
      </c>
      <c r="U24" s="7">
        <f>S24/T24</f>
        <v/>
      </c>
      <c r="V24">
        <f>RANK(U24,$U$2:$U$70,0)</f>
        <v/>
      </c>
    </row>
    <row r="25">
      <c r="A25" t="inlineStr">
        <is>
          <t>zone_272</t>
        </is>
      </c>
      <c r="B25" t="inlineStr">
        <is>
          <t>งามวงศ์วาน - ดอนเมือง</t>
        </is>
      </c>
      <c r="C25" t="inlineStr">
        <is>
          <t>กรุงเทพมหานคร</t>
        </is>
      </c>
      <c r="D25" t="inlineStr">
        <is>
          <t>31</t>
        </is>
      </c>
      <c r="E25" t="inlineStr">
        <is>
          <t>25.075–25.3</t>
        </is>
      </c>
      <c r="F25" t="inlineStr">
        <is>
          <t>ทางหลวง 31 ตอนควบคุม 0102</t>
        </is>
      </c>
      <c r="G25" t="n">
        <v>104</v>
      </c>
      <c r="H25" t="n">
        <v>3</v>
      </c>
      <c r="I25" t="n">
        <v>0</v>
      </c>
      <c r="J25" t="n">
        <v>1</v>
      </c>
      <c r="K25" t="n">
        <v>0.3333</v>
      </c>
      <c r="L25" t="inlineStr">
        <is>
          <t>low</t>
        </is>
      </c>
      <c r="M25" s="2" t="n">
        <v>111493</v>
      </c>
      <c r="N25" s="2" t="n">
        <v>113776</v>
      </c>
      <c r="O25" s="2" t="n">
        <v>111297</v>
      </c>
      <c r="P25" s="2">
        <f>AVERAGE(M25:O25)</f>
        <v/>
      </c>
      <c r="Q25" t="n">
        <v>3</v>
      </c>
      <c r="R25" t="n">
        <v>1</v>
      </c>
      <c r="S25" s="2">
        <f>H25*1000000</f>
        <v/>
      </c>
      <c r="T25" s="2">
        <f>365*Q25*P25*R25</f>
        <v/>
      </c>
      <c r="U25" s="7">
        <f>S25/T25</f>
        <v/>
      </c>
      <c r="V25">
        <f>RANK(U25,$U$2:$U$70,0)</f>
        <v/>
      </c>
    </row>
    <row r="26">
      <c r="A26" t="inlineStr">
        <is>
          <t>zone_313</t>
        </is>
      </c>
      <c r="B26" t="inlineStr">
        <is>
          <t>งามวงศ์วาน - ดอนเมือง</t>
        </is>
      </c>
      <c r="C26" t="inlineStr">
        <is>
          <t>กรุงเทพมหานคร</t>
        </is>
      </c>
      <c r="D26" t="inlineStr">
        <is>
          <t>31</t>
        </is>
      </c>
      <c r="E26" t="inlineStr">
        <is>
          <t>25.88–26.05</t>
        </is>
      </c>
      <c r="F26" t="inlineStr">
        <is>
          <t>ทางหลวง 31 ตอนควบคุม 0102</t>
        </is>
      </c>
      <c r="G26" t="n">
        <v>104</v>
      </c>
      <c r="H26" t="n">
        <v>3</v>
      </c>
      <c r="I26" t="n">
        <v>0</v>
      </c>
      <c r="J26" t="n">
        <v>2</v>
      </c>
      <c r="K26" t="n">
        <v>0.6667</v>
      </c>
      <c r="L26" t="inlineStr">
        <is>
          <t>low</t>
        </is>
      </c>
      <c r="M26" s="2" t="n">
        <v>111493</v>
      </c>
      <c r="N26" s="2" t="n">
        <v>113776</v>
      </c>
      <c r="O26" s="2" t="n">
        <v>111297</v>
      </c>
      <c r="P26" s="2">
        <f>AVERAGE(M26:O26)</f>
        <v/>
      </c>
      <c r="Q26" t="n">
        <v>3</v>
      </c>
      <c r="R26" t="n">
        <v>1</v>
      </c>
      <c r="S26" s="2">
        <f>H26*1000000</f>
        <v/>
      </c>
      <c r="T26" s="2">
        <f>365*Q26*P26*R26</f>
        <v/>
      </c>
      <c r="U26" s="7">
        <f>S26/T26</f>
        <v/>
      </c>
      <c r="V26">
        <f>RANK(U26,$U$2:$U$70,0)</f>
        <v/>
      </c>
    </row>
    <row r="27">
      <c r="A27" t="inlineStr">
        <is>
          <t>zone_530</t>
        </is>
      </c>
      <c r="B27" t="inlineStr">
        <is>
          <t>บางปู - บางพลี</t>
        </is>
      </c>
      <c r="C27" t="inlineStr">
        <is>
          <t>สมุทรปราการ</t>
        </is>
      </c>
      <c r="D27" t="inlineStr">
        <is>
          <t>3256</t>
        </is>
      </c>
      <c r="E27" t="inlineStr">
        <is>
          <t>1.06–1.24</t>
        </is>
      </c>
      <c r="F27" t="inlineStr">
        <is>
          <t>ทางหลวง 3256 ตอนควบคุม 0101</t>
        </is>
      </c>
      <c r="G27" t="n">
        <v>98</v>
      </c>
      <c r="H27" t="n">
        <v>3</v>
      </c>
      <c r="I27" t="n">
        <v>2</v>
      </c>
      <c r="J27" t="n">
        <v>2</v>
      </c>
      <c r="K27" t="n">
        <v>1</v>
      </c>
      <c r="L27" t="inlineStr">
        <is>
          <t>medium</t>
        </is>
      </c>
      <c r="M27" s="2" t="n">
        <v>61837</v>
      </c>
      <c r="N27" s="2" t="n">
        <v>64320</v>
      </c>
      <c r="O27" s="2" t="n">
        <v>69133</v>
      </c>
      <c r="P27" s="2">
        <f>AVERAGE(M27:O27)</f>
        <v/>
      </c>
      <c r="Q27" t="n">
        <v>3</v>
      </c>
      <c r="R27" t="n">
        <v>1</v>
      </c>
      <c r="S27" s="2">
        <f>H27*1000000</f>
        <v/>
      </c>
      <c r="T27" s="2">
        <f>365*Q27*P27*R27</f>
        <v/>
      </c>
      <c r="U27" s="7">
        <f>S27/T27</f>
        <v/>
      </c>
      <c r="V27">
        <f>RANK(U27,$U$2:$U$70,0)</f>
        <v/>
      </c>
    </row>
    <row r="28">
      <c r="A28" t="inlineStr">
        <is>
          <t>zone_548</t>
        </is>
      </c>
      <c r="B28" t="inlineStr">
        <is>
          <t>บางปู - บางพลี</t>
        </is>
      </c>
      <c r="C28" t="inlineStr">
        <is>
          <t>สมุทรปราการ</t>
        </is>
      </c>
      <c r="D28" t="inlineStr">
        <is>
          <t>3256</t>
        </is>
      </c>
      <c r="E28" t="inlineStr">
        <is>
          <t>2.65–2.85</t>
        </is>
      </c>
      <c r="F28" t="inlineStr">
        <is>
          <t>ทางหลวง 3256 ตอนควบคุม 0101</t>
        </is>
      </c>
      <c r="G28" t="n">
        <v>98</v>
      </c>
      <c r="H28" t="n">
        <v>3</v>
      </c>
      <c r="I28" t="n">
        <v>1</v>
      </c>
      <c r="J28" t="n">
        <v>2</v>
      </c>
      <c r="K28" t="n">
        <v>1</v>
      </c>
      <c r="L28" t="inlineStr">
        <is>
          <t>medium</t>
        </is>
      </c>
      <c r="M28" s="2" t="n">
        <v>61837</v>
      </c>
      <c r="N28" s="2" t="n">
        <v>64320</v>
      </c>
      <c r="O28" s="2" t="n">
        <v>69133</v>
      </c>
      <c r="P28" s="2">
        <f>AVERAGE(M28:O28)</f>
        <v/>
      </c>
      <c r="Q28" t="n">
        <v>3</v>
      </c>
      <c r="R28" t="n">
        <v>1</v>
      </c>
      <c r="S28" s="2">
        <f>H28*1000000</f>
        <v/>
      </c>
      <c r="T28" s="2">
        <f>365*Q28*P28*R28</f>
        <v/>
      </c>
      <c r="U28" s="7">
        <f>S28/T28</f>
        <v/>
      </c>
      <c r="V28">
        <f>RANK(U28,$U$2:$U$70,0)</f>
        <v/>
      </c>
    </row>
    <row r="29">
      <c r="A29" t="inlineStr">
        <is>
          <t>zone_0</t>
        </is>
      </c>
      <c r="B29" t="inlineStr">
        <is>
          <t>บางพลัด - บางบำหรุ</t>
        </is>
      </c>
      <c r="C29" t="inlineStr">
        <is>
          <t>กรุงเทพมหานคร</t>
        </is>
      </c>
      <c r="D29" t="inlineStr">
        <is>
          <t>341</t>
        </is>
      </c>
      <c r="E29" t="inlineStr">
        <is>
          <t>0.02–0.342</t>
        </is>
      </c>
      <c r="F29" t="inlineStr">
        <is>
          <t>ทางหลวง 341 ตอนควบคุม 0100</t>
        </is>
      </c>
      <c r="G29" t="n">
        <v>125</v>
      </c>
      <c r="H29" t="n">
        <v>19</v>
      </c>
      <c r="I29" t="n">
        <v>1</v>
      </c>
      <c r="J29" t="n">
        <v>14</v>
      </c>
      <c r="K29" t="n">
        <v>0.7895</v>
      </c>
      <c r="L29" t="inlineStr">
        <is>
          <t>low</t>
        </is>
      </c>
      <c r="M29" s="2" t="n">
        <v>143761</v>
      </c>
      <c r="N29" s="2" t="n">
        <v>146988</v>
      </c>
      <c r="O29" s="2" t="n">
        <v>145895</v>
      </c>
      <c r="P29" s="2">
        <f>AVERAGE(M29:O29)</f>
        <v/>
      </c>
      <c r="Q29" t="n">
        <v>3</v>
      </c>
      <c r="R29" t="n">
        <v>1</v>
      </c>
      <c r="S29" s="2">
        <f>H29*1000000</f>
        <v/>
      </c>
      <c r="T29" s="2">
        <f>365*Q29*P29*R29</f>
        <v/>
      </c>
      <c r="U29" s="7">
        <f>S29/T29</f>
        <v/>
      </c>
      <c r="V29">
        <f>RANK(U29,$U$2:$U$70,0)</f>
        <v/>
      </c>
    </row>
    <row r="30">
      <c r="A30" t="inlineStr">
        <is>
          <t>zone_206</t>
        </is>
      </c>
      <c r="B30" t="inlineStr">
        <is>
          <t>รัชดาภิเษก - รามอินทรา</t>
        </is>
      </c>
      <c r="C30" t="inlineStr">
        <is>
          <t>กรุงเทพมหานคร</t>
        </is>
      </c>
      <c r="D30" t="inlineStr">
        <is>
          <t>350</t>
        </is>
      </c>
      <c r="E30" t="inlineStr">
        <is>
          <t>4.1–4.4</t>
        </is>
      </c>
      <c r="F30" t="inlineStr">
        <is>
          <t>ทางหลวง 350 ตอนควบคุม 0100</t>
        </is>
      </c>
      <c r="G30" t="n">
        <v>8</v>
      </c>
      <c r="H30" t="n">
        <v>14</v>
      </c>
      <c r="I30" t="n">
        <v>1</v>
      </c>
      <c r="J30" t="n">
        <v>3</v>
      </c>
      <c r="K30" t="n">
        <v>0.2857</v>
      </c>
      <c r="L30" t="inlineStr">
        <is>
          <t>low</t>
        </is>
      </c>
      <c r="M30" s="2" t="n">
        <v>96826</v>
      </c>
      <c r="N30" s="2" t="n">
        <v>76671</v>
      </c>
      <c r="O30" s="2" t="n">
        <v>73453</v>
      </c>
      <c r="P30" s="2">
        <f>AVERAGE(M30:O30)</f>
        <v/>
      </c>
      <c r="Q30" t="n">
        <v>3</v>
      </c>
      <c r="R30" t="n">
        <v>1</v>
      </c>
      <c r="S30" s="2">
        <f>H30*1000000</f>
        <v/>
      </c>
      <c r="T30" s="2">
        <f>365*Q30*P30*R30</f>
        <v/>
      </c>
      <c r="U30" s="7">
        <f>S30/T30</f>
        <v/>
      </c>
      <c r="V30">
        <f>RANK(U30,$U$2:$U$70,0)</f>
        <v/>
      </c>
    </row>
    <row r="31">
      <c r="A31" t="inlineStr">
        <is>
          <t>zone_80</t>
        </is>
      </c>
      <c r="B31" t="inlineStr">
        <is>
          <t>รัชดาภิเษก - รามอินทรา</t>
        </is>
      </c>
      <c r="C31" t="inlineStr">
        <is>
          <t>กรุงเทพมหานคร</t>
        </is>
      </c>
      <c r="D31" t="inlineStr">
        <is>
          <t>350</t>
        </is>
      </c>
      <c r="E31" t="inlineStr">
        <is>
          <t>3.6–3.825</t>
        </is>
      </c>
      <c r="F31" t="inlineStr">
        <is>
          <t>ทางหลวง 350 ตอนควบคุม 0100</t>
        </is>
      </c>
      <c r="G31" t="n">
        <v>8</v>
      </c>
      <c r="H31" t="n">
        <v>3</v>
      </c>
      <c r="I31" t="n">
        <v>0</v>
      </c>
      <c r="J31" t="n">
        <v>1</v>
      </c>
      <c r="K31" t="n">
        <v>0.3333</v>
      </c>
      <c r="L31" t="inlineStr">
        <is>
          <t>low</t>
        </is>
      </c>
      <c r="M31" s="2" t="n">
        <v>96826</v>
      </c>
      <c r="N31" s="2" t="n">
        <v>76671</v>
      </c>
      <c r="O31" s="2" t="n">
        <v>73453</v>
      </c>
      <c r="P31" s="2">
        <f>AVERAGE(M31:O31)</f>
        <v/>
      </c>
      <c r="Q31" t="n">
        <v>3</v>
      </c>
      <c r="R31" t="n">
        <v>1</v>
      </c>
      <c r="S31" s="2">
        <f>H31*1000000</f>
        <v/>
      </c>
      <c r="T31" s="2">
        <f>365*Q31*P31*R31</f>
        <v/>
      </c>
      <c r="U31" s="7">
        <f>S31/T31</f>
        <v/>
      </c>
      <c r="V31">
        <f>RANK(U31,$U$2:$U$70,0)</f>
        <v/>
      </c>
    </row>
    <row r="32">
      <c r="A32" t="inlineStr">
        <is>
          <t>zone_603</t>
        </is>
      </c>
      <c r="B32" t="inlineStr">
        <is>
          <t>แยกสาครเกษม - คลองมะเดื่อ</t>
        </is>
      </c>
      <c r="C32" t="inlineStr">
        <is>
          <t>สมุทรสาคร</t>
        </is>
      </c>
      <c r="D32" t="inlineStr">
        <is>
          <t>3651</t>
        </is>
      </c>
      <c r="E32" t="inlineStr">
        <is>
          <t>2.95–3.55</t>
        </is>
      </c>
      <c r="F32" t="inlineStr">
        <is>
          <t>ทางหลวง 3651 ตอนควบคุม 0100</t>
        </is>
      </c>
      <c r="G32" t="n">
        <v>61</v>
      </c>
      <c r="H32" t="n">
        <v>5</v>
      </c>
      <c r="I32" t="n">
        <v>0</v>
      </c>
      <c r="J32" t="n">
        <v>1</v>
      </c>
      <c r="K32" t="n">
        <v>0.2</v>
      </c>
      <c r="L32" t="inlineStr">
        <is>
          <t>low</t>
        </is>
      </c>
      <c r="M32" s="2" t="n">
        <v>35856</v>
      </c>
      <c r="N32" s="2" t="n">
        <v>37288</v>
      </c>
      <c r="O32" s="2" t="n">
        <v>37588</v>
      </c>
      <c r="P32" s="2">
        <f>AVERAGE(M32:O32)</f>
        <v/>
      </c>
      <c r="Q32" t="n">
        <v>3</v>
      </c>
      <c r="R32" t="n">
        <v>1</v>
      </c>
      <c r="S32" s="2">
        <f>H32*1000000</f>
        <v/>
      </c>
      <c r="T32" s="2">
        <f>365*Q32*P32*R32</f>
        <v/>
      </c>
      <c r="U32" s="7">
        <f>S32/T32</f>
        <v/>
      </c>
      <c r="V32">
        <f>RANK(U32,$U$2:$U$70,0)</f>
        <v/>
      </c>
    </row>
    <row r="33">
      <c r="A33" t="inlineStr">
        <is>
          <t>zone_604</t>
        </is>
      </c>
      <c r="B33" t="inlineStr">
        <is>
          <t>แยกสาครเกษม - คลองมะเดื่อ</t>
        </is>
      </c>
      <c r="C33" t="inlineStr">
        <is>
          <t>สมุทรสาคร</t>
        </is>
      </c>
      <c r="D33" t="inlineStr">
        <is>
          <t>3651</t>
        </is>
      </c>
      <c r="E33" t="inlineStr">
        <is>
          <t>3.25–3.45</t>
        </is>
      </c>
      <c r="F33" t="inlineStr">
        <is>
          <t>ทางหลวง 3651 ตอนควบคุม 0100</t>
        </is>
      </c>
      <c r="G33" t="n">
        <v>61</v>
      </c>
      <c r="H33" t="n">
        <v>3</v>
      </c>
      <c r="I33" t="n">
        <v>0</v>
      </c>
      <c r="J33" t="n">
        <v>5</v>
      </c>
      <c r="K33" t="n">
        <v>1.6667</v>
      </c>
      <c r="L33" t="inlineStr">
        <is>
          <t>medium</t>
        </is>
      </c>
      <c r="M33" s="2" t="n">
        <v>35856</v>
      </c>
      <c r="N33" s="2" t="n">
        <v>37288</v>
      </c>
      <c r="O33" s="2" t="n">
        <v>37588</v>
      </c>
      <c r="P33" s="2">
        <f>AVERAGE(M33:O33)</f>
        <v/>
      </c>
      <c r="Q33" t="n">
        <v>3</v>
      </c>
      <c r="R33" t="n">
        <v>1</v>
      </c>
      <c r="S33" s="2">
        <f>H33*1000000</f>
        <v/>
      </c>
      <c r="T33" s="2">
        <f>365*Q33*P33*R33</f>
        <v/>
      </c>
      <c r="U33" s="7">
        <f>S33/T33</f>
        <v/>
      </c>
      <c r="V33">
        <f>RANK(U33,$U$2:$U$70,0)</f>
        <v/>
      </c>
    </row>
    <row r="34">
      <c r="A34" t="inlineStr">
        <is>
          <t>zone_614</t>
        </is>
      </c>
      <c r="B34" t="inlineStr">
        <is>
          <t>แยกสาครเกษม - คลองมะเดื่อ</t>
        </is>
      </c>
      <c r="C34" t="inlineStr">
        <is>
          <t>สมุทรสาคร</t>
        </is>
      </c>
      <c r="D34" t="inlineStr">
        <is>
          <t>3651</t>
        </is>
      </c>
      <c r="E34" t="inlineStr">
        <is>
          <t>1.92–2.48</t>
        </is>
      </c>
      <c r="F34" t="inlineStr">
        <is>
          <t>ทางหลวง 3651 ตอนควบคุม 0100</t>
        </is>
      </c>
      <c r="G34" t="n">
        <v>61</v>
      </c>
      <c r="H34" t="n">
        <v>5</v>
      </c>
      <c r="I34" t="n">
        <v>2</v>
      </c>
      <c r="J34" t="n">
        <v>4</v>
      </c>
      <c r="K34" t="n">
        <v>1.2</v>
      </c>
      <c r="L34" t="inlineStr">
        <is>
          <t>medium</t>
        </is>
      </c>
      <c r="M34" s="2" t="n">
        <v>35856</v>
      </c>
      <c r="N34" s="2" t="n">
        <v>37288</v>
      </c>
      <c r="O34" s="2" t="n">
        <v>37588</v>
      </c>
      <c r="P34" s="2">
        <f>AVERAGE(M34:O34)</f>
        <v/>
      </c>
      <c r="Q34" t="n">
        <v>3</v>
      </c>
      <c r="R34" t="n">
        <v>1</v>
      </c>
      <c r="S34" s="2">
        <f>H34*1000000</f>
        <v/>
      </c>
      <c r="T34" s="2">
        <f>365*Q34*P34*R34</f>
        <v/>
      </c>
      <c r="U34" s="7">
        <f>S34/T34</f>
        <v/>
      </c>
      <c r="V34">
        <f>RANK(U34,$U$2:$U$70,0)</f>
        <v/>
      </c>
    </row>
    <row r="35">
      <c r="A35" t="inlineStr">
        <is>
          <t>zone_626</t>
        </is>
      </c>
      <c r="B35" t="inlineStr">
        <is>
          <t>แยกสาครเกษม - คลองมะเดื่อ</t>
        </is>
      </c>
      <c r="C35" t="inlineStr">
        <is>
          <t>สมุทรสาคร</t>
        </is>
      </c>
      <c r="D35" t="inlineStr">
        <is>
          <t>3651</t>
        </is>
      </c>
      <c r="E35" t="inlineStr">
        <is>
          <t>4.2–4.33</t>
        </is>
      </c>
      <c r="F35" t="inlineStr">
        <is>
          <t>ทางหลวง 3651 ตอนควบคุม 0100</t>
        </is>
      </c>
      <c r="G35" t="n">
        <v>61</v>
      </c>
      <c r="H35" t="n">
        <v>3</v>
      </c>
      <c r="I35" t="n">
        <v>5</v>
      </c>
      <c r="J35" t="n">
        <v>5</v>
      </c>
      <c r="K35" t="n">
        <v>2.3333</v>
      </c>
      <c r="L35" t="inlineStr">
        <is>
          <t>high</t>
        </is>
      </c>
      <c r="M35" s="2" t="n">
        <v>35856</v>
      </c>
      <c r="N35" s="2" t="n">
        <v>37288</v>
      </c>
      <c r="O35" s="2" t="n">
        <v>37588</v>
      </c>
      <c r="P35" s="2">
        <f>AVERAGE(M35:O35)</f>
        <v/>
      </c>
      <c r="Q35" t="n">
        <v>3</v>
      </c>
      <c r="R35" t="n">
        <v>1</v>
      </c>
      <c r="S35" s="2">
        <f>H35*1000000</f>
        <v/>
      </c>
      <c r="T35" s="2">
        <f>365*Q35*P35*R35</f>
        <v/>
      </c>
      <c r="U35" s="7">
        <f>S35/T35</f>
        <v/>
      </c>
      <c r="V35">
        <f>RANK(U35,$U$2:$U$70,0)</f>
        <v/>
      </c>
    </row>
    <row r="36">
      <c r="A36" t="inlineStr">
        <is>
          <t>zone_129</t>
        </is>
      </c>
      <c r="B36" t="inlineStr">
        <is>
          <t>พระประแดง - บางแค</t>
        </is>
      </c>
      <c r="C36" t="inlineStr">
        <is>
          <t>กรุงเทพมหานคร</t>
        </is>
      </c>
      <c r="D36" t="inlineStr">
        <is>
          <t>3901</t>
        </is>
      </c>
      <c r="E36" t="inlineStr">
        <is>
          <t>13.865–15.49</t>
        </is>
      </c>
      <c r="F36" t="inlineStr">
        <is>
          <t>ทางหลวง 3901 ตอนควบคุม 0101</t>
        </is>
      </c>
      <c r="G36" t="n">
        <v>131</v>
      </c>
      <c r="H36" t="n">
        <v>4</v>
      </c>
      <c r="I36" t="n">
        <v>0</v>
      </c>
      <c r="J36" t="n">
        <v>2</v>
      </c>
      <c r="K36" t="n">
        <v>0.5</v>
      </c>
      <c r="L36" t="inlineStr">
        <is>
          <t>low</t>
        </is>
      </c>
      <c r="M36" s="2" t="n">
        <v>33842</v>
      </c>
      <c r="N36" s="2" t="n">
        <v>35924</v>
      </c>
      <c r="O36" s="2" t="n">
        <v>41328</v>
      </c>
      <c r="P36" s="2">
        <f>AVERAGE(M36:O36)</f>
        <v/>
      </c>
      <c r="Q36" t="n">
        <v>3</v>
      </c>
      <c r="R36" t="n">
        <v>1</v>
      </c>
      <c r="S36" s="2">
        <f>H36*1000000</f>
        <v/>
      </c>
      <c r="T36" s="2">
        <f>365*Q36*P36*R36</f>
        <v/>
      </c>
      <c r="U36" s="7">
        <f>S36/T36</f>
        <v/>
      </c>
      <c r="V36">
        <f>RANK(U36,$U$2:$U$70,0)</f>
        <v/>
      </c>
    </row>
    <row r="37">
      <c r="A37" t="inlineStr">
        <is>
          <t>zone_283</t>
        </is>
      </c>
      <c r="B37" t="inlineStr">
        <is>
          <t>พระประแดง - บางแค</t>
        </is>
      </c>
      <c r="C37" t="inlineStr">
        <is>
          <t>กรุงเทพมหานคร</t>
        </is>
      </c>
      <c r="D37" t="inlineStr">
        <is>
          <t>3901</t>
        </is>
      </c>
      <c r="E37" t="inlineStr">
        <is>
          <t>16.93–17</t>
        </is>
      </c>
      <c r="F37" t="inlineStr">
        <is>
          <t>ทางหลวง 3901 ตอนควบคุม 0101</t>
        </is>
      </c>
      <c r="G37" t="n">
        <v>131</v>
      </c>
      <c r="H37" t="n">
        <v>3</v>
      </c>
      <c r="I37" t="n">
        <v>0</v>
      </c>
      <c r="J37" t="n">
        <v>4</v>
      </c>
      <c r="K37" t="n">
        <v>1.3333</v>
      </c>
      <c r="L37" t="inlineStr">
        <is>
          <t>medium</t>
        </is>
      </c>
      <c r="M37" s="2" t="n">
        <v>33842</v>
      </c>
      <c r="N37" s="2" t="n">
        <v>35924</v>
      </c>
      <c r="O37" s="2" t="n">
        <v>41328</v>
      </c>
      <c r="P37" s="2">
        <f>AVERAGE(M37:O37)</f>
        <v/>
      </c>
      <c r="Q37" t="n">
        <v>3</v>
      </c>
      <c r="R37" t="n">
        <v>1</v>
      </c>
      <c r="S37" s="2">
        <f>H37*1000000</f>
        <v/>
      </c>
      <c r="T37" s="2">
        <f>365*Q37*P37*R37</f>
        <v/>
      </c>
      <c r="U37" s="7">
        <f>S37/T37</f>
        <v/>
      </c>
      <c r="V37">
        <f>RANK(U37,$U$2:$U$70,0)</f>
        <v/>
      </c>
    </row>
    <row r="38">
      <c r="A38" t="inlineStr">
        <is>
          <t>zone_128</t>
        </is>
      </c>
      <c r="B38" t="inlineStr">
        <is>
          <t>พระประแดง - บางแค</t>
        </is>
      </c>
      <c r="C38" t="inlineStr">
        <is>
          <t>กรุงเทพมหานคร</t>
        </is>
      </c>
      <c r="D38" t="inlineStr">
        <is>
          <t>3902</t>
        </is>
      </c>
      <c r="E38" t="inlineStr">
        <is>
          <t>13.4–13.5</t>
        </is>
      </c>
      <c r="F38" t="inlineStr">
        <is>
          <t>ทางหลวง 3902 ตอนควบคุม 0101</t>
        </is>
      </c>
      <c r="G38" t="n">
        <v>130</v>
      </c>
      <c r="H38" t="n">
        <v>3</v>
      </c>
      <c r="I38" t="n">
        <v>0</v>
      </c>
      <c r="J38" t="n">
        <v>6</v>
      </c>
      <c r="K38" t="n">
        <v>2</v>
      </c>
      <c r="L38" t="inlineStr">
        <is>
          <t>high</t>
        </is>
      </c>
      <c r="M38" s="2" t="n">
        <v>27004</v>
      </c>
      <c r="N38" s="2" t="n">
        <v>33591</v>
      </c>
      <c r="O38" s="2" t="n">
        <v>38106</v>
      </c>
      <c r="P38" s="2">
        <f>AVERAGE(M38:O38)</f>
        <v/>
      </c>
      <c r="Q38" t="n">
        <v>3</v>
      </c>
      <c r="R38" t="n">
        <v>1</v>
      </c>
      <c r="S38" s="2">
        <f>H38*1000000</f>
        <v/>
      </c>
      <c r="T38" s="2">
        <f>365*Q38*P38*R38</f>
        <v/>
      </c>
      <c r="U38" s="7">
        <f>S38/T38</f>
        <v/>
      </c>
      <c r="V38">
        <f>RANK(U38,$U$2:$U$70,0)</f>
        <v/>
      </c>
    </row>
    <row r="39">
      <c r="A39" t="inlineStr">
        <is>
          <t>zone_161</t>
        </is>
      </c>
      <c r="B39" t="inlineStr">
        <is>
          <t>พระประแดง - บางแค</t>
        </is>
      </c>
      <c r="C39" t="inlineStr">
        <is>
          <t>กรุงเทพมหานคร</t>
        </is>
      </c>
      <c r="D39" t="inlineStr">
        <is>
          <t>3902</t>
        </is>
      </c>
      <c r="E39" t="inlineStr">
        <is>
          <t>9.1–9.9</t>
        </is>
      </c>
      <c r="F39" t="inlineStr">
        <is>
          <t>ทางหลวง 3902 ตอนควบคุม 0101</t>
        </is>
      </c>
      <c r="G39" t="n">
        <v>130</v>
      </c>
      <c r="H39" t="n">
        <v>9</v>
      </c>
      <c r="I39" t="n">
        <v>0</v>
      </c>
      <c r="J39" t="n">
        <v>14</v>
      </c>
      <c r="K39" t="n">
        <v>1.5556</v>
      </c>
      <c r="L39" t="inlineStr">
        <is>
          <t>medium</t>
        </is>
      </c>
      <c r="M39" s="2" t="n">
        <v>27004</v>
      </c>
      <c r="N39" s="2" t="n">
        <v>33591</v>
      </c>
      <c r="O39" s="2" t="n">
        <v>38106</v>
      </c>
      <c r="P39" s="2">
        <f>AVERAGE(M39:O39)</f>
        <v/>
      </c>
      <c r="Q39" t="n">
        <v>3</v>
      </c>
      <c r="R39" t="n">
        <v>1</v>
      </c>
      <c r="S39" s="2">
        <f>H39*1000000</f>
        <v/>
      </c>
      <c r="T39" s="2">
        <f>365*Q39*P39*R39</f>
        <v/>
      </c>
      <c r="U39" s="7">
        <f>S39/T39</f>
        <v/>
      </c>
      <c r="V39">
        <f>RANK(U39,$U$2:$U$70,0)</f>
        <v/>
      </c>
    </row>
    <row r="40">
      <c r="A40" t="inlineStr">
        <is>
          <t>zone_247</t>
        </is>
      </c>
      <c r="B40" t="inlineStr">
        <is>
          <t>พระประแดง - บางแค</t>
        </is>
      </c>
      <c r="C40" t="inlineStr">
        <is>
          <t>กรุงเทพมหานคร</t>
        </is>
      </c>
      <c r="D40" t="inlineStr">
        <is>
          <t>3902</t>
        </is>
      </c>
      <c r="E40" t="inlineStr">
        <is>
          <t>4.5–5.2</t>
        </is>
      </c>
      <c r="F40" t="inlineStr">
        <is>
          <t>ทางหลวง 3902 ตอนควบคุม 0101</t>
        </is>
      </c>
      <c r="G40" t="n">
        <v>130</v>
      </c>
      <c r="H40" t="n">
        <v>4</v>
      </c>
      <c r="I40" t="n">
        <v>1</v>
      </c>
      <c r="J40" t="n">
        <v>5</v>
      </c>
      <c r="K40" t="n">
        <v>1.5</v>
      </c>
      <c r="L40" t="inlineStr">
        <is>
          <t>medium</t>
        </is>
      </c>
      <c r="M40" s="2" t="n">
        <v>27004</v>
      </c>
      <c r="N40" s="2" t="n">
        <v>33591</v>
      </c>
      <c r="O40" s="2" t="n">
        <v>38106</v>
      </c>
      <c r="P40" s="2">
        <f>AVERAGE(M40:O40)</f>
        <v/>
      </c>
      <c r="Q40" t="n">
        <v>3</v>
      </c>
      <c r="R40" t="n">
        <v>1</v>
      </c>
      <c r="S40" s="2">
        <f>H40*1000000</f>
        <v/>
      </c>
      <c r="T40" s="2">
        <f>365*Q40*P40*R40</f>
        <v/>
      </c>
      <c r="U40" s="7">
        <f>S40/T40</f>
        <v/>
      </c>
      <c r="V40">
        <f>RANK(U40,$U$2:$U$70,0)</f>
        <v/>
      </c>
    </row>
    <row r="41">
      <c r="A41" t="inlineStr">
        <is>
          <t>zone_248</t>
        </is>
      </c>
      <c r="B41" t="inlineStr">
        <is>
          <t>พระประแดง - บางแค</t>
        </is>
      </c>
      <c r="C41" t="inlineStr">
        <is>
          <t>กรุงเทพมหานคร</t>
        </is>
      </c>
      <c r="D41" t="inlineStr">
        <is>
          <t>3902</t>
        </is>
      </c>
      <c r="E41" t="inlineStr">
        <is>
          <t>4.9–5.3</t>
        </is>
      </c>
      <c r="F41" t="inlineStr">
        <is>
          <t>ทางหลวง 3902 ตอนควบคุม 0101</t>
        </is>
      </c>
      <c r="G41" t="n">
        <v>130</v>
      </c>
      <c r="H41" t="n">
        <v>12</v>
      </c>
      <c r="I41" t="n">
        <v>0</v>
      </c>
      <c r="J41" t="n">
        <v>18</v>
      </c>
      <c r="K41" t="n">
        <v>1.5</v>
      </c>
      <c r="L41" t="inlineStr">
        <is>
          <t>medium</t>
        </is>
      </c>
      <c r="M41" s="2" t="n">
        <v>27004</v>
      </c>
      <c r="N41" s="2" t="n">
        <v>33591</v>
      </c>
      <c r="O41" s="2" t="n">
        <v>38106</v>
      </c>
      <c r="P41" s="2">
        <f>AVERAGE(M41:O41)</f>
        <v/>
      </c>
      <c r="Q41" t="n">
        <v>3</v>
      </c>
      <c r="R41" t="n">
        <v>1</v>
      </c>
      <c r="S41" s="2">
        <f>H41*1000000</f>
        <v/>
      </c>
      <c r="T41" s="2">
        <f>365*Q41*P41*R41</f>
        <v/>
      </c>
      <c r="U41" s="7">
        <f>S41/T41</f>
        <v/>
      </c>
      <c r="V41">
        <f>RANK(U41,$U$2:$U$70,0)</f>
        <v/>
      </c>
    </row>
    <row r="42">
      <c r="A42" t="inlineStr">
        <is>
          <t>zone_252</t>
        </is>
      </c>
      <c r="B42" t="inlineStr">
        <is>
          <t>พระประแดง - บางแค</t>
        </is>
      </c>
      <c r="C42" t="inlineStr">
        <is>
          <t>กรุงเทพมหานคร</t>
        </is>
      </c>
      <c r="D42" t="inlineStr">
        <is>
          <t>3902</t>
        </is>
      </c>
      <c r="E42" t="inlineStr">
        <is>
          <t>2.347–3.7</t>
        </is>
      </c>
      <c r="F42" t="inlineStr">
        <is>
          <t>ทางหลวง 3902 ตอนควบคุม 0101</t>
        </is>
      </c>
      <c r="G42" t="n">
        <v>130</v>
      </c>
      <c r="H42" t="n">
        <v>9</v>
      </c>
      <c r="I42" t="n">
        <v>0</v>
      </c>
      <c r="J42" t="n">
        <v>15</v>
      </c>
      <c r="K42" t="n">
        <v>1.6667</v>
      </c>
      <c r="L42" t="inlineStr">
        <is>
          <t>medium</t>
        </is>
      </c>
      <c r="M42" s="2" t="n">
        <v>27004</v>
      </c>
      <c r="N42" s="2" t="n">
        <v>33591</v>
      </c>
      <c r="O42" s="2" t="n">
        <v>38106</v>
      </c>
      <c r="P42" s="2">
        <f>AVERAGE(M42:O42)</f>
        <v/>
      </c>
      <c r="Q42" t="n">
        <v>3</v>
      </c>
      <c r="R42" t="n">
        <v>1</v>
      </c>
      <c r="S42" s="2">
        <f>H42*1000000</f>
        <v/>
      </c>
      <c r="T42" s="2">
        <f>365*Q42*P42*R42</f>
        <v/>
      </c>
      <c r="U42" s="7">
        <f>S42/T42</f>
        <v/>
      </c>
      <c r="V42">
        <f>RANK(U42,$U$2:$U$70,0)</f>
        <v/>
      </c>
    </row>
    <row r="43">
      <c r="A43" t="inlineStr">
        <is>
          <t>zone_288</t>
        </is>
      </c>
      <c r="B43" t="inlineStr">
        <is>
          <t>พระประแดง - บางแค</t>
        </is>
      </c>
      <c r="C43" t="inlineStr">
        <is>
          <t>กรุงเทพมหานคร</t>
        </is>
      </c>
      <c r="D43" t="inlineStr">
        <is>
          <t>3902</t>
        </is>
      </c>
      <c r="E43" t="inlineStr">
        <is>
          <t>3.57–3.71</t>
        </is>
      </c>
      <c r="F43" t="inlineStr">
        <is>
          <t>ทางหลวง 3902 ตอนควบคุม 0101</t>
        </is>
      </c>
      <c r="G43" t="n">
        <v>130</v>
      </c>
      <c r="H43" t="n">
        <v>4</v>
      </c>
      <c r="I43" t="n">
        <v>1</v>
      </c>
      <c r="J43" t="n">
        <v>6</v>
      </c>
      <c r="K43" t="n">
        <v>1.75</v>
      </c>
      <c r="L43" t="inlineStr">
        <is>
          <t>medium</t>
        </is>
      </c>
      <c r="M43" s="2" t="n">
        <v>27004</v>
      </c>
      <c r="N43" s="2" t="n">
        <v>33591</v>
      </c>
      <c r="O43" s="2" t="n">
        <v>38106</v>
      </c>
      <c r="P43" s="2">
        <f>AVERAGE(M43:O43)</f>
        <v/>
      </c>
      <c r="Q43" t="n">
        <v>3</v>
      </c>
      <c r="R43" t="n">
        <v>1</v>
      </c>
      <c r="S43" s="2">
        <f>H43*1000000</f>
        <v/>
      </c>
      <c r="T43" s="2">
        <f>365*Q43*P43*R43</f>
        <v/>
      </c>
      <c r="U43" s="7">
        <f>S43/T43</f>
        <v/>
      </c>
      <c r="V43">
        <f>RANK(U43,$U$2:$U$70,0)</f>
        <v/>
      </c>
    </row>
    <row r="44">
      <c r="A44" t="inlineStr">
        <is>
          <t>zone_289</t>
        </is>
      </c>
      <c r="B44" t="inlineStr">
        <is>
          <t>พระประแดง - บางแค</t>
        </is>
      </c>
      <c r="C44" t="inlineStr">
        <is>
          <t>กรุงเทพมหานคร</t>
        </is>
      </c>
      <c r="D44" t="inlineStr">
        <is>
          <t>3902</t>
        </is>
      </c>
      <c r="E44" t="inlineStr">
        <is>
          <t>3.2–4.678</t>
        </is>
      </c>
      <c r="F44" t="inlineStr">
        <is>
          <t>ทางหลวง 3902 ตอนควบคุม 0101</t>
        </is>
      </c>
      <c r="G44" t="n">
        <v>130</v>
      </c>
      <c r="H44" t="n">
        <v>34</v>
      </c>
      <c r="I44" t="n">
        <v>2</v>
      </c>
      <c r="J44" t="n">
        <v>50</v>
      </c>
      <c r="K44" t="n">
        <v>1.5294</v>
      </c>
      <c r="L44" t="inlineStr">
        <is>
          <t>medium</t>
        </is>
      </c>
      <c r="M44" s="2" t="n">
        <v>27004</v>
      </c>
      <c r="N44" s="2" t="n">
        <v>33591</v>
      </c>
      <c r="O44" s="2" t="n">
        <v>38106</v>
      </c>
      <c r="P44" s="2">
        <f>AVERAGE(M44:O44)</f>
        <v/>
      </c>
      <c r="Q44" t="n">
        <v>3</v>
      </c>
      <c r="R44" t="n">
        <v>1</v>
      </c>
      <c r="S44" s="2">
        <f>H44*1000000</f>
        <v/>
      </c>
      <c r="T44" s="2">
        <f>365*Q44*P44*R44</f>
        <v/>
      </c>
      <c r="U44" s="7">
        <f>S44/T44</f>
        <v/>
      </c>
      <c r="V44">
        <f>RANK(U44,$U$2:$U$70,0)</f>
        <v/>
      </c>
    </row>
    <row r="45">
      <c r="A45" t="inlineStr">
        <is>
          <t>zone_292</t>
        </is>
      </c>
      <c r="B45" t="inlineStr">
        <is>
          <t>พระประแดง - บางแค</t>
        </is>
      </c>
      <c r="C45" t="inlineStr">
        <is>
          <t>กรุงเทพมหานคร</t>
        </is>
      </c>
      <c r="D45" t="inlineStr">
        <is>
          <t>3902</t>
        </is>
      </c>
      <c r="E45" t="inlineStr">
        <is>
          <t>5.6–5.9</t>
        </is>
      </c>
      <c r="F45" t="inlineStr">
        <is>
          <t>ทางหลวง 3902 ตอนควบคุม 0101</t>
        </is>
      </c>
      <c r="G45" t="n">
        <v>130</v>
      </c>
      <c r="H45" t="n">
        <v>5</v>
      </c>
      <c r="I45" t="n">
        <v>1</v>
      </c>
      <c r="J45" t="n">
        <v>7</v>
      </c>
      <c r="K45" t="n">
        <v>1.6</v>
      </c>
      <c r="L45" t="inlineStr">
        <is>
          <t>medium</t>
        </is>
      </c>
      <c r="M45" s="2" t="n">
        <v>27004</v>
      </c>
      <c r="N45" s="2" t="n">
        <v>33591</v>
      </c>
      <c r="O45" s="2" t="n">
        <v>38106</v>
      </c>
      <c r="P45" s="2">
        <f>AVERAGE(M45:O45)</f>
        <v/>
      </c>
      <c r="Q45" t="n">
        <v>3</v>
      </c>
      <c r="R45" t="n">
        <v>1</v>
      </c>
      <c r="S45" s="2">
        <f>H45*1000000</f>
        <v/>
      </c>
      <c r="T45" s="2">
        <f>365*Q45*P45*R45</f>
        <v/>
      </c>
      <c r="U45" s="7">
        <f>S45/T45</f>
        <v/>
      </c>
      <c r="V45">
        <f>RANK(U45,$U$2:$U$70,0)</f>
        <v/>
      </c>
    </row>
    <row r="46">
      <c r="A46" t="inlineStr">
        <is>
          <t>zone_295</t>
        </is>
      </c>
      <c r="B46" t="inlineStr">
        <is>
          <t>พระประแดง - บางแค</t>
        </is>
      </c>
      <c r="C46" t="inlineStr">
        <is>
          <t>กรุงเทพมหานคร</t>
        </is>
      </c>
      <c r="D46" t="inlineStr">
        <is>
          <t>3902</t>
        </is>
      </c>
      <c r="E46" t="inlineStr">
        <is>
          <t>11.8–11.85</t>
        </is>
      </c>
      <c r="F46" t="inlineStr">
        <is>
          <t>ทางหลวง 3902 ตอนควบคุม 0101</t>
        </is>
      </c>
      <c r="G46" t="n">
        <v>130</v>
      </c>
      <c r="H46" t="n">
        <v>3</v>
      </c>
      <c r="I46" t="n">
        <v>0</v>
      </c>
      <c r="J46" t="n">
        <v>5</v>
      </c>
      <c r="K46" t="n">
        <v>1.6667</v>
      </c>
      <c r="L46" t="inlineStr">
        <is>
          <t>medium</t>
        </is>
      </c>
      <c r="M46" s="2" t="n">
        <v>27004</v>
      </c>
      <c r="N46" s="2" t="n">
        <v>33591</v>
      </c>
      <c r="O46" s="2" t="n">
        <v>38106</v>
      </c>
      <c r="P46" s="2">
        <f>AVERAGE(M46:O46)</f>
        <v/>
      </c>
      <c r="Q46" t="n">
        <v>3</v>
      </c>
      <c r="R46" t="n">
        <v>1</v>
      </c>
      <c r="S46" s="2">
        <f>H46*1000000</f>
        <v/>
      </c>
      <c r="T46" s="2">
        <f>365*Q46*P46*R46</f>
        <v/>
      </c>
      <c r="U46" s="7">
        <f>S46/T46</f>
        <v/>
      </c>
      <c r="V46">
        <f>RANK(U46,$U$2:$U$70,0)</f>
        <v/>
      </c>
    </row>
    <row r="47">
      <c r="A47" t="inlineStr">
        <is>
          <t>zone_296</t>
        </is>
      </c>
      <c r="B47" t="inlineStr">
        <is>
          <t>พระประแดง - บางแค</t>
        </is>
      </c>
      <c r="C47" t="inlineStr">
        <is>
          <t>กรุงเทพมหานคร</t>
        </is>
      </c>
      <c r="D47" t="inlineStr">
        <is>
          <t>3902</t>
        </is>
      </c>
      <c r="E47" t="inlineStr">
        <is>
          <t>10.3–10.7</t>
        </is>
      </c>
      <c r="F47" t="inlineStr">
        <is>
          <t>ทางหลวง 3902 ตอนควบคุม 0101</t>
        </is>
      </c>
      <c r="G47" t="n">
        <v>130</v>
      </c>
      <c r="H47" t="n">
        <v>6</v>
      </c>
      <c r="I47" t="n">
        <v>0</v>
      </c>
      <c r="J47" t="n">
        <v>10</v>
      </c>
      <c r="K47" t="n">
        <v>1.6667</v>
      </c>
      <c r="L47" t="inlineStr">
        <is>
          <t>medium</t>
        </is>
      </c>
      <c r="M47" s="2" t="n">
        <v>27004</v>
      </c>
      <c r="N47" s="2" t="n">
        <v>33591</v>
      </c>
      <c r="O47" s="2" t="n">
        <v>38106</v>
      </c>
      <c r="P47" s="2">
        <f>AVERAGE(M47:O47)</f>
        <v/>
      </c>
      <c r="Q47" t="n">
        <v>3</v>
      </c>
      <c r="R47" t="n">
        <v>1</v>
      </c>
      <c r="S47" s="2">
        <f>H47*1000000</f>
        <v/>
      </c>
      <c r="T47" s="2">
        <f>365*Q47*P47*R47</f>
        <v/>
      </c>
      <c r="U47" s="7">
        <f>S47/T47</f>
        <v/>
      </c>
      <c r="V47">
        <f>RANK(U47,$U$2:$U$70,0)</f>
        <v/>
      </c>
    </row>
    <row r="48">
      <c r="A48" t="inlineStr">
        <is>
          <t>zone_297</t>
        </is>
      </c>
      <c r="B48" t="inlineStr">
        <is>
          <t>พระประแดง - บางแค</t>
        </is>
      </c>
      <c r="C48" t="inlineStr">
        <is>
          <t>กรุงเทพมหานคร</t>
        </is>
      </c>
      <c r="D48" t="inlineStr">
        <is>
          <t>3902</t>
        </is>
      </c>
      <c r="E48" t="inlineStr">
        <is>
          <t>10.7–11</t>
        </is>
      </c>
      <c r="F48" t="inlineStr">
        <is>
          <t>ทางหลวง 3902 ตอนควบคุม 0101</t>
        </is>
      </c>
      <c r="G48" t="n">
        <v>130</v>
      </c>
      <c r="H48" t="n">
        <v>5</v>
      </c>
      <c r="I48" t="n">
        <v>0</v>
      </c>
      <c r="J48" t="n">
        <v>3</v>
      </c>
      <c r="K48" t="n">
        <v>0.6</v>
      </c>
      <c r="L48" t="inlineStr">
        <is>
          <t>low</t>
        </is>
      </c>
      <c r="M48" s="2" t="n">
        <v>27004</v>
      </c>
      <c r="N48" s="2" t="n">
        <v>33591</v>
      </c>
      <c r="O48" s="2" t="n">
        <v>38106</v>
      </c>
      <c r="P48" s="2">
        <f>AVERAGE(M48:O48)</f>
        <v/>
      </c>
      <c r="Q48" t="n">
        <v>3</v>
      </c>
      <c r="R48" t="n">
        <v>1</v>
      </c>
      <c r="S48" s="2">
        <f>H48*1000000</f>
        <v/>
      </c>
      <c r="T48" s="2">
        <f>365*Q48*P48*R48</f>
        <v/>
      </c>
      <c r="U48" s="7">
        <f>S48/T48</f>
        <v/>
      </c>
      <c r="V48">
        <f>RANK(U48,$U$2:$U$70,0)</f>
        <v/>
      </c>
    </row>
    <row r="49">
      <c r="A49" t="inlineStr">
        <is>
          <t>zone_558</t>
        </is>
      </c>
      <c r="B49" t="inlineStr">
        <is>
          <t>พระประแดง - บางแค</t>
        </is>
      </c>
      <c r="C49" t="inlineStr">
        <is>
          <t>สมุทรปราการ</t>
        </is>
      </c>
      <c r="D49" t="inlineStr">
        <is>
          <t>3902</t>
        </is>
      </c>
      <c r="E49" t="inlineStr">
        <is>
          <t>1.995–2.1</t>
        </is>
      </c>
      <c r="F49" t="inlineStr">
        <is>
          <t>ทางหลวง 3902 ตอนควบคุม 0101</t>
        </is>
      </c>
      <c r="G49" t="n">
        <v>130</v>
      </c>
      <c r="H49" t="n">
        <v>3</v>
      </c>
      <c r="I49" t="n">
        <v>0</v>
      </c>
      <c r="J49" t="n">
        <v>4</v>
      </c>
      <c r="K49" t="n">
        <v>1.3333</v>
      </c>
      <c r="L49" t="inlineStr">
        <is>
          <t>medium</t>
        </is>
      </c>
      <c r="M49" s="2" t="n">
        <v>27004</v>
      </c>
      <c r="N49" s="2" t="n">
        <v>33591</v>
      </c>
      <c r="O49" s="2" t="n">
        <v>38106</v>
      </c>
      <c r="P49" s="2">
        <f>AVERAGE(M49:O49)</f>
        <v/>
      </c>
      <c r="Q49" t="n">
        <v>3</v>
      </c>
      <c r="R49" t="n">
        <v>1</v>
      </c>
      <c r="S49" s="2">
        <f>H49*1000000</f>
        <v/>
      </c>
      <c r="T49" s="2">
        <f>365*Q49*P49*R49</f>
        <v/>
      </c>
      <c r="U49" s="7">
        <f>S49/T49</f>
        <v/>
      </c>
      <c r="V49">
        <f>RANK(U49,$U$2:$U$70,0)</f>
        <v/>
      </c>
    </row>
    <row r="50">
      <c r="A50" t="inlineStr">
        <is>
          <t>zone_423</t>
        </is>
      </c>
      <c r="B50" t="inlineStr">
        <is>
          <t>คลองบางหลวง - ต่างระดับเชียงรากน้อย</t>
        </is>
      </c>
      <c r="C50" t="inlineStr">
        <is>
          <t>ปทุมธานี</t>
        </is>
      </c>
      <c r="D50" t="inlineStr">
        <is>
          <t>3902</t>
        </is>
      </c>
      <c r="E50" t="inlineStr">
        <is>
          <t>66.637–68.9</t>
        </is>
      </c>
      <c r="F50" t="inlineStr">
        <is>
          <t>ทางหลวง 3902 ตอนควบคุม 0300</t>
        </is>
      </c>
      <c r="G50" t="n">
        <v>80</v>
      </c>
      <c r="H50" t="n">
        <v>3</v>
      </c>
      <c r="I50" t="n">
        <v>0</v>
      </c>
      <c r="J50" t="n">
        <v>2</v>
      </c>
      <c r="K50" t="n">
        <v>0.6667</v>
      </c>
      <c r="L50" t="inlineStr">
        <is>
          <t>low</t>
        </is>
      </c>
      <c r="M50" s="2" t="n">
        <v>136361</v>
      </c>
      <c r="N50" s="2" t="n">
        <v>143360</v>
      </c>
      <c r="O50" s="2" t="n">
        <v>139052</v>
      </c>
      <c r="P50" s="2">
        <f>AVERAGE(M50:O50)</f>
        <v/>
      </c>
      <c r="Q50" t="n">
        <v>3</v>
      </c>
      <c r="R50" t="n">
        <v>1</v>
      </c>
      <c r="S50" s="2">
        <f>H50*1000000</f>
        <v/>
      </c>
      <c r="T50" s="2">
        <f>365*Q50*P50*R50</f>
        <v/>
      </c>
      <c r="U50" s="7">
        <f>S50/T50</f>
        <v/>
      </c>
      <c r="V50">
        <f>RANK(U50,$U$2:$U$70,0)</f>
        <v/>
      </c>
    </row>
    <row r="51">
      <c r="A51" t="inlineStr">
        <is>
          <t>zone_432</t>
        </is>
      </c>
      <c r="B51" t="inlineStr">
        <is>
          <t>คลองบางหลวง - ต่างระดับเชียงรากน้อย</t>
        </is>
      </c>
      <c r="C51" t="inlineStr">
        <is>
          <t>ปทุมธานี</t>
        </is>
      </c>
      <c r="D51" t="inlineStr">
        <is>
          <t>3902</t>
        </is>
      </c>
      <c r="E51" t="inlineStr">
        <is>
          <t>62.718–63.61</t>
        </is>
      </c>
      <c r="F51" t="inlineStr">
        <is>
          <t>ทางหลวง 3902 ตอนควบคุม 0300</t>
        </is>
      </c>
      <c r="G51" t="n">
        <v>80</v>
      </c>
      <c r="H51" t="n">
        <v>7</v>
      </c>
      <c r="I51" t="n">
        <v>0</v>
      </c>
      <c r="J51" t="n">
        <v>6</v>
      </c>
      <c r="K51" t="n">
        <v>0.8571</v>
      </c>
      <c r="L51" t="inlineStr">
        <is>
          <t>low</t>
        </is>
      </c>
      <c r="M51" s="2" t="n">
        <v>136361</v>
      </c>
      <c r="N51" s="2" t="n">
        <v>143360</v>
      </c>
      <c r="O51" s="2" t="n">
        <v>139052</v>
      </c>
      <c r="P51" s="2">
        <f>AVERAGE(M51:O51)</f>
        <v/>
      </c>
      <c r="Q51" t="n">
        <v>3</v>
      </c>
      <c r="R51" t="n">
        <v>1</v>
      </c>
      <c r="S51" s="2">
        <f>H51*1000000</f>
        <v/>
      </c>
      <c r="T51" s="2">
        <f>365*Q51*P51*R51</f>
        <v/>
      </c>
      <c r="U51" s="7">
        <f>S51/T51</f>
        <v/>
      </c>
      <c r="V51">
        <f>RANK(U51,$U$2:$U$70,0)</f>
        <v/>
      </c>
    </row>
    <row r="52">
      <c r="A52" t="inlineStr">
        <is>
          <t>zone_433</t>
        </is>
      </c>
      <c r="B52" t="inlineStr">
        <is>
          <t>คลองบางหลวง - ต่างระดับเชียงรากน้อย</t>
        </is>
      </c>
      <c r="C52" t="inlineStr">
        <is>
          <t>ปทุมธานี</t>
        </is>
      </c>
      <c r="D52" t="inlineStr">
        <is>
          <t>3902</t>
        </is>
      </c>
      <c r="E52" t="inlineStr">
        <is>
          <t>62.341–62.4</t>
        </is>
      </c>
      <c r="F52" t="inlineStr">
        <is>
          <t>ทางหลวง 3902 ตอนควบคุม 0300</t>
        </is>
      </c>
      <c r="G52" t="n">
        <v>80</v>
      </c>
      <c r="H52" t="n">
        <v>3</v>
      </c>
      <c r="I52" t="n">
        <v>0</v>
      </c>
      <c r="J52" t="n">
        <v>6</v>
      </c>
      <c r="K52" t="n">
        <v>2</v>
      </c>
      <c r="L52" t="inlineStr">
        <is>
          <t>high</t>
        </is>
      </c>
      <c r="M52" s="2" t="n">
        <v>136361</v>
      </c>
      <c r="N52" s="2" t="n">
        <v>143360</v>
      </c>
      <c r="O52" s="2" t="n">
        <v>139052</v>
      </c>
      <c r="P52" s="2">
        <f>AVERAGE(M52:O52)</f>
        <v/>
      </c>
      <c r="Q52" t="n">
        <v>3</v>
      </c>
      <c r="R52" t="n">
        <v>1</v>
      </c>
      <c r="S52" s="2">
        <f>H52*1000000</f>
        <v/>
      </c>
      <c r="T52" s="2">
        <f>365*Q52*P52*R52</f>
        <v/>
      </c>
      <c r="U52" s="7">
        <f>S52/T52</f>
        <v/>
      </c>
      <c r="V52">
        <f>RANK(U52,$U$2:$U$70,0)</f>
        <v/>
      </c>
    </row>
    <row r="53">
      <c r="A53" t="inlineStr">
        <is>
          <t>zone_102</t>
        </is>
      </c>
      <c r="B53" t="inlineStr">
        <is>
          <t>ถนนศรีนครินทร - แขวงคลองสองต้นนุ่น</t>
        </is>
      </c>
      <c r="C53" t="inlineStr">
        <is>
          <t>กรุงเทพมหานคร</t>
        </is>
      </c>
      <c r="D53" t="inlineStr">
        <is>
          <t>7</t>
        </is>
      </c>
      <c r="E53" t="inlineStr">
        <is>
          <t>4.1–4.5</t>
        </is>
      </c>
      <c r="F53" t="inlineStr">
        <is>
          <t>ทางหลวง 7 ตอนควบคุม 0101</t>
        </is>
      </c>
      <c r="G53" t="n">
        <v>345</v>
      </c>
      <c r="H53" t="n">
        <v>8</v>
      </c>
      <c r="I53" t="n">
        <v>0</v>
      </c>
      <c r="J53" t="n">
        <v>1</v>
      </c>
      <c r="K53" t="n">
        <v>0.125</v>
      </c>
      <c r="L53" t="inlineStr">
        <is>
          <t>low</t>
        </is>
      </c>
      <c r="M53" s="2" t="n">
        <v>220901</v>
      </c>
      <c r="N53" s="2" t="n">
        <v>242192</v>
      </c>
      <c r="O53" s="2" t="n">
        <v>262343</v>
      </c>
      <c r="P53" s="2">
        <f>AVERAGE(M53:O53)</f>
        <v/>
      </c>
      <c r="Q53" t="n">
        <v>3</v>
      </c>
      <c r="R53" t="n">
        <v>1</v>
      </c>
      <c r="S53" s="2">
        <f>H53*1000000</f>
        <v/>
      </c>
      <c r="T53" s="2">
        <f>365*Q53*P53*R53</f>
        <v/>
      </c>
      <c r="U53" s="7">
        <f>S53/T53</f>
        <v/>
      </c>
      <c r="V53">
        <f>RANK(U53,$U$2:$U$70,0)</f>
        <v/>
      </c>
    </row>
    <row r="54">
      <c r="A54" t="inlineStr">
        <is>
          <t>zone_103</t>
        </is>
      </c>
      <c r="B54" t="inlineStr">
        <is>
          <t>ถนนศรีนครินทร - แขวงคลองสองต้นนุ่น</t>
        </is>
      </c>
      <c r="C54" t="inlineStr">
        <is>
          <t>กรุงเทพมหานคร</t>
        </is>
      </c>
      <c r="D54" t="inlineStr">
        <is>
          <t>7</t>
        </is>
      </c>
      <c r="E54" t="inlineStr">
        <is>
          <t>5–6.5</t>
        </is>
      </c>
      <c r="F54" t="inlineStr">
        <is>
          <t>ทางหลวง 7 ตอนควบคุม 0101</t>
        </is>
      </c>
      <c r="G54" t="n">
        <v>345</v>
      </c>
      <c r="H54" t="n">
        <v>21</v>
      </c>
      <c r="I54" t="n">
        <v>0</v>
      </c>
      <c r="J54" t="n">
        <v>6</v>
      </c>
      <c r="K54" t="n">
        <v>0.2857</v>
      </c>
      <c r="L54" t="inlineStr">
        <is>
          <t>low</t>
        </is>
      </c>
      <c r="M54" s="2" t="n">
        <v>220901</v>
      </c>
      <c r="N54" s="2" t="n">
        <v>242192</v>
      </c>
      <c r="O54" s="2" t="n">
        <v>262343</v>
      </c>
      <c r="P54" s="2">
        <f>AVERAGE(M54:O54)</f>
        <v/>
      </c>
      <c r="Q54" t="n">
        <v>3</v>
      </c>
      <c r="R54" t="n">
        <v>1</v>
      </c>
      <c r="S54" s="2">
        <f>H54*1000000</f>
        <v/>
      </c>
      <c r="T54" s="2">
        <f>365*Q54*P54*R54</f>
        <v/>
      </c>
      <c r="U54" s="7">
        <f>S54/T54</f>
        <v/>
      </c>
      <c r="V54">
        <f>RANK(U54,$U$2:$U$70,0)</f>
        <v/>
      </c>
    </row>
    <row r="55">
      <c r="A55" t="inlineStr">
        <is>
          <t>zone_107</t>
        </is>
      </c>
      <c r="B55" t="inlineStr">
        <is>
          <t>ถนนศรีนครินทร - แขวงคลองสองต้นนุ่น</t>
        </is>
      </c>
      <c r="C55" t="inlineStr">
        <is>
          <t>กรุงเทพมหานคร</t>
        </is>
      </c>
      <c r="D55" t="inlineStr">
        <is>
          <t>7</t>
        </is>
      </c>
      <c r="E55" t="inlineStr">
        <is>
          <t>3.7–3.7</t>
        </is>
      </c>
      <c r="F55" t="inlineStr">
        <is>
          <t>ทางหลวง 7 ตอนควบคุม 0101</t>
        </is>
      </c>
      <c r="G55" t="n">
        <v>345</v>
      </c>
      <c r="H55" t="n">
        <v>3</v>
      </c>
      <c r="I55" t="n">
        <v>0</v>
      </c>
      <c r="J55" t="n">
        <v>2</v>
      </c>
      <c r="K55" t="n">
        <v>0.6667</v>
      </c>
      <c r="L55" t="inlineStr">
        <is>
          <t>low</t>
        </is>
      </c>
      <c r="M55" s="2" t="n">
        <v>220901</v>
      </c>
      <c r="N55" s="2" t="n">
        <v>242192</v>
      </c>
      <c r="O55" s="2" t="n">
        <v>262343</v>
      </c>
      <c r="P55" s="2">
        <f>AVERAGE(M55:O55)</f>
        <v/>
      </c>
      <c r="Q55" t="n">
        <v>3</v>
      </c>
      <c r="R55" t="n">
        <v>1</v>
      </c>
      <c r="S55" s="2">
        <f>H55*1000000</f>
        <v/>
      </c>
      <c r="T55" s="2">
        <f>365*Q55*P55*R55</f>
        <v/>
      </c>
      <c r="U55" s="7">
        <f>S55/T55</f>
        <v/>
      </c>
      <c r="V55">
        <f>RANK(U55,$U$2:$U$70,0)</f>
        <v/>
      </c>
    </row>
    <row r="56">
      <c r="A56" t="inlineStr">
        <is>
          <t>zone_113</t>
        </is>
      </c>
      <c r="B56" t="inlineStr">
        <is>
          <t>ถนนศรีนครินทร - แขวงคลองสองต้นนุ่น</t>
        </is>
      </c>
      <c r="C56" t="inlineStr">
        <is>
          <t>กรุงเทพมหานคร</t>
        </is>
      </c>
      <c r="D56" t="inlineStr">
        <is>
          <t>7</t>
        </is>
      </c>
      <c r="E56" t="inlineStr">
        <is>
          <t>1.5–1.6</t>
        </is>
      </c>
      <c r="F56" t="inlineStr">
        <is>
          <t>ทางหลวง 7 ตอนควบคุม 0101</t>
        </is>
      </c>
      <c r="G56" t="n">
        <v>345</v>
      </c>
      <c r="H56" t="n">
        <v>3</v>
      </c>
      <c r="I56" t="n">
        <v>0</v>
      </c>
      <c r="J56" t="n">
        <v>1</v>
      </c>
      <c r="K56" t="n">
        <v>0.3333</v>
      </c>
      <c r="L56" t="inlineStr">
        <is>
          <t>low</t>
        </is>
      </c>
      <c r="M56" s="2" t="n">
        <v>220901</v>
      </c>
      <c r="N56" s="2" t="n">
        <v>242192</v>
      </c>
      <c r="O56" s="2" t="n">
        <v>262343</v>
      </c>
      <c r="P56" s="2">
        <f>AVERAGE(M56:O56)</f>
        <v/>
      </c>
      <c r="Q56" t="n">
        <v>3</v>
      </c>
      <c r="R56" t="n">
        <v>1</v>
      </c>
      <c r="S56" s="2">
        <f>H56*1000000</f>
        <v/>
      </c>
      <c r="T56" s="2">
        <f>365*Q56*P56*R56</f>
        <v/>
      </c>
      <c r="U56" s="7">
        <f>S56/T56</f>
        <v/>
      </c>
      <c r="V56">
        <f>RANK(U56,$U$2:$U$70,0)</f>
        <v/>
      </c>
    </row>
    <row r="57">
      <c r="A57" t="inlineStr">
        <is>
          <t>zone_69</t>
        </is>
      </c>
      <c r="B57" t="inlineStr">
        <is>
          <t>ถนนศรีนครินทร - แขวงคลองสองต้นนุ่น</t>
        </is>
      </c>
      <c r="C57" t="inlineStr">
        <is>
          <t>กรุงเทพมหานคร</t>
        </is>
      </c>
      <c r="D57" t="inlineStr">
        <is>
          <t>7</t>
        </is>
      </c>
      <c r="E57" t="inlineStr">
        <is>
          <t>0.1–3.7</t>
        </is>
      </c>
      <c r="F57" t="inlineStr">
        <is>
          <t>ทางหลวง 7 ตอนควบคุม 0101</t>
        </is>
      </c>
      <c r="G57" t="n">
        <v>345</v>
      </c>
      <c r="H57" t="n">
        <v>140</v>
      </c>
      <c r="I57" t="n">
        <v>3</v>
      </c>
      <c r="J57" t="n">
        <v>71</v>
      </c>
      <c r="K57" t="n">
        <v>0.5286</v>
      </c>
      <c r="L57" t="inlineStr">
        <is>
          <t>low</t>
        </is>
      </c>
      <c r="M57" s="2" t="n">
        <v>220901</v>
      </c>
      <c r="N57" s="2" t="n">
        <v>242192</v>
      </c>
      <c r="O57" s="2" t="n">
        <v>262343</v>
      </c>
      <c r="P57" s="2">
        <f>AVERAGE(M57:O57)</f>
        <v/>
      </c>
      <c r="Q57" t="n">
        <v>3</v>
      </c>
      <c r="R57" t="n">
        <v>1</v>
      </c>
      <c r="S57" s="2">
        <f>H57*1000000</f>
        <v/>
      </c>
      <c r="T57" s="2">
        <f>365*Q57*P57*R57</f>
        <v/>
      </c>
      <c r="U57" s="7">
        <f>S57/T57</f>
        <v/>
      </c>
      <c r="V57">
        <f>RANK(U57,$U$2:$U$70,0)</f>
        <v/>
      </c>
    </row>
    <row r="58">
      <c r="A58" t="inlineStr">
        <is>
          <t>zone_70</t>
        </is>
      </c>
      <c r="B58" t="inlineStr">
        <is>
          <t>ถนนศรีนครินทร - แขวงคลองสองต้นนุ่น</t>
        </is>
      </c>
      <c r="C58" t="inlineStr">
        <is>
          <t>กรุงเทพมหานคร</t>
        </is>
      </c>
      <c r="D58" t="inlineStr">
        <is>
          <t>7</t>
        </is>
      </c>
      <c r="E58" t="inlineStr">
        <is>
          <t>5.3–8</t>
        </is>
      </c>
      <c r="F58" t="inlineStr">
        <is>
          <t>ทางหลวง 7 ตอนควบคุม 0101</t>
        </is>
      </c>
      <c r="G58" t="n">
        <v>345</v>
      </c>
      <c r="H58" t="n">
        <v>148</v>
      </c>
      <c r="I58" t="n">
        <v>1</v>
      </c>
      <c r="J58" t="n">
        <v>58</v>
      </c>
      <c r="K58" t="n">
        <v>0.3986</v>
      </c>
      <c r="L58" t="inlineStr">
        <is>
          <t>low</t>
        </is>
      </c>
      <c r="M58" s="2" t="n">
        <v>220901</v>
      </c>
      <c r="N58" s="2" t="n">
        <v>242192</v>
      </c>
      <c r="O58" s="2" t="n">
        <v>262343</v>
      </c>
      <c r="P58" s="2">
        <f>AVERAGE(M58:O58)</f>
        <v/>
      </c>
      <c r="Q58" t="n">
        <v>3</v>
      </c>
      <c r="R58" t="n">
        <v>1</v>
      </c>
      <c r="S58" s="2">
        <f>H58*1000000</f>
        <v/>
      </c>
      <c r="T58" s="2">
        <f>365*Q58*P58*R58</f>
        <v/>
      </c>
      <c r="U58" s="7">
        <f>S58/T58</f>
        <v/>
      </c>
      <c r="V58">
        <f>RANK(U58,$U$2:$U$70,0)</f>
        <v/>
      </c>
    </row>
    <row r="59">
      <c r="A59" t="inlineStr">
        <is>
          <t>zone_71</t>
        </is>
      </c>
      <c r="B59" t="inlineStr">
        <is>
          <t>ถนนศรีนครินทร - แขวงคลองสองต้นนุ่น</t>
        </is>
      </c>
      <c r="C59" t="inlineStr">
        <is>
          <t>กรุงเทพมหานคร</t>
        </is>
      </c>
      <c r="D59" t="inlineStr">
        <is>
          <t>7</t>
        </is>
      </c>
      <c r="E59" t="inlineStr">
        <is>
          <t>3.9–5</t>
        </is>
      </c>
      <c r="F59" t="inlineStr">
        <is>
          <t>ทางหลวง 7 ตอนควบคุม 0101</t>
        </is>
      </c>
      <c r="G59" t="n">
        <v>345</v>
      </c>
      <c r="H59" t="n">
        <v>21</v>
      </c>
      <c r="I59" t="n">
        <v>0</v>
      </c>
      <c r="J59" t="n">
        <v>3</v>
      </c>
      <c r="K59" t="n">
        <v>0.1429</v>
      </c>
      <c r="L59" t="inlineStr">
        <is>
          <t>low</t>
        </is>
      </c>
      <c r="M59" s="2" t="n">
        <v>220901</v>
      </c>
      <c r="N59" s="2" t="n">
        <v>242192</v>
      </c>
      <c r="O59" s="2" t="n">
        <v>262343</v>
      </c>
      <c r="P59" s="2">
        <f>AVERAGE(M59:O59)</f>
        <v/>
      </c>
      <c r="Q59" t="n">
        <v>3</v>
      </c>
      <c r="R59" t="n">
        <v>1</v>
      </c>
      <c r="S59" s="2">
        <f>H59*1000000</f>
        <v/>
      </c>
      <c r="T59" s="2">
        <f>365*Q59*P59*R59</f>
        <v/>
      </c>
      <c r="U59" s="7">
        <f>S59/T59</f>
        <v/>
      </c>
      <c r="V59">
        <f>RANK(U59,$U$2:$U$70,0)</f>
        <v/>
      </c>
    </row>
    <row r="60">
      <c r="A60" t="inlineStr">
        <is>
          <t>zone_87</t>
        </is>
      </c>
      <c r="B60" t="inlineStr">
        <is>
          <t>ถนนศรีนครินทร - แขวงคลองสองต้นนุ่น</t>
        </is>
      </c>
      <c r="C60" t="inlineStr">
        <is>
          <t>กรุงเทพมหานคร</t>
        </is>
      </c>
      <c r="D60" t="inlineStr">
        <is>
          <t>7</t>
        </is>
      </c>
      <c r="E60" t="inlineStr">
        <is>
          <t>0.1–1.2</t>
        </is>
      </c>
      <c r="F60" t="inlineStr">
        <is>
          <t>ทางหลวง 7 ตอนควบคุม 0101</t>
        </is>
      </c>
      <c r="G60" t="n">
        <v>345</v>
      </c>
      <c r="H60" t="n">
        <v>39</v>
      </c>
      <c r="I60" t="n">
        <v>1</v>
      </c>
      <c r="J60" t="n">
        <v>14</v>
      </c>
      <c r="K60" t="n">
        <v>0.3846</v>
      </c>
      <c r="L60" t="inlineStr">
        <is>
          <t>low</t>
        </is>
      </c>
      <c r="M60" s="2" t="n">
        <v>220901</v>
      </c>
      <c r="N60" s="2" t="n">
        <v>242192</v>
      </c>
      <c r="O60" s="2" t="n">
        <v>262343</v>
      </c>
      <c r="P60" s="2">
        <f>AVERAGE(M60:O60)</f>
        <v/>
      </c>
      <c r="Q60" t="n">
        <v>3</v>
      </c>
      <c r="R60" t="n">
        <v>1</v>
      </c>
      <c r="S60" s="2">
        <f>H60*1000000</f>
        <v/>
      </c>
      <c r="T60" s="2">
        <f>365*Q60*P60*R60</f>
        <v/>
      </c>
      <c r="U60" s="7">
        <f>S60/T60</f>
        <v/>
      </c>
      <c r="V60">
        <f>RANK(U60,$U$2:$U$70,0)</f>
        <v/>
      </c>
    </row>
    <row r="61">
      <c r="A61" t="inlineStr">
        <is>
          <t>zone_99</t>
        </is>
      </c>
      <c r="B61" t="inlineStr">
        <is>
          <t>ถนนศรีนครินทร - แขวงคลองสองต้นนุ่น</t>
        </is>
      </c>
      <c r="C61" t="inlineStr">
        <is>
          <t>กรุงเทพมหานคร</t>
        </is>
      </c>
      <c r="D61" t="inlineStr">
        <is>
          <t>7</t>
        </is>
      </c>
      <c r="E61" t="inlineStr">
        <is>
          <t>1.8–3.3</t>
        </is>
      </c>
      <c r="F61" t="inlineStr">
        <is>
          <t>ทางหลวง 7 ตอนควบคุม 0101</t>
        </is>
      </c>
      <c r="G61" t="n">
        <v>345</v>
      </c>
      <c r="H61" t="n">
        <v>22</v>
      </c>
      <c r="I61" t="n">
        <v>0</v>
      </c>
      <c r="J61" t="n">
        <v>17</v>
      </c>
      <c r="K61" t="n">
        <v>0.7727000000000001</v>
      </c>
      <c r="L61" t="inlineStr">
        <is>
          <t>low</t>
        </is>
      </c>
      <c r="M61" s="2" t="n">
        <v>220901</v>
      </c>
      <c r="N61" s="2" t="n">
        <v>242192</v>
      </c>
      <c r="O61" s="2" t="n">
        <v>262343</v>
      </c>
      <c r="P61" s="2">
        <f>AVERAGE(M61:O61)</f>
        <v/>
      </c>
      <c r="Q61" t="n">
        <v>3</v>
      </c>
      <c r="R61" t="n">
        <v>1</v>
      </c>
      <c r="S61" s="2">
        <f>H61*1000000</f>
        <v/>
      </c>
      <c r="T61" s="2">
        <f>365*Q61*P61*R61</f>
        <v/>
      </c>
      <c r="U61" s="7">
        <f>S61/T61</f>
        <v/>
      </c>
      <c r="V61">
        <f>RANK(U61,$U$2:$U$70,0)</f>
        <v/>
      </c>
    </row>
    <row r="62">
      <c r="A62" t="inlineStr">
        <is>
          <t>zone_130</t>
        </is>
      </c>
      <c r="B62" t="inlineStr">
        <is>
          <t>พระประแดง - บางแค</t>
        </is>
      </c>
      <c r="C62" t="inlineStr">
        <is>
          <t>กรุงเทพมหานคร</t>
        </is>
      </c>
      <c r="D62" t="inlineStr">
        <is>
          <t>9</t>
        </is>
      </c>
      <c r="E62" t="inlineStr">
        <is>
          <t>14.3–15.492</t>
        </is>
      </c>
      <c r="F62" t="inlineStr">
        <is>
          <t>ทางหลวง 9 ตอนควบคุม 0101</t>
        </is>
      </c>
      <c r="G62" t="n">
        <v>123</v>
      </c>
      <c r="H62" t="n">
        <v>14</v>
      </c>
      <c r="I62" t="n">
        <v>1</v>
      </c>
      <c r="J62" t="n">
        <v>5</v>
      </c>
      <c r="K62" t="n">
        <v>0.4286</v>
      </c>
      <c r="L62" t="inlineStr">
        <is>
          <t>low</t>
        </is>
      </c>
      <c r="M62" s="2" t="n">
        <v>161583</v>
      </c>
      <c r="N62" s="2" t="n">
        <v>167210</v>
      </c>
      <c r="O62" s="2" t="n">
        <v>164129</v>
      </c>
      <c r="P62" s="2">
        <f>AVERAGE(M62:O62)</f>
        <v/>
      </c>
      <c r="Q62" t="n">
        <v>3</v>
      </c>
      <c r="R62" t="n">
        <v>1</v>
      </c>
      <c r="S62" s="2">
        <f>H62*1000000</f>
        <v/>
      </c>
      <c r="T62" s="2">
        <f>365*Q62*P62*R62</f>
        <v/>
      </c>
      <c r="U62" s="7">
        <f>S62/T62</f>
        <v/>
      </c>
      <c r="V62">
        <f>RANK(U62,$U$2:$U$70,0)</f>
        <v/>
      </c>
    </row>
    <row r="63">
      <c r="A63" t="inlineStr">
        <is>
          <t>zone_131</t>
        </is>
      </c>
      <c r="B63" t="inlineStr">
        <is>
          <t>พระประแดง - บางแค</t>
        </is>
      </c>
      <c r="C63" t="inlineStr">
        <is>
          <t>กรุงเทพมหานคร</t>
        </is>
      </c>
      <c r="D63" t="inlineStr">
        <is>
          <t>9</t>
        </is>
      </c>
      <c r="E63" t="inlineStr">
        <is>
          <t>12.6–13.7</t>
        </is>
      </c>
      <c r="F63" t="inlineStr">
        <is>
          <t>ทางหลวง 9 ตอนควบคุม 0101</t>
        </is>
      </c>
      <c r="G63" t="n">
        <v>123</v>
      </c>
      <c r="H63" t="n">
        <v>5</v>
      </c>
      <c r="I63" t="n">
        <v>0</v>
      </c>
      <c r="J63" t="n">
        <v>3</v>
      </c>
      <c r="K63" t="n">
        <v>0.6</v>
      </c>
      <c r="L63" t="inlineStr">
        <is>
          <t>low</t>
        </is>
      </c>
      <c r="M63" s="2" t="n">
        <v>161583</v>
      </c>
      <c r="N63" s="2" t="n">
        <v>167210</v>
      </c>
      <c r="O63" s="2" t="n">
        <v>164129</v>
      </c>
      <c r="P63" s="2">
        <f>AVERAGE(M63:O63)</f>
        <v/>
      </c>
      <c r="Q63" t="n">
        <v>3</v>
      </c>
      <c r="R63" t="n">
        <v>1</v>
      </c>
      <c r="S63" s="2">
        <f>H63*1000000</f>
        <v/>
      </c>
      <c r="T63" s="2">
        <f>365*Q63*P63*R63</f>
        <v/>
      </c>
      <c r="U63" s="7">
        <f>S63/T63</f>
        <v/>
      </c>
      <c r="V63">
        <f>RANK(U63,$U$2:$U$70,0)</f>
        <v/>
      </c>
    </row>
    <row r="64">
      <c r="A64" t="inlineStr">
        <is>
          <t>zone_138</t>
        </is>
      </c>
      <c r="B64" t="inlineStr">
        <is>
          <t>พระประแดง - บางแค</t>
        </is>
      </c>
      <c r="C64" t="inlineStr">
        <is>
          <t>กรุงเทพมหานคร</t>
        </is>
      </c>
      <c r="D64" t="inlineStr">
        <is>
          <t>9</t>
        </is>
      </c>
      <c r="E64" t="inlineStr">
        <is>
          <t>19.609–19.8</t>
        </is>
      </c>
      <c r="F64" t="inlineStr">
        <is>
          <t>ทางหลวง 9 ตอนควบคุม 0101</t>
        </is>
      </c>
      <c r="G64" t="n">
        <v>123</v>
      </c>
      <c r="H64" t="n">
        <v>3</v>
      </c>
      <c r="I64" t="n">
        <v>1</v>
      </c>
      <c r="J64" t="n">
        <v>2</v>
      </c>
      <c r="K64" t="n">
        <v>1</v>
      </c>
      <c r="L64" t="inlineStr">
        <is>
          <t>medium</t>
        </is>
      </c>
      <c r="M64" s="2" t="n">
        <v>161583</v>
      </c>
      <c r="N64" s="2" t="n">
        <v>167210</v>
      </c>
      <c r="O64" s="2" t="n">
        <v>164129</v>
      </c>
      <c r="P64" s="2">
        <f>AVERAGE(M64:O64)</f>
        <v/>
      </c>
      <c r="Q64" t="n">
        <v>3</v>
      </c>
      <c r="R64" t="n">
        <v>1</v>
      </c>
      <c r="S64" s="2">
        <f>H64*1000000</f>
        <v/>
      </c>
      <c r="T64" s="2">
        <f>365*Q64*P64*R64</f>
        <v/>
      </c>
      <c r="U64" s="7">
        <f>S64/T64</f>
        <v/>
      </c>
      <c r="V64">
        <f>RANK(U64,$U$2:$U$70,0)</f>
        <v/>
      </c>
    </row>
    <row r="65">
      <c r="A65" t="inlineStr">
        <is>
          <t>zone_244</t>
        </is>
      </c>
      <c r="B65" t="inlineStr">
        <is>
          <t>พระประแดง - บางแค</t>
        </is>
      </c>
      <c r="C65" t="inlineStr">
        <is>
          <t>กรุงเทพมหานคร</t>
        </is>
      </c>
      <c r="D65" t="inlineStr">
        <is>
          <t>9</t>
        </is>
      </c>
      <c r="E65" t="inlineStr">
        <is>
          <t>16.125–19.1</t>
        </is>
      </c>
      <c r="F65" t="inlineStr">
        <is>
          <t>ทางหลวง 9 ตอนควบคุม 0101</t>
        </is>
      </c>
      <c r="G65" t="n">
        <v>123</v>
      </c>
      <c r="H65" t="n">
        <v>22</v>
      </c>
      <c r="I65" t="n">
        <v>1</v>
      </c>
      <c r="J65" t="n">
        <v>25</v>
      </c>
      <c r="K65" t="n">
        <v>1.1818</v>
      </c>
      <c r="L65" t="inlineStr">
        <is>
          <t>medium</t>
        </is>
      </c>
      <c r="M65" s="2" t="n">
        <v>161583</v>
      </c>
      <c r="N65" s="2" t="n">
        <v>167210</v>
      </c>
      <c r="O65" s="2" t="n">
        <v>164129</v>
      </c>
      <c r="P65" s="2">
        <f>AVERAGE(M65:O65)</f>
        <v/>
      </c>
      <c r="Q65" t="n">
        <v>3</v>
      </c>
      <c r="R65" t="n">
        <v>1</v>
      </c>
      <c r="S65" s="2">
        <f>H65*1000000</f>
        <v/>
      </c>
      <c r="T65" s="2">
        <f>365*Q65*P65*R65</f>
        <v/>
      </c>
      <c r="U65" s="7">
        <f>S65/T65</f>
        <v/>
      </c>
      <c r="V65">
        <f>RANK(U65,$U$2:$U$70,0)</f>
        <v/>
      </c>
    </row>
    <row r="66">
      <c r="A66" t="inlineStr">
        <is>
          <t>zone_284</t>
        </is>
      </c>
      <c r="B66" t="inlineStr">
        <is>
          <t>พระประแดง - บางแค</t>
        </is>
      </c>
      <c r="C66" t="inlineStr">
        <is>
          <t>กรุงเทพมหานคร</t>
        </is>
      </c>
      <c r="D66" t="inlineStr">
        <is>
          <t>9</t>
        </is>
      </c>
      <c r="E66" t="inlineStr">
        <is>
          <t>11.1–12.4</t>
        </is>
      </c>
      <c r="F66" t="inlineStr">
        <is>
          <t>ทางหลวง 9 ตอนควบคุม 0101</t>
        </is>
      </c>
      <c r="G66" t="n">
        <v>123</v>
      </c>
      <c r="H66" t="n">
        <v>3</v>
      </c>
      <c r="I66" t="n">
        <v>0</v>
      </c>
      <c r="J66" t="n">
        <v>6</v>
      </c>
      <c r="K66" t="n">
        <v>2</v>
      </c>
      <c r="L66" t="inlineStr">
        <is>
          <t>high</t>
        </is>
      </c>
      <c r="M66" s="2" t="n">
        <v>161583</v>
      </c>
      <c r="N66" s="2" t="n">
        <v>167210</v>
      </c>
      <c r="O66" s="2" t="n">
        <v>164129</v>
      </c>
      <c r="P66" s="2">
        <f>AVERAGE(M66:O66)</f>
        <v/>
      </c>
      <c r="Q66" t="n">
        <v>3</v>
      </c>
      <c r="R66" t="n">
        <v>1</v>
      </c>
      <c r="S66" s="2">
        <f>H66*1000000</f>
        <v/>
      </c>
      <c r="T66" s="2">
        <f>365*Q66*P66*R66</f>
        <v/>
      </c>
      <c r="U66" s="7">
        <f>S66/T66</f>
        <v/>
      </c>
      <c r="V66">
        <f>RANK(U66,$U$2:$U$70,0)</f>
        <v/>
      </c>
    </row>
    <row r="67">
      <c r="A67" t="inlineStr">
        <is>
          <t>zone_285</t>
        </is>
      </c>
      <c r="B67" t="inlineStr">
        <is>
          <t>พระประแดง - บางแค</t>
        </is>
      </c>
      <c r="C67" t="inlineStr">
        <is>
          <t>กรุงเทพมหานคร</t>
        </is>
      </c>
      <c r="D67" t="inlineStr">
        <is>
          <t>9</t>
        </is>
      </c>
      <c r="E67" t="inlineStr">
        <is>
          <t>12.5–12.6</t>
        </is>
      </c>
      <c r="F67" t="inlineStr">
        <is>
          <t>ทางหลวง 9 ตอนควบคุม 0101</t>
        </is>
      </c>
      <c r="G67" t="n">
        <v>123</v>
      </c>
      <c r="H67" t="n">
        <v>4</v>
      </c>
      <c r="I67" t="n">
        <v>0</v>
      </c>
      <c r="J67" t="n">
        <v>5</v>
      </c>
      <c r="K67" t="n">
        <v>1.25</v>
      </c>
      <c r="L67" t="inlineStr">
        <is>
          <t>medium</t>
        </is>
      </c>
      <c r="M67" s="2" t="n">
        <v>161583</v>
      </c>
      <c r="N67" s="2" t="n">
        <v>167210</v>
      </c>
      <c r="O67" s="2" t="n">
        <v>164129</v>
      </c>
      <c r="P67" s="2">
        <f>AVERAGE(M67:O67)</f>
        <v/>
      </c>
      <c r="Q67" t="n">
        <v>3</v>
      </c>
      <c r="R67" t="n">
        <v>1</v>
      </c>
      <c r="S67" s="2">
        <f>H67*1000000</f>
        <v/>
      </c>
      <c r="T67" s="2">
        <f>365*Q67*P67*R67</f>
        <v/>
      </c>
      <c r="U67" s="7">
        <f>S67/T67</f>
        <v/>
      </c>
      <c r="V67">
        <f>RANK(U67,$U$2:$U$70,0)</f>
        <v/>
      </c>
    </row>
    <row r="68">
      <c r="A68" t="inlineStr">
        <is>
          <t>zone_298</t>
        </is>
      </c>
      <c r="B68" t="inlineStr">
        <is>
          <t>พระประแดง - บางแค</t>
        </is>
      </c>
      <c r="C68" t="inlineStr">
        <is>
          <t>กรุงเทพมหานคร</t>
        </is>
      </c>
      <c r="D68" t="inlineStr">
        <is>
          <t>9</t>
        </is>
      </c>
      <c r="E68" t="inlineStr">
        <is>
          <t>11.2–11.4</t>
        </is>
      </c>
      <c r="F68" t="inlineStr">
        <is>
          <t>ทางหลวง 9 ตอนควบคุม 0101</t>
        </is>
      </c>
      <c r="G68" t="n">
        <v>123</v>
      </c>
      <c r="H68" t="n">
        <v>4</v>
      </c>
      <c r="I68" t="n">
        <v>1</v>
      </c>
      <c r="J68" t="n">
        <v>10</v>
      </c>
      <c r="K68" t="n">
        <v>2.75</v>
      </c>
      <c r="L68" t="inlineStr">
        <is>
          <t>high</t>
        </is>
      </c>
      <c r="M68" s="2" t="n">
        <v>161583</v>
      </c>
      <c r="N68" s="2" t="n">
        <v>167210</v>
      </c>
      <c r="O68" s="2" t="n">
        <v>164129</v>
      </c>
      <c r="P68" s="2">
        <f>AVERAGE(M68:O68)</f>
        <v/>
      </c>
      <c r="Q68" t="n">
        <v>3</v>
      </c>
      <c r="R68" t="n">
        <v>1</v>
      </c>
      <c r="S68" s="2">
        <f>H68*1000000</f>
        <v/>
      </c>
      <c r="T68" s="2">
        <f>365*Q68*P68*R68</f>
        <v/>
      </c>
      <c r="U68" s="7">
        <f>S68/T68</f>
        <v/>
      </c>
      <c r="V68">
        <f>RANK(U68,$U$2:$U$70,0)</f>
        <v/>
      </c>
    </row>
    <row r="69">
      <c r="A69" t="inlineStr">
        <is>
          <t>zone_299</t>
        </is>
      </c>
      <c r="B69" t="inlineStr">
        <is>
          <t>พระประแดง - บางแค</t>
        </is>
      </c>
      <c r="C69" t="inlineStr">
        <is>
          <t>กรุงเทพมหานคร</t>
        </is>
      </c>
      <c r="D69" t="inlineStr">
        <is>
          <t>9</t>
        </is>
      </c>
      <c r="E69" t="inlineStr">
        <is>
          <t>6.15–7.925</t>
        </is>
      </c>
      <c r="F69" t="inlineStr">
        <is>
          <t>ทางหลวง 9 ตอนควบคุม 0101</t>
        </is>
      </c>
      <c r="G69" t="n">
        <v>123</v>
      </c>
      <c r="H69" t="n">
        <v>11</v>
      </c>
      <c r="I69" t="n">
        <v>0</v>
      </c>
      <c r="J69" t="n">
        <v>6</v>
      </c>
      <c r="K69" t="n">
        <v>0.5455</v>
      </c>
      <c r="L69" t="inlineStr">
        <is>
          <t>low</t>
        </is>
      </c>
      <c r="M69" s="2" t="n">
        <v>161583</v>
      </c>
      <c r="N69" s="2" t="n">
        <v>167210</v>
      </c>
      <c r="O69" s="2" t="n">
        <v>164129</v>
      </c>
      <c r="P69" s="2">
        <f>AVERAGE(M69:O69)</f>
        <v/>
      </c>
      <c r="Q69" t="n">
        <v>3</v>
      </c>
      <c r="R69" t="n">
        <v>1</v>
      </c>
      <c r="S69" s="2">
        <f>H69*1000000</f>
        <v/>
      </c>
      <c r="T69" s="2">
        <f>365*Q69*P69*R69</f>
        <v/>
      </c>
      <c r="U69" s="7">
        <f>S69/T69</f>
        <v/>
      </c>
      <c r="V69">
        <f>RANK(U69,$U$2:$U$70,0)</f>
        <v/>
      </c>
    </row>
    <row r="70">
      <c r="A70" t="inlineStr">
        <is>
          <t>zone_67</t>
        </is>
      </c>
      <c r="B70" t="inlineStr">
        <is>
          <t>พระประแดง - บางแค</t>
        </is>
      </c>
      <c r="C70" t="inlineStr">
        <is>
          <t>กรุงเทพมหานคร</t>
        </is>
      </c>
      <c r="D70" t="inlineStr">
        <is>
          <t>9</t>
        </is>
      </c>
      <c r="E70" t="inlineStr">
        <is>
          <t>10.25–16.3</t>
        </is>
      </c>
      <c r="F70" t="inlineStr">
        <is>
          <t>ทางหลวง 9 ตอนควบคุม 0101</t>
        </is>
      </c>
      <c r="G70" t="n">
        <v>123</v>
      </c>
      <c r="H70" t="n">
        <v>3</v>
      </c>
      <c r="I70" t="n">
        <v>0</v>
      </c>
      <c r="J70" t="n">
        <v>2</v>
      </c>
      <c r="K70" t="n">
        <v>0.6667</v>
      </c>
      <c r="L70" t="inlineStr">
        <is>
          <t>low</t>
        </is>
      </c>
      <c r="M70" s="2" t="n">
        <v>161583</v>
      </c>
      <c r="N70" s="2" t="n">
        <v>167210</v>
      </c>
      <c r="O70" s="2" t="n">
        <v>164129</v>
      </c>
      <c r="P70" s="2">
        <f>AVERAGE(M70:O70)</f>
        <v/>
      </c>
      <c r="Q70" t="n">
        <v>3</v>
      </c>
      <c r="R70" t="n">
        <v>1</v>
      </c>
      <c r="S70" s="2">
        <f>H70*1000000</f>
        <v/>
      </c>
      <c r="T70" s="2">
        <f>365*Q70*P70*R70</f>
        <v/>
      </c>
      <c r="U70" s="7">
        <f>S70/T70</f>
        <v/>
      </c>
      <c r="V70">
        <f>RANK(U70,$U$2:$U$70,0)</f>
        <v/>
      </c>
    </row>
  </sheetData>
  <autoFilter ref="A1:V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0" customWidth="1" min="1" max="1"/>
  </cols>
  <sheetData>
    <row r="1" ht="45" customHeight="1">
      <c r="A1" s="1" t="inlineStr">
        <is>
          <t>ขั้นตอนตรวจสอบ</t>
        </is>
      </c>
    </row>
    <row r="2">
      <c r="A2" t="inlineStr">
        <is>
          <t>ทำไมต้องใช้สถานีตัวแทน: 14 ตอนนี้ไม่มีจุดสำรวจในตอนเอง (ส่วนใหญ่ปี 2568 เป็นสถานีอัตโนมัติ AP ที่ไม่เผยแพร่ค่า) กรมทางหลวงจึงกำหนด station_id ของสถานีใกล้เคียงให้เป็นค่าของตอนในชั้นข้อมูล AADT รายตอน</t>
        </is>
      </c>
    </row>
    <row r="3">
      <c r="A3" t="inlineStr">
        <is>
          <t>① เปิดลิงก์ ① ของตอนนั้น → ดู station_id และ vehcat_aadt_all (traffic_year 2024 = พ.ศ. 2567) เป็นหลักฐานว่า ทล. ใช้สถานีนี้แทนตอนนี้</t>
        </is>
      </c>
    </row>
    <row r="4">
      <c r="A4" t="inlineStr">
        <is>
          <t>② ③ ④ เปิดหน้า opendata ปีนั้น → กดดาวน์โหลด/ดูตาราง → ค้นแถวตามคอลัมน์ 'วิธีค้น' → อ่านค่าในคอลัมน์ 'รวม' = AADT ของปีนั้น</t>
        </is>
      </c>
    </row>
    <row r="5">
      <c r="A5" t="inlineStr">
        <is>
          <t>⑤ (ทางเลือก) ลิงก์ GeoServer แสดงค่าสถานีเดียวกันปี 2568 พร้อมพิกัด เปลี่ยนเลข 2568 ในลิงก์เป็น 2567 หรือ 2565 เพื่อดูปีอื่นได้ (ไม่มีชั้นข้อมูลปี 2566)</t>
        </is>
      </c>
    </row>
    <row r="6">
      <c r="A6" t="inlineStr">
        <is>
          <t>ปี 2566 ใช้ตาราง opendata aadt-66 เท่านั้น เพราะ GeoServer/One Map ไม่มีชั้นปี 2566 (ไฟล์ที่ชื่อ AADT_Pnt_2566 บน One Map เป็นข้อมูลปี 2565 / traffic_year 2022)</t>
        </is>
      </c>
    </row>
    <row r="7">
      <c r="A7" t="inlineStr">
        <is>
          <t>ตรวจแล้ว: ค่า 2567 ในตาราง opendata = ค่าในชั้นข้อมูล GeoServer ทุกสถานี และค่า 2568 = ไฟล์ AADT_Pnt_2568 ที่ดาวน์โหลดจาก One Map ทุกสถานี</t>
        </is>
      </c>
    </row>
    <row r="8">
      <c r="A8" t="inlineStr">
        <is>
          <t>สูตร Accident Rate (สมการ 2.2): R = A × 1,000,000 / (365 × T × V × L) · V = AADT เฉลี่ย 2566–2568 · T = 3 ปี · L = 1 กม.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2026-10-12T08:06:47Z</dcterms:created>
  <dcterms:modified xmlns:dcterms="http://purl.org/dc/terms/" xmlns:xsi="http://www.w3.org/2001/XMLSchema-instance" xsi:type="dcterms:W3CDTF">2026-10-12T08:06:47Z</dcterms:modified>
</cp:coreProperties>
</file>