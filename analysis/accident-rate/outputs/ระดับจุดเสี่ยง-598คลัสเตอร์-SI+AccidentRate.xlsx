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" sheetId="1" state="visible" r:id="rId1"/>
    <sheet xmlns:r="http://schemas.openxmlformats.org/officeDocument/2006/relationships" name="ระดับจุดเสี่ยง 598" sheetId="2" state="visible" r:id="rId2"/>
    <sheet xmlns:r="http://schemas.openxmlformats.org/officeDocument/2006/relationships" name="32 วงที่ไม่มี V (ใช้ SI)" sheetId="3" state="visible" r:id="rId3"/>
    <sheet xmlns:r="http://schemas.openxmlformats.org/officeDocument/2006/relationships" name="วิธีคำนวณและแหล่งข้อมูล" sheetId="4" state="visible" r:id="rId4"/>
    <sheet xmlns:r="http://schemas.openxmlformats.org/officeDocument/2006/relationships" name="อ้างอิงเกณฑ์" sheetId="5" state="visible" r:id="rId5"/>
  </sheets>
  <definedNames>
    <definedName name="_xlnm._FilterDatabase" localSheetId="1" hidden="1">'ระดับจุดเสี่ยง 598'!$A$1:$AA$599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ftp.granit.unh.edu/submissions/NHDOTOUT/craig/HSM/Chapter%204_NetworkScreening.pdf" TargetMode="External" Id="rId1"/><Relationship Type="http://schemas.openxmlformats.org/officeDocument/2006/relationships/hyperlink" Target="https://ftp.granit.unh.edu/submissions/NHDOTOUT/craig/HSM/Chapter%204_NetworkScreening.pdf" TargetMode="External" Id="rId2"/><Relationship Type="http://schemas.openxmlformats.org/officeDocument/2006/relationships/hyperlink" Target="https://ftp.granit.unh.edu/submissions/NHDOTOUT/craig/HSM/Chapter%204_NetworkScreening.pdf" TargetMode="External" Id="rId3"/><Relationship Type="http://schemas.openxmlformats.org/officeDocument/2006/relationships/hyperlink" Target="https://ftp.granit.unh.edu/submissions/NHDOTOUT/craig/HSM/Chapter%204_NetworkScreening.pdf" TargetMode="External" Id="rId4"/><Relationship Type="http://schemas.openxmlformats.org/officeDocument/2006/relationships/hyperlink" Target="https://www.dot.state.mn.us/context-sensitive-solutions/pdf/2010/3-risk.pdf" TargetMode="External" Id="rId5"/><Relationship Type="http://schemas.openxmlformats.org/officeDocument/2006/relationships/hyperlink" Target="https://ftp.granit.unh.edu/submissions/NHDOTOUT/craig/HSM/Chapter%204_NetworkScreening.pdf" TargetMode="External" Id="rId6"/><Relationship Type="http://schemas.openxmlformats.org/officeDocument/2006/relationships/hyperlink" Target="https://www.itl.nist.gov/div898/handbook/prc/section1/prc16.htm" TargetMode="External" Id="rId7"/><Relationship Type="http://schemas.openxmlformats.org/officeDocument/2006/relationships/hyperlink" Target="https://wisconsindot.gov/dtsdManuals/traffic-ops/manuals-and-standards/safety/crashrates/rates20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① ตารางไขว้ ระดับ SI × ระดับ Accident Rate (RQC) — จำนวนคลัสเตอร์</t>
        </is>
      </c>
    </row>
    <row r="2">
      <c r="A2" s="2" t="inlineStr">
        <is>
          <t>SI \ Rate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low</t>
        </is>
      </c>
      <c r="E2" s="2" t="inlineStr">
        <is>
          <t>รวม</t>
        </is>
      </c>
      <c r="F2" s="2" t="n"/>
      <c r="G2" s="2" t="n"/>
      <c r="H2" s="2" t="n"/>
      <c r="I2" s="2" t="n"/>
      <c r="J2" s="2" t="n"/>
      <c r="K2" s="2" t="n"/>
    </row>
    <row r="3">
      <c r="A3" t="inlineStr">
        <is>
          <t>high</t>
        </is>
      </c>
      <c r="B3" t="n">
        <v>0</v>
      </c>
      <c r="C3" t="n">
        <v>3</v>
      </c>
      <c r="D3" t="n">
        <v>24</v>
      </c>
      <c r="E3" t="n">
        <v>27</v>
      </c>
    </row>
    <row r="4">
      <c r="A4" t="inlineStr">
        <is>
          <t>medium</t>
        </is>
      </c>
      <c r="B4" t="n">
        <v>9</v>
      </c>
      <c r="C4" t="n">
        <v>16</v>
      </c>
      <c r="D4" t="n">
        <v>98</v>
      </c>
      <c r="E4" t="n">
        <v>123</v>
      </c>
    </row>
    <row r="5">
      <c r="A5" t="inlineStr">
        <is>
          <t>low</t>
        </is>
      </c>
      <c r="B5" t="n">
        <v>75</v>
      </c>
      <c r="C5" t="n">
        <v>53</v>
      </c>
      <c r="D5" t="n">
        <v>320</v>
      </c>
      <c r="E5" t="n">
        <v>448</v>
      </c>
    </row>
    <row r="6">
      <c r="A6" t="inlineStr">
        <is>
          <t>รวม</t>
        </is>
      </c>
      <c r="B6" t="n">
        <v>84</v>
      </c>
      <c r="C6" t="n">
        <v>72</v>
      </c>
      <c r="D6" t="n">
        <v>442</v>
      </c>
      <c r="E6" t="n">
        <v>598</v>
      </c>
    </row>
    <row r="7"/>
    <row r="8">
      <c r="A8" s="1" t="inlineStr">
        <is>
          <t>② จำนวนคลัสเตอร์ตามวิธี</t>
        </is>
      </c>
    </row>
    <row r="9">
      <c r="A9" s="2" t="inlineStr">
        <is>
          <t>ระดับ</t>
        </is>
      </c>
      <c r="B9" s="2" t="inlineStr">
        <is>
          <t>SI อย่างเดียว</t>
        </is>
      </c>
      <c r="C9" s="2" t="inlineStr">
        <is>
          <t>Rate (RQC) อย่างเดียว</t>
        </is>
      </c>
      <c r="D9" s="2" t="inlineStr">
        <is>
          <t>SI + Rate (ใช้ระดับที่สูงกว่า)</t>
        </is>
      </c>
      <c r="E9" s="2" t="n"/>
      <c r="F9" s="2" t="n"/>
      <c r="G9" s="2" t="n"/>
      <c r="H9" s="2" t="n"/>
      <c r="I9" s="2" t="n"/>
      <c r="J9" s="2" t="n"/>
      <c r="K9" s="2" t="n"/>
    </row>
    <row r="10">
      <c r="A10" t="inlineStr">
        <is>
          <t>high</t>
        </is>
      </c>
      <c r="B10" t="n">
        <v>27</v>
      </c>
      <c r="C10" t="n">
        <v>84</v>
      </c>
      <c r="D10" t="n">
        <v>111</v>
      </c>
    </row>
    <row r="11">
      <c r="A11" t="inlineStr">
        <is>
          <t>medium</t>
        </is>
      </c>
      <c r="B11" t="n">
        <v>123</v>
      </c>
      <c r="C11" t="n">
        <v>72</v>
      </c>
      <c r="D11" t="n">
        <v>167</v>
      </c>
    </row>
    <row r="12">
      <c r="A12" t="inlineStr">
        <is>
          <t>low</t>
        </is>
      </c>
      <c r="B12" t="n">
        <v>448</v>
      </c>
      <c r="C12" t="n">
        <v>442</v>
      </c>
      <c r="D12" t="n">
        <v>320</v>
      </c>
    </row>
    <row r="13"/>
    <row r="14">
      <c r="A14" s="1" t="inlineStr">
        <is>
          <t>③ แยกตามหน่วยงาน</t>
        </is>
      </c>
    </row>
    <row r="15">
      <c r="A15" s="2" t="inlineStr">
        <is>
          <t>หน่วยงาน</t>
        </is>
      </c>
      <c r="B15" s="2" t="inlineStr">
        <is>
          <t>คลัสเตอร์</t>
        </is>
      </c>
      <c r="C15" s="2" t="inlineStr">
        <is>
          <t>อุบัติเหตุ A</t>
        </is>
      </c>
      <c r="D15" s="2" t="inlineStr">
        <is>
          <t>Ra (ครั้ง/ล้านคัน)</t>
        </is>
      </c>
      <c r="E15" s="2" t="inlineStr">
        <is>
          <t>SI+Rate: high</t>
        </is>
      </c>
      <c r="F15" s="2" t="inlineStr">
        <is>
          <t>medium</t>
        </is>
      </c>
      <c r="G15" s="2" t="inlineStr">
        <is>
          <t>low</t>
        </is>
      </c>
      <c r="H15" s="2" t="n"/>
      <c r="I15" s="2" t="n"/>
      <c r="J15" s="2" t="n"/>
      <c r="K15" s="2" t="n"/>
    </row>
    <row r="16">
      <c r="A16" t="inlineStr">
        <is>
          <t>ทล.</t>
        </is>
      </c>
      <c r="B16" t="n">
        <v>466</v>
      </c>
      <c r="C16" t="n">
        <v>9816</v>
      </c>
      <c r="D16" t="n">
        <v>0.1346</v>
      </c>
      <c r="E16" t="n">
        <v>83</v>
      </c>
      <c r="F16" t="n">
        <v>108</v>
      </c>
      <c r="G16" t="n">
        <v>275</v>
      </c>
    </row>
    <row r="17">
      <c r="A17" t="inlineStr">
        <is>
          <t>กทพ.</t>
        </is>
      </c>
      <c r="B17" t="n">
        <v>125</v>
      </c>
      <c r="C17" t="n">
        <v>873</v>
      </c>
      <c r="D17" t="n">
        <v>0.0194</v>
      </c>
      <c r="E17" t="n">
        <v>26</v>
      </c>
      <c r="F17" t="n">
        <v>54</v>
      </c>
      <c r="G17" t="n">
        <v>45</v>
      </c>
    </row>
    <row r="18">
      <c r="A18" t="inlineStr">
        <is>
          <t>ทช.</t>
        </is>
      </c>
      <c r="B18" t="n">
        <v>7</v>
      </c>
      <c r="C18" t="n">
        <v>27</v>
      </c>
      <c r="D18" t="n">
        <v>0.2021</v>
      </c>
      <c r="E18" t="n">
        <v>2</v>
      </c>
      <c r="F18" t="n">
        <v>5</v>
      </c>
      <c r="G18" t="n">
        <v>0</v>
      </c>
    </row>
    <row r="19"/>
    <row r="20">
      <c r="A20" s="1" t="inlineStr">
        <is>
          <t>④ 15 อันดับ R/Rc สูงสุด (เกินค่าวิกฤติมากที่สุด)</t>
        </is>
      </c>
    </row>
    <row r="21">
      <c r="A21" s="2" t="inlineStr">
        <is>
          <t>id</t>
        </is>
      </c>
      <c r="B21" s="2" t="inlineStr">
        <is>
          <t>ถนน</t>
        </is>
      </c>
      <c r="C21" s="2" t="inlineStr">
        <is>
          <t>หน่วยงาน</t>
        </is>
      </c>
      <c r="D21" s="2" t="inlineStr">
        <is>
          <t>A</t>
        </is>
      </c>
      <c r="E21" s="2" t="inlineStr">
        <is>
          <t>V (คัน/วัน)</t>
        </is>
      </c>
      <c r="F21" s="2" t="inlineStr">
        <is>
          <t>R</t>
        </is>
      </c>
      <c r="G21" s="2" t="inlineStr">
        <is>
          <t>Rc</t>
        </is>
      </c>
      <c r="H21" s="2" t="inlineStr">
        <is>
          <t>R/Rc</t>
        </is>
      </c>
      <c r="I21" s="2" t="inlineStr">
        <is>
          <t>SI</t>
        </is>
      </c>
      <c r="J21" s="2" t="inlineStr">
        <is>
          <t>ระดับ_SI</t>
        </is>
      </c>
      <c r="K21" s="2" t="inlineStr">
        <is>
          <t>ระดับรวม</t>
        </is>
      </c>
    </row>
    <row r="22">
      <c r="A22" t="inlineStr">
        <is>
          <t>zone_16</t>
        </is>
      </c>
      <c r="B22" t="inlineStr">
        <is>
          <t>อรุณอมรินทร์ - พุทธมณฑลสาย4</t>
        </is>
      </c>
      <c r="C22" t="inlineStr">
        <is>
          <t>ทล.</t>
        </is>
      </c>
      <c r="D22" t="n">
        <v>918</v>
      </c>
      <c r="E22" t="n">
        <v>69502</v>
      </c>
      <c r="F22" t="n">
        <v>12.0623</v>
      </c>
      <c r="G22" t="n">
        <v>0.2104</v>
      </c>
      <c r="H22" t="n">
        <v>57.34</v>
      </c>
      <c r="I22" t="n">
        <v>0.68</v>
      </c>
      <c r="J22" t="inlineStr">
        <is>
          <t>low</t>
        </is>
      </c>
      <c r="K22" t="inlineStr">
        <is>
          <t>high</t>
        </is>
      </c>
    </row>
    <row r="23">
      <c r="A23" t="inlineStr">
        <is>
          <t>zone_72</t>
        </is>
      </c>
      <c r="B23" t="inlineStr">
        <is>
          <t>บางปะอิน - แขวงรามอินทรา</t>
        </is>
      </c>
      <c r="C23" t="inlineStr">
        <is>
          <t>ทล.</t>
        </is>
      </c>
      <c r="D23" t="n">
        <v>487</v>
      </c>
      <c r="E23" t="n">
        <v>157625</v>
      </c>
      <c r="F23" t="n">
        <v>2.8216</v>
      </c>
      <c r="G23" t="n">
        <v>0.1835</v>
      </c>
      <c r="H23" t="n">
        <v>15.38</v>
      </c>
      <c r="I23" t="n">
        <v>0.66</v>
      </c>
      <c r="J23" t="inlineStr">
        <is>
          <t>low</t>
        </is>
      </c>
      <c r="K23" t="inlineStr">
        <is>
          <t>high</t>
        </is>
      </c>
    </row>
    <row r="24">
      <c r="A24" t="inlineStr">
        <is>
          <t>zone_81</t>
        </is>
      </c>
      <c r="B24" t="inlineStr">
        <is>
          <t>แขวงคลองสองต้นนุ่น - พิมพา</t>
        </is>
      </c>
      <c r="C24" t="inlineStr">
        <is>
          <t>ทล.</t>
        </is>
      </c>
      <c r="D24" t="n">
        <v>606</v>
      </c>
      <c r="E24" t="n">
        <v>241812</v>
      </c>
      <c r="F24" t="n">
        <v>2.2887</v>
      </c>
      <c r="G24" t="n">
        <v>0.1736</v>
      </c>
      <c r="H24" t="n">
        <v>13.18</v>
      </c>
      <c r="I24" t="n">
        <v>0.34</v>
      </c>
      <c r="J24" t="inlineStr">
        <is>
          <t>low</t>
        </is>
      </c>
      <c r="K24" t="inlineStr">
        <is>
          <t>high</t>
        </is>
      </c>
    </row>
    <row r="25">
      <c r="A25" t="inlineStr">
        <is>
          <t>zone_20</t>
        </is>
      </c>
      <c r="B25" t="inlineStr">
        <is>
          <t>อรุณอมรินทร์ - พุทธมณฑลสาย4</t>
        </is>
      </c>
      <c r="C25" t="inlineStr">
        <is>
          <t>ทล.</t>
        </is>
      </c>
      <c r="D25" t="n">
        <v>240</v>
      </c>
      <c r="E25" t="n">
        <v>134847</v>
      </c>
      <c r="F25" t="n">
        <v>1.6254</v>
      </c>
      <c r="G25" t="n">
        <v>0.1877</v>
      </c>
      <c r="H25" t="n">
        <v>8.66</v>
      </c>
      <c r="I25" t="n">
        <v>0.68</v>
      </c>
      <c r="J25" t="inlineStr">
        <is>
          <t>low</t>
        </is>
      </c>
      <c r="K25" t="inlineStr">
        <is>
          <t>high</t>
        </is>
      </c>
    </row>
    <row r="26">
      <c r="A26" t="inlineStr">
        <is>
          <t>zone_82</t>
        </is>
      </c>
      <c r="B26" t="inlineStr">
        <is>
          <t>แขวงรามอินทรา - บางพลี</t>
        </is>
      </c>
      <c r="C26" t="inlineStr">
        <is>
          <t>ทล.</t>
        </is>
      </c>
      <c r="D26" t="n">
        <v>191</v>
      </c>
      <c r="E26" t="n">
        <v>115560</v>
      </c>
      <c r="F26" t="n">
        <v>1.5094</v>
      </c>
      <c r="G26" t="n">
        <v>0.1922</v>
      </c>
      <c r="H26" t="n">
        <v>7.85</v>
      </c>
      <c r="I26" t="n">
        <v>0.76</v>
      </c>
      <c r="J26" t="inlineStr">
        <is>
          <t>low</t>
        </is>
      </c>
      <c r="K26" t="inlineStr">
        <is>
          <t>high</t>
        </is>
      </c>
    </row>
    <row r="27">
      <c r="A27" t="inlineStr">
        <is>
          <t>zone_89</t>
        </is>
      </c>
      <c r="B27" t="inlineStr">
        <is>
          <t>แขวงคลองสองต้นนุ่น - พิมพา</t>
        </is>
      </c>
      <c r="C27" t="inlineStr">
        <is>
          <t>ทล.</t>
        </is>
      </c>
      <c r="D27" t="n">
        <v>360</v>
      </c>
      <c r="E27" t="n">
        <v>241812</v>
      </c>
      <c r="F27" t="n">
        <v>1.3596</v>
      </c>
      <c r="G27" t="n">
        <v>0.1736</v>
      </c>
      <c r="H27" t="n">
        <v>7.83</v>
      </c>
      <c r="I27" t="n">
        <v>0.32</v>
      </c>
      <c r="J27" t="inlineStr">
        <is>
          <t>low</t>
        </is>
      </c>
      <c r="K27" t="inlineStr">
        <is>
          <t>high</t>
        </is>
      </c>
    </row>
    <row r="28">
      <c r="A28" t="inlineStr">
        <is>
          <t>zone_22</t>
        </is>
      </c>
      <c r="B28" t="inlineStr">
        <is>
          <t>อรุณอมรินทร์ - พุทธมณฑลสาย4</t>
        </is>
      </c>
      <c r="C28" t="inlineStr">
        <is>
          <t>ทล.</t>
        </is>
      </c>
      <c r="D28" t="n">
        <v>227</v>
      </c>
      <c r="E28" t="n">
        <v>145548</v>
      </c>
      <c r="F28" t="n">
        <v>1.4243</v>
      </c>
      <c r="G28" t="n">
        <v>0.1856</v>
      </c>
      <c r="H28" t="n">
        <v>7.68</v>
      </c>
      <c r="I28" t="n">
        <v>0.62</v>
      </c>
      <c r="J28" t="inlineStr">
        <is>
          <t>low</t>
        </is>
      </c>
      <c r="K28" t="inlineStr">
        <is>
          <t>high</t>
        </is>
      </c>
    </row>
    <row r="29">
      <c r="A29" t="inlineStr">
        <is>
          <t>zone_569</t>
        </is>
      </c>
      <c r="B29" t="inlineStr">
        <is>
          <t>สะพานข้ามแม่น้ำท่าจีนฝั่งตะวันตก - นาโคก</t>
        </is>
      </c>
      <c r="C29" t="inlineStr">
        <is>
          <t>ทล.</t>
        </is>
      </c>
      <c r="D29" t="n">
        <v>223</v>
      </c>
      <c r="E29" t="n">
        <v>144436</v>
      </c>
      <c r="F29" t="n">
        <v>1.41</v>
      </c>
      <c r="G29" t="n">
        <v>0.1858</v>
      </c>
      <c r="H29" t="n">
        <v>7.59</v>
      </c>
      <c r="I29" t="n">
        <v>0.27</v>
      </c>
      <c r="J29" t="inlineStr">
        <is>
          <t>low</t>
        </is>
      </c>
      <c r="K29" t="inlineStr">
        <is>
          <t>high</t>
        </is>
      </c>
    </row>
    <row r="30">
      <c r="A30" t="inlineStr">
        <is>
          <t>zone_5</t>
        </is>
      </c>
      <c r="B30" t="inlineStr">
        <is>
          <t>อรุณอมรินทร์ - พุทธมณฑลสาย 4</t>
        </is>
      </c>
      <c r="C30" t="inlineStr">
        <is>
          <t>ทล.</t>
        </is>
      </c>
      <c r="D30" t="n">
        <v>114</v>
      </c>
      <c r="E30" t="n">
        <v>69502</v>
      </c>
      <c r="F30" t="n">
        <v>1.4979</v>
      </c>
      <c r="G30" t="n">
        <v>0.2104</v>
      </c>
      <c r="H30" t="n">
        <v>7.12</v>
      </c>
      <c r="I30" t="n">
        <v>0.7</v>
      </c>
      <c r="J30" t="inlineStr">
        <is>
          <t>low</t>
        </is>
      </c>
      <c r="K30" t="inlineStr">
        <is>
          <t>high</t>
        </is>
      </c>
    </row>
    <row r="31">
      <c r="A31" t="inlineStr">
        <is>
          <t>zone_460</t>
        </is>
      </c>
      <c r="B31" t="inlineStr">
        <is>
          <t>แขวงคลองสองต้นนุ่น - พิมพา</t>
        </is>
      </c>
      <c r="C31" t="inlineStr">
        <is>
          <t>ทล.</t>
        </is>
      </c>
      <c r="D31" t="n">
        <v>317</v>
      </c>
      <c r="E31" t="n">
        <v>241812</v>
      </c>
      <c r="F31" t="n">
        <v>1.1972</v>
      </c>
      <c r="G31" t="n">
        <v>0.1736</v>
      </c>
      <c r="H31" t="n">
        <v>6.9</v>
      </c>
      <c r="I31" t="n">
        <v>0.14</v>
      </c>
      <c r="J31" t="inlineStr">
        <is>
          <t>low</t>
        </is>
      </c>
      <c r="K31" t="inlineStr">
        <is>
          <t>high</t>
        </is>
      </c>
    </row>
    <row r="32">
      <c r="A32" t="inlineStr">
        <is>
          <t>zone_83</t>
        </is>
      </c>
      <c r="B32" t="inlineStr">
        <is>
          <t>แขวงรามอินทรา - บางพลี</t>
        </is>
      </c>
      <c r="C32" t="inlineStr">
        <is>
          <t>ทล.</t>
        </is>
      </c>
      <c r="D32" t="n">
        <v>154</v>
      </c>
      <c r="E32" t="n">
        <v>115560</v>
      </c>
      <c r="F32" t="n">
        <v>1.217</v>
      </c>
      <c r="G32" t="n">
        <v>0.1922</v>
      </c>
      <c r="H32" t="n">
        <v>6.33</v>
      </c>
      <c r="I32" t="n">
        <v>0.54</v>
      </c>
      <c r="J32" t="inlineStr">
        <is>
          <t>low</t>
        </is>
      </c>
      <c r="K32" t="inlineStr">
        <is>
          <t>high</t>
        </is>
      </c>
    </row>
    <row r="33">
      <c r="A33" t="inlineStr">
        <is>
          <t>zone_46</t>
        </is>
      </c>
      <c r="B33" t="inlineStr">
        <is>
          <t>ดาวคะนอง - แสมดำ</t>
        </is>
      </c>
      <c r="C33" t="inlineStr">
        <is>
          <t>ทล.</t>
        </is>
      </c>
      <c r="D33" t="n">
        <v>253</v>
      </c>
      <c r="E33" t="n">
        <v>258511</v>
      </c>
      <c r="F33" t="n">
        <v>0.8938</v>
      </c>
      <c r="G33" t="n">
        <v>0.1723</v>
      </c>
      <c r="H33" t="n">
        <v>5.19</v>
      </c>
      <c r="I33" t="n">
        <v>0.58</v>
      </c>
      <c r="J33" t="inlineStr">
        <is>
          <t>low</t>
        </is>
      </c>
      <c r="K33" t="inlineStr">
        <is>
          <t>high</t>
        </is>
      </c>
    </row>
    <row r="34">
      <c r="A34" t="inlineStr">
        <is>
          <t>zone_108</t>
        </is>
      </c>
      <c r="B34" t="inlineStr">
        <is>
          <t>บางปะอิน - แขวงรามอินทรา</t>
        </is>
      </c>
      <c r="C34" t="inlineStr">
        <is>
          <t>ทล.</t>
        </is>
      </c>
      <c r="D34" t="n">
        <v>160</v>
      </c>
      <c r="E34" t="n">
        <v>157625</v>
      </c>
      <c r="F34" t="n">
        <v>0.927</v>
      </c>
      <c r="G34" t="n">
        <v>0.1835</v>
      </c>
      <c r="H34" t="n">
        <v>5.05</v>
      </c>
      <c r="I34" t="n">
        <v>0.61</v>
      </c>
      <c r="J34" t="inlineStr">
        <is>
          <t>low</t>
        </is>
      </c>
      <c r="K34" t="inlineStr">
        <is>
          <t>high</t>
        </is>
      </c>
    </row>
    <row r="35">
      <c r="A35" t="inlineStr">
        <is>
          <t>zone_17</t>
        </is>
      </c>
      <c r="B35" t="inlineStr">
        <is>
          <t>อรุณอมรินทร์ - พุทธมณฑลสาย 4</t>
        </is>
      </c>
      <c r="C35" t="inlineStr">
        <is>
          <t>ทล.</t>
        </is>
      </c>
      <c r="D35" t="n">
        <v>72</v>
      </c>
      <c r="E35" t="n">
        <v>69502</v>
      </c>
      <c r="F35" t="n">
        <v>0.9461000000000001</v>
      </c>
      <c r="G35" t="n">
        <v>0.2104</v>
      </c>
      <c r="H35" t="n">
        <v>4.5</v>
      </c>
      <c r="I35" t="n">
        <v>0.5600000000000001</v>
      </c>
      <c r="J35" t="inlineStr">
        <is>
          <t>low</t>
        </is>
      </c>
      <c r="K35" t="inlineStr">
        <is>
          <t>high</t>
        </is>
      </c>
    </row>
    <row r="36">
      <c r="A36" t="inlineStr">
        <is>
          <t>zone_134</t>
        </is>
      </c>
      <c r="B36" t="inlineStr">
        <is>
          <t>บางแค - คลองมหาสวัสดิ์</t>
        </is>
      </c>
      <c r="C36" t="inlineStr">
        <is>
          <t>ทล.</t>
        </is>
      </c>
      <c r="D36" t="n">
        <v>37</v>
      </c>
      <c r="E36" t="n">
        <v>32900</v>
      </c>
      <c r="F36" t="n">
        <v>1.027</v>
      </c>
      <c r="G36" t="n">
        <v>0.2491</v>
      </c>
      <c r="H36" t="n">
        <v>4.12</v>
      </c>
      <c r="I36" t="n">
        <v>0.78</v>
      </c>
      <c r="J36" t="inlineStr">
        <is>
          <t>low</t>
        </is>
      </c>
      <c r="K3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2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8" customWidth="1" min="27" max="27"/>
  </cols>
  <sheetData>
    <row r="1" ht="45" customHeight="1">
      <c r="A1" s="3" t="inlineStr">
        <is>
          <t>id</t>
        </is>
      </c>
      <c r="B1" s="3" t="inlineStr">
        <is>
          <t>ถนน</t>
        </is>
      </c>
      <c r="C1" s="3" t="inlineStr">
        <is>
          <t>จังหวัด</t>
        </is>
      </c>
      <c r="D1" s="3" t="inlineStr">
        <is>
          <t>route_code</t>
        </is>
      </c>
      <c r="E1" s="3" t="inlineStr">
        <is>
          <t>หน่วยงาน</t>
        </is>
      </c>
      <c r="F1" s="3" t="inlineStr">
        <is>
          <t>กม. คลัสเตอร์</t>
        </is>
      </c>
      <c r="G1" s="3" t="inlineStr">
        <is>
          <t>สถานีตัวแทน/สายทาง</t>
        </is>
      </c>
      <c r="H1" s="3" t="inlineStr">
        <is>
          <t>แหล่ง V</t>
        </is>
      </c>
      <c r="I1" s="3" t="inlineStr">
        <is>
          <t>A</t>
        </is>
      </c>
      <c r="J1" s="3" t="inlineStr">
        <is>
          <t>เสียชีวิต</t>
        </is>
      </c>
      <c r="K1" s="3" t="inlineStr">
        <is>
          <t>บาดเจ็บ</t>
        </is>
      </c>
      <c r="L1" s="3" t="inlineStr">
        <is>
          <t>SI</t>
        </is>
      </c>
      <c r="M1" s="3" t="inlineStr">
        <is>
          <t>ระดับ_SI</t>
        </is>
      </c>
      <c r="N1" s="3" t="inlineStr">
        <is>
          <t>AADT 2566</t>
        </is>
      </c>
      <c r="O1" s="3" t="inlineStr">
        <is>
          <t>AADT 2567</t>
        </is>
      </c>
      <c r="P1" s="3" t="inlineStr">
        <is>
          <t>AADT 2568</t>
        </is>
      </c>
      <c r="Q1" s="4" t="inlineStr">
        <is>
          <t>V = AADT เฉลี่ย 3 ปี</t>
        </is>
      </c>
      <c r="R1" s="4" t="inlineStr">
        <is>
          <t>T (ปี)</t>
        </is>
      </c>
      <c r="S1" s="4" t="inlineStr">
        <is>
          <t>L (กม.)</t>
        </is>
      </c>
      <c r="T1" s="4" t="inlineStr">
        <is>
          <t>MEV (ล้านคัน)</t>
        </is>
      </c>
      <c r="U1" s="4" t="inlineStr">
        <is>
          <t>R (ครั้ง/ล้านคัน)</t>
        </is>
      </c>
      <c r="V1" s="4" t="inlineStr">
        <is>
          <t>Ra ของหน่วยงาน</t>
        </is>
      </c>
      <c r="W1" s="4" t="inlineStr">
        <is>
          <t>Rc (K=1.645)</t>
        </is>
      </c>
      <c r="X1" s="4" t="inlineStr">
        <is>
          <t>R/Rc</t>
        </is>
      </c>
      <c r="Y1" s="4" t="inlineStr">
        <is>
          <t>ระดับ_Rate</t>
        </is>
      </c>
      <c r="Z1" s="4" t="inlineStr">
        <is>
          <t>ระดับรวม (SI+Rate)</t>
        </is>
      </c>
      <c r="AA1" s="4" t="inlineStr">
        <is>
          <t>ได้ระดับนี้จาก</t>
        </is>
      </c>
    </row>
    <row r="2">
      <c r="A2" t="inlineStr">
        <is>
          <t>zone_16</t>
        </is>
      </c>
      <c r="B2" t="inlineStr">
        <is>
          <t>อรุณอมรินทร์ - พุทธมณฑลสาย4</t>
        </is>
      </c>
      <c r="C2" t="inlineStr">
        <is>
          <t>กรุงเทพมหานคร</t>
        </is>
      </c>
      <c r="D2" t="inlineStr">
        <is>
          <t>338</t>
        </is>
      </c>
      <c r="E2" t="inlineStr">
        <is>
          <t>ทล.</t>
        </is>
      </c>
      <c r="F2" t="inlineStr">
        <is>
          <t>0.01–15.1</t>
        </is>
      </c>
      <c r="G2" t="inlineStr">
        <is>
          <t>station_id 126 (ทล.338 กม.2+164)</t>
        </is>
      </c>
      <c r="H2" t="inlineStr">
        <is>
          <t>ทล. สถานีตัวแทนตอนควบคุม</t>
        </is>
      </c>
      <c r="I2" t="n">
        <v>918</v>
      </c>
      <c r="J2" t="n">
        <v>18</v>
      </c>
      <c r="K2" t="n">
        <v>607</v>
      </c>
      <c r="L2" s="5" t="n">
        <v>0.6808</v>
      </c>
      <c r="M2" t="inlineStr">
        <is>
          <t>low</t>
        </is>
      </c>
      <c r="N2" s="6" t="n">
        <v>68592</v>
      </c>
      <c r="O2" s="6" t="n">
        <v>70016</v>
      </c>
      <c r="P2" s="6" t="n">
        <v>69899</v>
      </c>
      <c r="Q2" s="6">
        <f>AVERAGE(N2:P2)</f>
        <v/>
      </c>
      <c r="R2" t="n">
        <v>3</v>
      </c>
      <c r="S2" t="n">
        <v>1</v>
      </c>
      <c r="T2" s="7">
        <f>365*R2*Q2*S2/1000000</f>
        <v/>
      </c>
      <c r="U2" s="8">
        <f>I2/T2</f>
        <v/>
      </c>
      <c r="V2" s="8">
        <f>SUMIF($E$2:$E$599,E2,$I$2:$I$599)/SUMIF($E$2:$E$599,E2,$T$2:$T$599)</f>
        <v/>
      </c>
      <c r="W2" s="8">
        <f>V2+1.645*SQRT(V2/T2)+1/(2*T2)</f>
        <v/>
      </c>
      <c r="X2" s="5">
        <f>U2/W2</f>
        <v/>
      </c>
      <c r="Y2">
        <f>IF(U2&gt;W2,"high",IF(U2&gt;V2,"medium","low"))</f>
        <v/>
      </c>
      <c r="Z2">
        <f>CHOOSE(MAX(IF(M2="high",2,IF(M2="medium",1,0)),IF(Y2="high",2,IF(Y2="medium",1,0)))+1,"low","medium","high")</f>
        <v/>
      </c>
      <c r="AA2">
        <f>IF(IF(M2="high",2,IF(M2="medium",1,0))=IF(Y2="high",2,IF(Y2="medium",1,0)),"SI และ Rate เท่ากัน",IF(IF(M2="high",2,IF(M2="medium",1,0))&gt;IF(Y2="high",2,IF(Y2="medium",1,0)),"SI","Rate"))</f>
        <v/>
      </c>
    </row>
    <row r="3">
      <c r="A3" t="inlineStr">
        <is>
          <t>zone_72</t>
        </is>
      </c>
      <c r="B3" t="inlineStr">
        <is>
          <t>บางปะอิน - แขวงรามอินทรา</t>
        </is>
      </c>
      <c r="C3" t="inlineStr">
        <is>
          <t>กรุงเทพมหานคร</t>
        </is>
      </c>
      <c r="D3" t="inlineStr">
        <is>
          <t>9</t>
        </is>
      </c>
      <c r="E3" t="inlineStr">
        <is>
          <t>ทล.</t>
        </is>
      </c>
      <c r="F3" t="inlineStr">
        <is>
          <t>31.3–44.3</t>
        </is>
      </c>
      <c r="G3" t="inlineStr">
        <is>
          <t>station_id 347 (ทล.9 กม.1+500)</t>
        </is>
      </c>
      <c r="H3" t="inlineStr">
        <is>
          <t>ทล. สถานีตัวแทนตอนควบคุม</t>
        </is>
      </c>
      <c r="I3" t="n">
        <v>487</v>
      </c>
      <c r="J3" t="n">
        <v>2</v>
      </c>
      <c r="K3" t="n">
        <v>318</v>
      </c>
      <c r="L3" s="5" t="n">
        <v>0.6571</v>
      </c>
      <c r="M3" t="inlineStr">
        <is>
          <t>low</t>
        </is>
      </c>
      <c r="N3" s="6" t="n">
        <v>146870</v>
      </c>
      <c r="O3" s="6" t="n">
        <v>165212</v>
      </c>
      <c r="P3" s="6" t="n">
        <v>160792</v>
      </c>
      <c r="Q3" s="6">
        <f>AVERAGE(N3:P3)</f>
        <v/>
      </c>
      <c r="R3" t="n">
        <v>3</v>
      </c>
      <c r="S3" t="n">
        <v>1</v>
      </c>
      <c r="T3" s="7">
        <f>365*R3*Q3*S3/1000000</f>
        <v/>
      </c>
      <c r="U3" s="8">
        <f>I3/T3</f>
        <v/>
      </c>
      <c r="V3" s="8">
        <f>SUMIF($E$2:$E$599,E3,$I$2:$I$599)/SUMIF($E$2:$E$599,E3,$T$2:$T$599)</f>
        <v/>
      </c>
      <c r="W3" s="8">
        <f>V3+1.645*SQRT(V3/T3)+1/(2*T3)</f>
        <v/>
      </c>
      <c r="X3" s="5">
        <f>U3/W3</f>
        <v/>
      </c>
      <c r="Y3">
        <f>IF(U3&gt;W3,"high",IF(U3&gt;V3,"medium","low"))</f>
        <v/>
      </c>
      <c r="Z3">
        <f>CHOOSE(MAX(IF(M3="high",2,IF(M3="medium",1,0)),IF(Y3="high",2,IF(Y3="medium",1,0)))+1,"low","medium","high")</f>
        <v/>
      </c>
      <c r="AA3">
        <f>IF(IF(M3="high",2,IF(M3="medium",1,0))=IF(Y3="high",2,IF(Y3="medium",1,0)),"SI และ Rate เท่ากัน",IF(IF(M3="high",2,IF(M3="medium",1,0))&gt;IF(Y3="high",2,IF(Y3="medium",1,0)),"SI","Rate"))</f>
        <v/>
      </c>
    </row>
    <row r="4">
      <c r="A4" t="inlineStr">
        <is>
          <t>zone_81</t>
        </is>
      </c>
      <c r="B4" t="inlineStr">
        <is>
          <t>แขวงคลองสองต้นนุ่น - พิมพา</t>
        </is>
      </c>
      <c r="C4" t="inlineStr">
        <is>
          <t>กรุงเทพมหานคร</t>
        </is>
      </c>
      <c r="D4" t="inlineStr">
        <is>
          <t>7</t>
        </is>
      </c>
      <c r="E4" t="inlineStr">
        <is>
          <t>ทล.</t>
        </is>
      </c>
      <c r="F4" t="inlineStr">
        <is>
          <t>8–18.7</t>
        </is>
      </c>
      <c r="G4" t="inlineStr">
        <is>
          <t>station_id 345 (ทล.7 กม.17+000)</t>
        </is>
      </c>
      <c r="H4" t="inlineStr">
        <is>
          <t>ทล. สถานีตัวแทนตอนควบคุม</t>
        </is>
      </c>
      <c r="I4" t="n">
        <v>606</v>
      </c>
      <c r="J4" t="n">
        <v>1</v>
      </c>
      <c r="K4" t="n">
        <v>204</v>
      </c>
      <c r="L4" s="5" t="n">
        <v>0.3383</v>
      </c>
      <c r="M4" t="inlineStr">
        <is>
          <t>low</t>
        </is>
      </c>
      <c r="N4" s="6" t="n">
        <v>220901</v>
      </c>
      <c r="O4" s="6" t="n">
        <v>242192</v>
      </c>
      <c r="P4" s="6" t="n">
        <v>262343</v>
      </c>
      <c r="Q4" s="6">
        <f>AVERAGE(N4:P4)</f>
        <v/>
      </c>
      <c r="R4" t="n">
        <v>3</v>
      </c>
      <c r="S4" t="n">
        <v>1</v>
      </c>
      <c r="T4" s="7">
        <f>365*R4*Q4*S4/1000000</f>
        <v/>
      </c>
      <c r="U4" s="8">
        <f>I4/T4</f>
        <v/>
      </c>
      <c r="V4" s="8">
        <f>SUMIF($E$2:$E$599,E4,$I$2:$I$599)/SUMIF($E$2:$E$599,E4,$T$2:$T$599)</f>
        <v/>
      </c>
      <c r="W4" s="8">
        <f>V4+1.645*SQRT(V4/T4)+1/(2*T4)</f>
        <v/>
      </c>
      <c r="X4" s="5">
        <f>U4/W4</f>
        <v/>
      </c>
      <c r="Y4">
        <f>IF(U4&gt;W4,"high",IF(U4&gt;V4,"medium","low"))</f>
        <v/>
      </c>
      <c r="Z4">
        <f>CHOOSE(MAX(IF(M4="high",2,IF(M4="medium",1,0)),IF(Y4="high",2,IF(Y4="medium",1,0)))+1,"low","medium","high")</f>
        <v/>
      </c>
      <c r="AA4">
        <f>IF(IF(M4="high",2,IF(M4="medium",1,0))=IF(Y4="high",2,IF(Y4="medium",1,0)),"SI และ Rate เท่ากัน",IF(IF(M4="high",2,IF(M4="medium",1,0))&gt;IF(Y4="high",2,IF(Y4="medium",1,0)),"SI","Rate"))</f>
        <v/>
      </c>
    </row>
    <row r="5">
      <c r="A5" t="inlineStr">
        <is>
          <t>zone_20</t>
        </is>
      </c>
      <c r="B5" t="inlineStr">
        <is>
          <t>อรุณอมรินทร์ - พุทธมณฑลสาย4</t>
        </is>
      </c>
      <c r="C5" t="inlineStr">
        <is>
          <t>กรุงเทพมหานคร</t>
        </is>
      </c>
      <c r="D5" t="inlineStr">
        <is>
          <t>338</t>
        </is>
      </c>
      <c r="E5" t="inlineStr">
        <is>
          <t>ทล.</t>
        </is>
      </c>
      <c r="F5" t="inlineStr">
        <is>
          <t>0.002–31.4</t>
        </is>
      </c>
      <c r="G5" t="inlineStr">
        <is>
          <t>station_id 63 (ทล.338 กม.22+081)</t>
        </is>
      </c>
      <c r="H5" t="inlineStr">
        <is>
          <t>ทล. สถานีตัวแทนตอนควบคุม</t>
        </is>
      </c>
      <c r="I5" t="n">
        <v>240</v>
      </c>
      <c r="J5" t="n">
        <v>8</v>
      </c>
      <c r="K5" t="n">
        <v>156</v>
      </c>
      <c r="L5" s="5" t="n">
        <v>0.6833</v>
      </c>
      <c r="M5" t="inlineStr">
        <is>
          <t>low</t>
        </is>
      </c>
      <c r="N5" s="6" t="n">
        <v>126567</v>
      </c>
      <c r="O5" s="6" t="n">
        <v>136180</v>
      </c>
      <c r="P5" s="6" t="n">
        <v>141795</v>
      </c>
      <c r="Q5" s="6">
        <f>AVERAGE(N5:P5)</f>
        <v/>
      </c>
      <c r="R5" t="n">
        <v>3</v>
      </c>
      <c r="S5" t="n">
        <v>1</v>
      </c>
      <c r="T5" s="7">
        <f>365*R5*Q5*S5/1000000</f>
        <v/>
      </c>
      <c r="U5" s="8">
        <f>I5/T5</f>
        <v/>
      </c>
      <c r="V5" s="8">
        <f>SUMIF($E$2:$E$599,E5,$I$2:$I$599)/SUMIF($E$2:$E$599,E5,$T$2:$T$599)</f>
        <v/>
      </c>
      <c r="W5" s="8">
        <f>V5+1.645*SQRT(V5/T5)+1/(2*T5)</f>
        <v/>
      </c>
      <c r="X5" s="5">
        <f>U5/W5</f>
        <v/>
      </c>
      <c r="Y5">
        <f>IF(U5&gt;W5,"high",IF(U5&gt;V5,"medium","low"))</f>
        <v/>
      </c>
      <c r="Z5">
        <f>CHOOSE(MAX(IF(M5="high",2,IF(M5="medium",1,0)),IF(Y5="high",2,IF(Y5="medium",1,0)))+1,"low","medium","high")</f>
        <v/>
      </c>
      <c r="AA5">
        <f>IF(IF(M5="high",2,IF(M5="medium",1,0))=IF(Y5="high",2,IF(Y5="medium",1,0)),"SI และ Rate เท่ากัน",IF(IF(M5="high",2,IF(M5="medium",1,0))&gt;IF(Y5="high",2,IF(Y5="medium",1,0)),"SI","Rate"))</f>
        <v/>
      </c>
    </row>
    <row r="6">
      <c r="A6" t="inlineStr">
        <is>
          <t>zone_82</t>
        </is>
      </c>
      <c r="B6" t="inlineStr">
        <is>
          <t>แขวงรามอินทรา - บางพลี</t>
        </is>
      </c>
      <c r="C6" t="inlineStr">
        <is>
          <t>กรุงเทพมหานคร</t>
        </is>
      </c>
      <c r="D6" t="inlineStr">
        <is>
          <t>9</t>
        </is>
      </c>
      <c r="E6" t="inlineStr">
        <is>
          <t>ทล.</t>
        </is>
      </c>
      <c r="F6" t="inlineStr">
        <is>
          <t>44.3–49.3</t>
        </is>
      </c>
      <c r="G6" t="inlineStr">
        <is>
          <t>station_id 348 (ทล.9 กม.59+500)</t>
        </is>
      </c>
      <c r="H6" t="inlineStr">
        <is>
          <t>ทล. สถานีตัวแทนตอนควบคุม</t>
        </is>
      </c>
      <c r="I6" t="n">
        <v>191</v>
      </c>
      <c r="J6" t="n">
        <v>1</v>
      </c>
      <c r="K6" t="n">
        <v>145</v>
      </c>
      <c r="L6" s="5" t="n">
        <v>0.7644</v>
      </c>
      <c r="M6" t="inlineStr">
        <is>
          <t>low</t>
        </is>
      </c>
      <c r="N6" s="6" t="n">
        <v>110915</v>
      </c>
      <c r="O6" s="6" t="n">
        <v>117953</v>
      </c>
      <c r="P6" s="6" t="n">
        <v>117813</v>
      </c>
      <c r="Q6" s="6">
        <f>AVERAGE(N6:P6)</f>
        <v/>
      </c>
      <c r="R6" t="n">
        <v>3</v>
      </c>
      <c r="S6" t="n">
        <v>1</v>
      </c>
      <c r="T6" s="7">
        <f>365*R6*Q6*S6/1000000</f>
        <v/>
      </c>
      <c r="U6" s="8">
        <f>I6/T6</f>
        <v/>
      </c>
      <c r="V6" s="8">
        <f>SUMIF($E$2:$E$599,E6,$I$2:$I$599)/SUMIF($E$2:$E$599,E6,$T$2:$T$599)</f>
        <v/>
      </c>
      <c r="W6" s="8">
        <f>V6+1.645*SQRT(V6/T6)+1/(2*T6)</f>
        <v/>
      </c>
      <c r="X6" s="5">
        <f>U6/W6</f>
        <v/>
      </c>
      <c r="Y6">
        <f>IF(U6&gt;W6,"high",IF(U6&gt;V6,"medium","low"))</f>
        <v/>
      </c>
      <c r="Z6">
        <f>CHOOSE(MAX(IF(M6="high",2,IF(M6="medium",1,0)),IF(Y6="high",2,IF(Y6="medium",1,0)))+1,"low","medium","high")</f>
        <v/>
      </c>
      <c r="AA6">
        <f>IF(IF(M6="high",2,IF(M6="medium",1,0))=IF(Y6="high",2,IF(Y6="medium",1,0)),"SI และ Rate เท่ากัน",IF(IF(M6="high",2,IF(M6="medium",1,0))&gt;IF(Y6="high",2,IF(Y6="medium",1,0)),"SI","Rate"))</f>
        <v/>
      </c>
    </row>
    <row r="7">
      <c r="A7" t="inlineStr">
        <is>
          <t>zone_89</t>
        </is>
      </c>
      <c r="B7" t="inlineStr">
        <is>
          <t>แขวงคลองสองต้นนุ่น - พิมพา</t>
        </is>
      </c>
      <c r="C7" t="inlineStr">
        <is>
          <t>กรุงเทพมหานคร</t>
        </is>
      </c>
      <c r="D7" t="inlineStr">
        <is>
          <t>7</t>
        </is>
      </c>
      <c r="E7" t="inlineStr">
        <is>
          <t>ทล.</t>
        </is>
      </c>
      <c r="F7" t="inlineStr">
        <is>
          <t>6.7–54.3</t>
        </is>
      </c>
      <c r="G7" t="inlineStr">
        <is>
          <t>station_id 345 (ทล.7 กม.17+000)</t>
        </is>
      </c>
      <c r="H7" t="inlineStr">
        <is>
          <t>ทล. สถานีตัวแทนตอนควบคุม</t>
        </is>
      </c>
      <c r="I7" t="n">
        <v>360</v>
      </c>
      <c r="J7" t="n">
        <v>1</v>
      </c>
      <c r="K7" t="n">
        <v>115</v>
      </c>
      <c r="L7" s="5" t="n">
        <v>0.3222</v>
      </c>
      <c r="M7" t="inlineStr">
        <is>
          <t>low</t>
        </is>
      </c>
      <c r="N7" s="6" t="n">
        <v>220901</v>
      </c>
      <c r="O7" s="6" t="n">
        <v>242192</v>
      </c>
      <c r="P7" s="6" t="n">
        <v>262343</v>
      </c>
      <c r="Q7" s="6">
        <f>AVERAGE(N7:P7)</f>
        <v/>
      </c>
      <c r="R7" t="n">
        <v>3</v>
      </c>
      <c r="S7" t="n">
        <v>1</v>
      </c>
      <c r="T7" s="7">
        <f>365*R7*Q7*S7/1000000</f>
        <v/>
      </c>
      <c r="U7" s="8">
        <f>I7/T7</f>
        <v/>
      </c>
      <c r="V7" s="8">
        <f>SUMIF($E$2:$E$599,E7,$I$2:$I$599)/SUMIF($E$2:$E$599,E7,$T$2:$T$599)</f>
        <v/>
      </c>
      <c r="W7" s="8">
        <f>V7+1.645*SQRT(V7/T7)+1/(2*T7)</f>
        <v/>
      </c>
      <c r="X7" s="5">
        <f>U7/W7</f>
        <v/>
      </c>
      <c r="Y7">
        <f>IF(U7&gt;W7,"high",IF(U7&gt;V7,"medium","low"))</f>
        <v/>
      </c>
      <c r="Z7">
        <f>CHOOSE(MAX(IF(M7="high",2,IF(M7="medium",1,0)),IF(Y7="high",2,IF(Y7="medium",1,0)))+1,"low","medium","high")</f>
        <v/>
      </c>
      <c r="AA7">
        <f>IF(IF(M7="high",2,IF(M7="medium",1,0))=IF(Y7="high",2,IF(Y7="medium",1,0)),"SI และ Rate เท่ากัน",IF(IF(M7="high",2,IF(M7="medium",1,0))&gt;IF(Y7="high",2,IF(Y7="medium",1,0)),"SI","Rate"))</f>
        <v/>
      </c>
    </row>
    <row r="8">
      <c r="A8" t="inlineStr">
        <is>
          <t>zone_22</t>
        </is>
      </c>
      <c r="B8" t="inlineStr">
        <is>
          <t>อรุณอมรินทร์ - พุทธมณฑลสาย4</t>
        </is>
      </c>
      <c r="C8" t="inlineStr">
        <is>
          <t>กรุงเทพมหานคร</t>
        </is>
      </c>
      <c r="D8" t="inlineStr">
        <is>
          <t>338</t>
        </is>
      </c>
      <c r="E8" t="inlineStr">
        <is>
          <t>ทล.</t>
        </is>
      </c>
      <c r="F8" t="inlineStr">
        <is>
          <t>0.005–13</t>
        </is>
      </c>
      <c r="G8" t="inlineStr">
        <is>
          <t>station_id 125 (ทล.338 กม.9+281)</t>
        </is>
      </c>
      <c r="H8" t="inlineStr">
        <is>
          <t>ทล. สถานีตัวแทนตอนควบคุม</t>
        </is>
      </c>
      <c r="I8" t="n">
        <v>227</v>
      </c>
      <c r="J8" t="n">
        <v>1</v>
      </c>
      <c r="K8" t="n">
        <v>139</v>
      </c>
      <c r="L8" s="5" t="n">
        <v>0.6167</v>
      </c>
      <c r="M8" t="inlineStr">
        <is>
          <t>low</t>
        </is>
      </c>
      <c r="N8" s="6" t="n">
        <v>143761</v>
      </c>
      <c r="O8" s="6" t="n">
        <v>146988</v>
      </c>
      <c r="P8" s="6" t="n">
        <v>145895</v>
      </c>
      <c r="Q8" s="6">
        <f>AVERAGE(N8:P8)</f>
        <v/>
      </c>
      <c r="R8" t="n">
        <v>3</v>
      </c>
      <c r="S8" t="n">
        <v>1</v>
      </c>
      <c r="T8" s="7">
        <f>365*R8*Q8*S8/1000000</f>
        <v/>
      </c>
      <c r="U8" s="8">
        <f>I8/T8</f>
        <v/>
      </c>
      <c r="V8" s="8">
        <f>SUMIF($E$2:$E$599,E8,$I$2:$I$599)/SUMIF($E$2:$E$599,E8,$T$2:$T$599)</f>
        <v/>
      </c>
      <c r="W8" s="8">
        <f>V8+1.645*SQRT(V8/T8)+1/(2*T8)</f>
        <v/>
      </c>
      <c r="X8" s="5">
        <f>U8/W8</f>
        <v/>
      </c>
      <c r="Y8">
        <f>IF(U8&gt;W8,"high",IF(U8&gt;V8,"medium","low"))</f>
        <v/>
      </c>
      <c r="Z8">
        <f>CHOOSE(MAX(IF(M8="high",2,IF(M8="medium",1,0)),IF(Y8="high",2,IF(Y8="medium",1,0)))+1,"low","medium","high")</f>
        <v/>
      </c>
      <c r="AA8">
        <f>IF(IF(M8="high",2,IF(M8="medium",1,0))=IF(Y8="high",2,IF(Y8="medium",1,0)),"SI และ Rate เท่ากัน",IF(IF(M8="high",2,IF(M8="medium",1,0))&gt;IF(Y8="high",2,IF(Y8="medium",1,0)),"SI","Rate"))</f>
        <v/>
      </c>
    </row>
    <row r="9">
      <c r="A9" t="inlineStr">
        <is>
          <t>zone_569</t>
        </is>
      </c>
      <c r="B9" t="inlineStr">
        <is>
          <t>สะพานข้ามแม่น้ำท่าจีนฝั่งตะวันตก - นาโคก</t>
        </is>
      </c>
      <c r="C9" t="inlineStr">
        <is>
          <t>สมุทรสาคร</t>
        </is>
      </c>
      <c r="D9" t="inlineStr">
        <is>
          <t>35</t>
        </is>
      </c>
      <c r="E9" t="inlineStr">
        <is>
          <t>ทล.</t>
        </is>
      </c>
      <c r="F9" t="inlineStr">
        <is>
          <t>31.9–37.5</t>
        </is>
      </c>
      <c r="G9" t="inlineStr">
        <is>
          <t>station_id 59 (ทล.35 กม.30+700)</t>
        </is>
      </c>
      <c r="H9" t="inlineStr">
        <is>
          <t>ทล. สถานีตัวแทนตอนควบคุม</t>
        </is>
      </c>
      <c r="I9" t="n">
        <v>223</v>
      </c>
      <c r="J9" t="n">
        <v>3</v>
      </c>
      <c r="K9" t="n">
        <v>58</v>
      </c>
      <c r="L9" s="5" t="n">
        <v>0.2735</v>
      </c>
      <c r="M9" t="inlineStr">
        <is>
          <t>low</t>
        </is>
      </c>
      <c r="N9" s="6" t="n">
        <v>134343</v>
      </c>
      <c r="O9" s="6" t="n">
        <v>149180</v>
      </c>
      <c r="P9" s="6" t="n">
        <v>149785</v>
      </c>
      <c r="Q9" s="6">
        <f>AVERAGE(N9:P9)</f>
        <v/>
      </c>
      <c r="R9" t="n">
        <v>3</v>
      </c>
      <c r="S9" t="n">
        <v>1</v>
      </c>
      <c r="T9" s="7">
        <f>365*R9*Q9*S9/1000000</f>
        <v/>
      </c>
      <c r="U9" s="8">
        <f>I9/T9</f>
        <v/>
      </c>
      <c r="V9" s="8">
        <f>SUMIF($E$2:$E$599,E9,$I$2:$I$599)/SUMIF($E$2:$E$599,E9,$T$2:$T$599)</f>
        <v/>
      </c>
      <c r="W9" s="8">
        <f>V9+1.645*SQRT(V9/T9)+1/(2*T9)</f>
        <v/>
      </c>
      <c r="X9" s="5">
        <f>U9/W9</f>
        <v/>
      </c>
      <c r="Y9">
        <f>IF(U9&gt;W9,"high",IF(U9&gt;V9,"medium","low"))</f>
        <v/>
      </c>
      <c r="Z9">
        <f>CHOOSE(MAX(IF(M9="high",2,IF(M9="medium",1,0)),IF(Y9="high",2,IF(Y9="medium",1,0)))+1,"low","medium","high")</f>
        <v/>
      </c>
      <c r="AA9">
        <f>IF(IF(M9="high",2,IF(M9="medium",1,0))=IF(Y9="high",2,IF(Y9="medium",1,0)),"SI และ Rate เท่ากัน",IF(IF(M9="high",2,IF(M9="medium",1,0))&gt;IF(Y9="high",2,IF(Y9="medium",1,0)),"SI","Rate"))</f>
        <v/>
      </c>
    </row>
    <row r="10">
      <c r="A10" t="inlineStr">
        <is>
          <t>zone_5</t>
        </is>
      </c>
      <c r="B10" t="inlineStr">
        <is>
          <t>อรุณอมรินทร์ - พุทธมณฑลสาย 4</t>
        </is>
      </c>
      <c r="C10" t="inlineStr">
        <is>
          <t>กรุงเทพมหานคร</t>
        </is>
      </c>
      <c r="D10" t="inlineStr">
        <is>
          <t>338</t>
        </is>
      </c>
      <c r="E10" t="inlineStr">
        <is>
          <t>ทล.</t>
        </is>
      </c>
      <c r="F10" t="inlineStr">
        <is>
          <t>4.18–8.377</t>
        </is>
      </c>
      <c r="G10" t="inlineStr">
        <is>
          <t>station_id 126 (ทล.338 กม.2+164)</t>
        </is>
      </c>
      <c r="H10" t="inlineStr">
        <is>
          <t>ทล. สถานีตัวแทนตอนควบคุม</t>
        </is>
      </c>
      <c r="I10" t="n">
        <v>114</v>
      </c>
      <c r="J10" t="n">
        <v>3</v>
      </c>
      <c r="K10" t="n">
        <v>77</v>
      </c>
      <c r="L10" s="5" t="n">
        <v>0.7018</v>
      </c>
      <c r="M10" t="inlineStr">
        <is>
          <t>low</t>
        </is>
      </c>
      <c r="N10" s="6" t="n">
        <v>68592</v>
      </c>
      <c r="O10" s="6" t="n">
        <v>70016</v>
      </c>
      <c r="P10" s="6" t="n">
        <v>69899</v>
      </c>
      <c r="Q10" s="6">
        <f>AVERAGE(N10:P10)</f>
        <v/>
      </c>
      <c r="R10" t="n">
        <v>3</v>
      </c>
      <c r="S10" t="n">
        <v>1</v>
      </c>
      <c r="T10" s="7">
        <f>365*R10*Q10*S10/1000000</f>
        <v/>
      </c>
      <c r="U10" s="8">
        <f>I10/T10</f>
        <v/>
      </c>
      <c r="V10" s="8">
        <f>SUMIF($E$2:$E$599,E10,$I$2:$I$599)/SUMIF($E$2:$E$599,E10,$T$2:$T$599)</f>
        <v/>
      </c>
      <c r="W10" s="8">
        <f>V10+1.645*SQRT(V10/T10)+1/(2*T10)</f>
        <v/>
      </c>
      <c r="X10" s="5">
        <f>U10/W10</f>
        <v/>
      </c>
      <c r="Y10">
        <f>IF(U10&gt;W10,"high",IF(U10&gt;V10,"medium","low"))</f>
        <v/>
      </c>
      <c r="Z10">
        <f>CHOOSE(MAX(IF(M10="high",2,IF(M10="medium",1,0)),IF(Y10="high",2,IF(Y10="medium",1,0)))+1,"low","medium","high")</f>
        <v/>
      </c>
      <c r="AA10">
        <f>IF(IF(M10="high",2,IF(M10="medium",1,0))=IF(Y10="high",2,IF(Y10="medium",1,0)),"SI และ Rate เท่ากัน",IF(IF(M10="high",2,IF(M10="medium",1,0))&gt;IF(Y10="high",2,IF(Y10="medium",1,0)),"SI","Rate"))</f>
        <v/>
      </c>
    </row>
    <row r="11">
      <c r="A11" t="inlineStr">
        <is>
          <t>zone_460</t>
        </is>
      </c>
      <c r="B11" t="inlineStr">
        <is>
          <t>แขวงคลองสองต้นนุ่น - พิมพา</t>
        </is>
      </c>
      <c r="C11" t="inlineStr">
        <is>
          <t>สมุทรปราการ</t>
        </is>
      </c>
      <c r="D11" t="inlineStr">
        <is>
          <t>7</t>
        </is>
      </c>
      <c r="E11" t="inlineStr">
        <is>
          <t>ทล.</t>
        </is>
      </c>
      <c r="F11" t="inlineStr">
        <is>
          <t>25.4–31.1</t>
        </is>
      </c>
      <c r="G11" t="inlineStr">
        <is>
          <t>station_id 345 (ทล.7 กม.17+000)</t>
        </is>
      </c>
      <c r="H11" t="inlineStr">
        <is>
          <t>ทล. สถานีตัวแทนตอนควบคุม</t>
        </is>
      </c>
      <c r="I11" t="n">
        <v>317</v>
      </c>
      <c r="J11" t="n">
        <v>1</v>
      </c>
      <c r="K11" t="n">
        <v>42</v>
      </c>
      <c r="L11" s="5" t="n">
        <v>0.1356</v>
      </c>
      <c r="M11" t="inlineStr">
        <is>
          <t>low</t>
        </is>
      </c>
      <c r="N11" s="6" t="n">
        <v>220901</v>
      </c>
      <c r="O11" s="6" t="n">
        <v>242192</v>
      </c>
      <c r="P11" s="6" t="n">
        <v>262343</v>
      </c>
      <c r="Q11" s="6">
        <f>AVERAGE(N11:P11)</f>
        <v/>
      </c>
      <c r="R11" t="n">
        <v>3</v>
      </c>
      <c r="S11" t="n">
        <v>1</v>
      </c>
      <c r="T11" s="7">
        <f>365*R11*Q11*S11/1000000</f>
        <v/>
      </c>
      <c r="U11" s="8">
        <f>I11/T11</f>
        <v/>
      </c>
      <c r="V11" s="8">
        <f>SUMIF($E$2:$E$599,E11,$I$2:$I$599)/SUMIF($E$2:$E$599,E11,$T$2:$T$599)</f>
        <v/>
      </c>
      <c r="W11" s="8">
        <f>V11+1.645*SQRT(V11/T11)+1/(2*T11)</f>
        <v/>
      </c>
      <c r="X11" s="5">
        <f>U11/W11</f>
        <v/>
      </c>
      <c r="Y11">
        <f>IF(U11&gt;W11,"high",IF(U11&gt;V11,"medium","low"))</f>
        <v/>
      </c>
      <c r="Z11">
        <f>CHOOSE(MAX(IF(M11="high",2,IF(M11="medium",1,0)),IF(Y11="high",2,IF(Y11="medium",1,0)))+1,"low","medium","high")</f>
        <v/>
      </c>
      <c r="AA11">
        <f>IF(IF(M11="high",2,IF(M11="medium",1,0))=IF(Y11="high",2,IF(Y11="medium",1,0)),"SI และ Rate เท่ากัน",IF(IF(M11="high",2,IF(M11="medium",1,0))&gt;IF(Y11="high",2,IF(Y11="medium",1,0)),"SI","Rate"))</f>
        <v/>
      </c>
    </row>
    <row r="12">
      <c r="A12" t="inlineStr">
        <is>
          <t>zone_83</t>
        </is>
      </c>
      <c r="B12" t="inlineStr">
        <is>
          <t>แขวงรามอินทรา - บางพลี</t>
        </is>
      </c>
      <c r="C12" t="inlineStr">
        <is>
          <t>กรุงเทพมหานคร</t>
        </is>
      </c>
      <c r="D12" t="inlineStr">
        <is>
          <t>9</t>
        </is>
      </c>
      <c r="E12" t="inlineStr">
        <is>
          <t>ทล.</t>
        </is>
      </c>
      <c r="F12" t="inlineStr">
        <is>
          <t>52.8–56.6</t>
        </is>
      </c>
      <c r="G12" t="inlineStr">
        <is>
          <t>station_id 348 (ทล.9 กม.59+500)</t>
        </is>
      </c>
      <c r="H12" t="inlineStr">
        <is>
          <t>ทล. สถานีตัวแทนตอนควบคุม</t>
        </is>
      </c>
      <c r="I12" t="n">
        <v>154</v>
      </c>
      <c r="J12" t="n">
        <v>2</v>
      </c>
      <c r="K12" t="n">
        <v>81</v>
      </c>
      <c r="L12" s="5" t="n">
        <v>0.539</v>
      </c>
      <c r="M12" t="inlineStr">
        <is>
          <t>low</t>
        </is>
      </c>
      <c r="N12" s="6" t="n">
        <v>110915</v>
      </c>
      <c r="O12" s="6" t="n">
        <v>117953</v>
      </c>
      <c r="P12" s="6" t="n">
        <v>117813</v>
      </c>
      <c r="Q12" s="6">
        <f>AVERAGE(N12:P12)</f>
        <v/>
      </c>
      <c r="R12" t="n">
        <v>3</v>
      </c>
      <c r="S12" t="n">
        <v>1</v>
      </c>
      <c r="T12" s="7">
        <f>365*R12*Q12*S12/1000000</f>
        <v/>
      </c>
      <c r="U12" s="8">
        <f>I12/T12</f>
        <v/>
      </c>
      <c r="V12" s="8">
        <f>SUMIF($E$2:$E$599,E12,$I$2:$I$599)/SUMIF($E$2:$E$599,E12,$T$2:$T$599)</f>
        <v/>
      </c>
      <c r="W12" s="8">
        <f>V12+1.645*SQRT(V12/T12)+1/(2*T12)</f>
        <v/>
      </c>
      <c r="X12" s="5">
        <f>U12/W12</f>
        <v/>
      </c>
      <c r="Y12">
        <f>IF(U12&gt;W12,"high",IF(U12&gt;V12,"medium","low"))</f>
        <v/>
      </c>
      <c r="Z12">
        <f>CHOOSE(MAX(IF(M12="high",2,IF(M12="medium",1,0)),IF(Y12="high",2,IF(Y12="medium",1,0)))+1,"low","medium","high")</f>
        <v/>
      </c>
      <c r="AA12">
        <f>IF(IF(M12="high",2,IF(M12="medium",1,0))=IF(Y12="high",2,IF(Y12="medium",1,0)),"SI และ Rate เท่ากัน",IF(IF(M12="high",2,IF(M12="medium",1,0))&gt;IF(Y12="high",2,IF(Y12="medium",1,0)),"SI","Rate"))</f>
        <v/>
      </c>
    </row>
    <row r="13">
      <c r="A13" t="inlineStr">
        <is>
          <t>zone_46</t>
        </is>
      </c>
      <c r="B13" t="inlineStr">
        <is>
          <t>ดาวคะนอง - แสมดำ</t>
        </is>
      </c>
      <c r="C13" t="inlineStr">
        <is>
          <t>กรุงเทพมหานคร</t>
        </is>
      </c>
      <c r="D13" t="inlineStr">
        <is>
          <t>35</t>
        </is>
      </c>
      <c r="E13" t="inlineStr">
        <is>
          <t>ทล.</t>
        </is>
      </c>
      <c r="F13" t="inlineStr">
        <is>
          <t>4.6–12.5</t>
        </is>
      </c>
      <c r="G13" t="inlineStr">
        <is>
          <t>station_id 127 (ทล.35 กม.6+500)</t>
        </is>
      </c>
      <c r="H13" t="inlineStr">
        <is>
          <t>ทล. สถานีตัวแทนตอนควบคุม</t>
        </is>
      </c>
      <c r="I13" t="n">
        <v>253</v>
      </c>
      <c r="J13" t="n">
        <v>8</v>
      </c>
      <c r="K13" t="n">
        <v>139</v>
      </c>
      <c r="L13" s="5" t="n">
        <v>0.581</v>
      </c>
      <c r="M13" t="inlineStr">
        <is>
          <t>low</t>
        </is>
      </c>
      <c r="N13" s="6" t="n">
        <v>256167</v>
      </c>
      <c r="O13" s="6" t="n">
        <v>260090</v>
      </c>
      <c r="P13" s="6" t="n">
        <v>259277</v>
      </c>
      <c r="Q13" s="6">
        <f>AVERAGE(N13:P13)</f>
        <v/>
      </c>
      <c r="R13" t="n">
        <v>3</v>
      </c>
      <c r="S13" t="n">
        <v>1</v>
      </c>
      <c r="T13" s="7">
        <f>365*R13*Q13*S13/1000000</f>
        <v/>
      </c>
      <c r="U13" s="8">
        <f>I13/T13</f>
        <v/>
      </c>
      <c r="V13" s="8">
        <f>SUMIF($E$2:$E$599,E13,$I$2:$I$599)/SUMIF($E$2:$E$599,E13,$T$2:$T$599)</f>
        <v/>
      </c>
      <c r="W13" s="8">
        <f>V13+1.645*SQRT(V13/T13)+1/(2*T13)</f>
        <v/>
      </c>
      <c r="X13" s="5">
        <f>U13/W13</f>
        <v/>
      </c>
      <c r="Y13">
        <f>IF(U13&gt;W13,"high",IF(U13&gt;V13,"medium","low"))</f>
        <v/>
      </c>
      <c r="Z13">
        <f>CHOOSE(MAX(IF(M13="high",2,IF(M13="medium",1,0)),IF(Y13="high",2,IF(Y13="medium",1,0)))+1,"low","medium","high")</f>
        <v/>
      </c>
      <c r="AA13">
        <f>IF(IF(M13="high",2,IF(M13="medium",1,0))=IF(Y13="high",2,IF(Y13="medium",1,0)),"SI และ Rate เท่ากัน",IF(IF(M13="high",2,IF(M13="medium",1,0))&gt;IF(Y13="high",2,IF(Y13="medium",1,0)),"SI","Rate"))</f>
        <v/>
      </c>
    </row>
    <row r="14">
      <c r="A14" t="inlineStr">
        <is>
          <t>zone_108</t>
        </is>
      </c>
      <c r="B14" t="inlineStr">
        <is>
          <t>บางปะอิน - แขวงรามอินทรา</t>
        </is>
      </c>
      <c r="C14" t="inlineStr">
        <is>
          <t>ปทุมธานี</t>
        </is>
      </c>
      <c r="D14" t="inlineStr">
        <is>
          <t>9</t>
        </is>
      </c>
      <c r="E14" t="inlineStr">
        <is>
          <t>ทล.</t>
        </is>
      </c>
      <c r="F14" t="inlineStr">
        <is>
          <t>27–32.8</t>
        </is>
      </c>
      <c r="G14" t="inlineStr">
        <is>
          <t>station_id 347 (ทล.9 กม.1+500)</t>
        </is>
      </c>
      <c r="H14" t="inlineStr">
        <is>
          <t>ทล. สถานีตัวแทนตอนควบคุม</t>
        </is>
      </c>
      <c r="I14" t="n">
        <v>160</v>
      </c>
      <c r="J14" t="n">
        <v>3</v>
      </c>
      <c r="K14" t="n">
        <v>95</v>
      </c>
      <c r="L14" s="5" t="n">
        <v>0.6125</v>
      </c>
      <c r="M14" t="inlineStr">
        <is>
          <t>low</t>
        </is>
      </c>
      <c r="N14" s="6" t="n">
        <v>146870</v>
      </c>
      <c r="O14" s="6" t="n">
        <v>165212</v>
      </c>
      <c r="P14" s="6" t="n">
        <v>160792</v>
      </c>
      <c r="Q14" s="6">
        <f>AVERAGE(N14:P14)</f>
        <v/>
      </c>
      <c r="R14" t="n">
        <v>3</v>
      </c>
      <c r="S14" t="n">
        <v>1</v>
      </c>
      <c r="T14" s="7">
        <f>365*R14*Q14*S14/1000000</f>
        <v/>
      </c>
      <c r="U14" s="8">
        <f>I14/T14</f>
        <v/>
      </c>
      <c r="V14" s="8">
        <f>SUMIF($E$2:$E$599,E14,$I$2:$I$599)/SUMIF($E$2:$E$599,E14,$T$2:$T$599)</f>
        <v/>
      </c>
      <c r="W14" s="8">
        <f>V14+1.645*SQRT(V14/T14)+1/(2*T14)</f>
        <v/>
      </c>
      <c r="X14" s="5">
        <f>U14/W14</f>
        <v/>
      </c>
      <c r="Y14">
        <f>IF(U14&gt;W14,"high",IF(U14&gt;V14,"medium","low"))</f>
        <v/>
      </c>
      <c r="Z14">
        <f>CHOOSE(MAX(IF(M14="high",2,IF(M14="medium",1,0)),IF(Y14="high",2,IF(Y14="medium",1,0)))+1,"low","medium","high")</f>
        <v/>
      </c>
      <c r="AA14">
        <f>IF(IF(M14="high",2,IF(M14="medium",1,0))=IF(Y14="high",2,IF(Y14="medium",1,0)),"SI และ Rate เท่ากัน",IF(IF(M14="high",2,IF(M14="medium",1,0))&gt;IF(Y14="high",2,IF(Y14="medium",1,0)),"SI","Rate"))</f>
        <v/>
      </c>
    </row>
    <row r="15">
      <c r="A15" t="inlineStr">
        <is>
          <t>zone_17</t>
        </is>
      </c>
      <c r="B15" t="inlineStr">
        <is>
          <t>อรุณอมรินทร์ - พุทธมณฑลสาย 4</t>
        </is>
      </c>
      <c r="C15" t="inlineStr">
        <is>
          <t>กรุงเทพมหานคร</t>
        </is>
      </c>
      <c r="D15" t="inlineStr">
        <is>
          <t>338</t>
        </is>
      </c>
      <c r="E15" t="inlineStr">
        <is>
          <t>ทล.</t>
        </is>
      </c>
      <c r="F15" t="inlineStr">
        <is>
          <t>7.038–8.4</t>
        </is>
      </c>
      <c r="G15" t="inlineStr">
        <is>
          <t>station_id 126 (ทล.338 กม.2+164)</t>
        </is>
      </c>
      <c r="H15" t="inlineStr">
        <is>
          <t>ทล. สถานีตัวแทนตอนควบคุม</t>
        </is>
      </c>
      <c r="I15" t="n">
        <v>72</v>
      </c>
      <c r="J15" t="n">
        <v>0</v>
      </c>
      <c r="K15" t="n">
        <v>40</v>
      </c>
      <c r="L15" s="5" t="n">
        <v>0.5556</v>
      </c>
      <c r="M15" t="inlineStr">
        <is>
          <t>low</t>
        </is>
      </c>
      <c r="N15" s="6" t="n">
        <v>68592</v>
      </c>
      <c r="O15" s="6" t="n">
        <v>70016</v>
      </c>
      <c r="P15" s="6" t="n">
        <v>69899</v>
      </c>
      <c r="Q15" s="6">
        <f>AVERAGE(N15:P15)</f>
        <v/>
      </c>
      <c r="R15" t="n">
        <v>3</v>
      </c>
      <c r="S15" t="n">
        <v>1</v>
      </c>
      <c r="T15" s="7">
        <f>365*R15*Q15*S15/1000000</f>
        <v/>
      </c>
      <c r="U15" s="8">
        <f>I15/T15</f>
        <v/>
      </c>
      <c r="V15" s="8">
        <f>SUMIF($E$2:$E$599,E15,$I$2:$I$599)/SUMIF($E$2:$E$599,E15,$T$2:$T$599)</f>
        <v/>
      </c>
      <c r="W15" s="8">
        <f>V15+1.645*SQRT(V15/T15)+1/(2*T15)</f>
        <v/>
      </c>
      <c r="X15" s="5">
        <f>U15/W15</f>
        <v/>
      </c>
      <c r="Y15">
        <f>IF(U15&gt;W15,"high",IF(U15&gt;V15,"medium","low"))</f>
        <v/>
      </c>
      <c r="Z15">
        <f>CHOOSE(MAX(IF(M15="high",2,IF(M15="medium",1,0)),IF(Y15="high",2,IF(Y15="medium",1,0)))+1,"low","medium","high")</f>
        <v/>
      </c>
      <c r="AA15">
        <f>IF(IF(M15="high",2,IF(M15="medium",1,0))=IF(Y15="high",2,IF(Y15="medium",1,0)),"SI และ Rate เท่ากัน",IF(IF(M15="high",2,IF(M15="medium",1,0))&gt;IF(Y15="high",2,IF(Y15="medium",1,0)),"SI","Rate"))</f>
        <v/>
      </c>
    </row>
    <row r="16">
      <c r="A16" t="inlineStr">
        <is>
          <t>zone_134</t>
        </is>
      </c>
      <c r="B16" t="inlineStr">
        <is>
          <t>บางแค - คลองมหาสวัสดิ์</t>
        </is>
      </c>
      <c r="C16" t="inlineStr">
        <is>
          <t>กรุงเทพมหานคร</t>
        </is>
      </c>
      <c r="D16" t="inlineStr">
        <is>
          <t>3902</t>
        </is>
      </c>
      <c r="E16" t="inlineStr">
        <is>
          <t>ทล.</t>
        </is>
      </c>
      <c r="F16" t="inlineStr">
        <is>
          <t>19.972–20.7</t>
        </is>
      </c>
      <c r="G16" t="inlineStr">
        <is>
          <t>station_id 130 (ทล.3902 กม.20+430)</t>
        </is>
      </c>
      <c r="H16" t="inlineStr">
        <is>
          <t>ทล. สถานีตัวแทนตอนควบคุม</t>
        </is>
      </c>
      <c r="I16" t="n">
        <v>37</v>
      </c>
      <c r="J16" t="n">
        <v>0</v>
      </c>
      <c r="K16" t="n">
        <v>29</v>
      </c>
      <c r="L16" s="5" t="n">
        <v>0.7838000000000001</v>
      </c>
      <c r="M16" t="inlineStr">
        <is>
          <t>low</t>
        </is>
      </c>
      <c r="N16" s="6" t="n">
        <v>27004</v>
      </c>
      <c r="O16" s="6" t="n">
        <v>33591</v>
      </c>
      <c r="P16" s="6" t="n">
        <v>38106</v>
      </c>
      <c r="Q16" s="6">
        <f>AVERAGE(N16:P16)</f>
        <v/>
      </c>
      <c r="R16" t="n">
        <v>3</v>
      </c>
      <c r="S16" t="n">
        <v>1</v>
      </c>
      <c r="T16" s="7">
        <f>365*R16*Q16*S16/1000000</f>
        <v/>
      </c>
      <c r="U16" s="8">
        <f>I16/T16</f>
        <v/>
      </c>
      <c r="V16" s="8">
        <f>SUMIF($E$2:$E$599,E16,$I$2:$I$599)/SUMIF($E$2:$E$599,E16,$T$2:$T$599)</f>
        <v/>
      </c>
      <c r="W16" s="8">
        <f>V16+1.645*SQRT(V16/T16)+1/(2*T16)</f>
        <v/>
      </c>
      <c r="X16" s="5">
        <f>U16/W16</f>
        <v/>
      </c>
      <c r="Y16">
        <f>IF(U16&gt;W16,"high",IF(U16&gt;V16,"medium","low"))</f>
        <v/>
      </c>
      <c r="Z16">
        <f>CHOOSE(MAX(IF(M16="high",2,IF(M16="medium",1,0)),IF(Y16="high",2,IF(Y16="medium",1,0)))+1,"low","medium","high")</f>
        <v/>
      </c>
      <c r="AA16">
        <f>IF(IF(M16="high",2,IF(M16="medium",1,0))=IF(Y16="high",2,IF(Y16="medium",1,0)),"SI และ Rate เท่ากัน",IF(IF(M16="high",2,IF(M16="medium",1,0))&gt;IF(Y16="high",2,IF(Y16="medium",1,0)),"SI","Rate"))</f>
        <v/>
      </c>
    </row>
    <row r="17">
      <c r="A17" t="inlineStr">
        <is>
          <t>zone_289</t>
        </is>
      </c>
      <c r="B17" t="inlineStr">
        <is>
          <t>พระประแดง - บางแค</t>
        </is>
      </c>
      <c r="C17" t="inlineStr">
        <is>
          <t>กรุงเทพมหานคร</t>
        </is>
      </c>
      <c r="D17" t="inlineStr">
        <is>
          <t>3902</t>
        </is>
      </c>
      <c r="E17" t="inlineStr">
        <is>
          <t>ทล.</t>
        </is>
      </c>
      <c r="F17" t="inlineStr">
        <is>
          <t>3.2–4.678</t>
        </is>
      </c>
      <c r="G17" t="inlineStr">
        <is>
          <t>station_id 130 (ทล.3902 กม.20+430)</t>
        </is>
      </c>
      <c r="H17" t="inlineStr">
        <is>
          <t>ทล. สถานีตัวแทนตอนควบคุม</t>
        </is>
      </c>
      <c r="I17" t="n">
        <v>34</v>
      </c>
      <c r="J17" t="n">
        <v>2</v>
      </c>
      <c r="K17" t="n">
        <v>50</v>
      </c>
      <c r="L17" s="5" t="n">
        <v>1.5294</v>
      </c>
      <c r="M17" t="inlineStr">
        <is>
          <t>medium</t>
        </is>
      </c>
      <c r="N17" s="6" t="n">
        <v>27004</v>
      </c>
      <c r="O17" s="6" t="n">
        <v>33591</v>
      </c>
      <c r="P17" s="6" t="n">
        <v>38106</v>
      </c>
      <c r="Q17" s="6">
        <f>AVERAGE(N17:P17)</f>
        <v/>
      </c>
      <c r="R17" t="n">
        <v>3</v>
      </c>
      <c r="S17" t="n">
        <v>1</v>
      </c>
      <c r="T17" s="7">
        <f>365*R17*Q17*S17/1000000</f>
        <v/>
      </c>
      <c r="U17" s="8">
        <f>I17/T17</f>
        <v/>
      </c>
      <c r="V17" s="8">
        <f>SUMIF($E$2:$E$599,E17,$I$2:$I$599)/SUMIF($E$2:$E$599,E17,$T$2:$T$599)</f>
        <v/>
      </c>
      <c r="W17" s="8">
        <f>V17+1.645*SQRT(V17/T17)+1/(2*T17)</f>
        <v/>
      </c>
      <c r="X17" s="5">
        <f>U17/W17</f>
        <v/>
      </c>
      <c r="Y17">
        <f>IF(U17&gt;W17,"high",IF(U17&gt;V17,"medium","low"))</f>
        <v/>
      </c>
      <c r="Z17">
        <f>CHOOSE(MAX(IF(M17="high",2,IF(M17="medium",1,0)),IF(Y17="high",2,IF(Y17="medium",1,0)))+1,"low","medium","high")</f>
        <v/>
      </c>
      <c r="AA17">
        <f>IF(IF(M17="high",2,IF(M17="medium",1,0))=IF(Y17="high",2,IF(Y17="medium",1,0)),"SI และ Rate เท่ากัน",IF(IF(M17="high",2,IF(M17="medium",1,0))&gt;IF(Y17="high",2,IF(Y17="medium",1,0)),"SI","Rate"))</f>
        <v/>
      </c>
    </row>
    <row r="18">
      <c r="A18" t="inlineStr">
        <is>
          <t>zone_2</t>
        </is>
      </c>
      <c r="B18" t="inlineStr">
        <is>
          <t>บางแค - คลองมหาสวัสดิ์</t>
        </is>
      </c>
      <c r="C18" t="inlineStr">
        <is>
          <t>กรุงเทพมหานคร</t>
        </is>
      </c>
      <c r="D18" t="inlineStr">
        <is>
          <t>9</t>
        </is>
      </c>
      <c r="E18" t="inlineStr">
        <is>
          <t>ทล.</t>
        </is>
      </c>
      <c r="F18" t="inlineStr">
        <is>
          <t>23.3–29.15</t>
        </is>
      </c>
      <c r="G18" t="inlineStr">
        <is>
          <t>station_id 123 (ทล.9 กม.20+430)</t>
        </is>
      </c>
      <c r="H18" t="inlineStr">
        <is>
          <t>ทล. สถานีตัวแทนตอนควบคุม</t>
        </is>
      </c>
      <c r="I18" t="n">
        <v>122</v>
      </c>
      <c r="J18" t="n">
        <v>4</v>
      </c>
      <c r="K18" t="n">
        <v>66</v>
      </c>
      <c r="L18" s="5" t="n">
        <v>0.5738</v>
      </c>
      <c r="M18" t="inlineStr">
        <is>
          <t>low</t>
        </is>
      </c>
      <c r="N18" s="6" t="n">
        <v>161583</v>
      </c>
      <c r="O18" s="6" t="n">
        <v>167210</v>
      </c>
      <c r="P18" s="6" t="n">
        <v>164129</v>
      </c>
      <c r="Q18" s="6">
        <f>AVERAGE(N18:P18)</f>
        <v/>
      </c>
      <c r="R18" t="n">
        <v>3</v>
      </c>
      <c r="S18" t="n">
        <v>1</v>
      </c>
      <c r="T18" s="7">
        <f>365*R18*Q18*S18/1000000</f>
        <v/>
      </c>
      <c r="U18" s="8">
        <f>I18/T18</f>
        <v/>
      </c>
      <c r="V18" s="8">
        <f>SUMIF($E$2:$E$599,E18,$I$2:$I$599)/SUMIF($E$2:$E$599,E18,$T$2:$T$599)</f>
        <v/>
      </c>
      <c r="W18" s="8">
        <f>V18+1.645*SQRT(V18/T18)+1/(2*T18)</f>
        <v/>
      </c>
      <c r="X18" s="5">
        <f>U18/W18</f>
        <v/>
      </c>
      <c r="Y18">
        <f>IF(U18&gt;W18,"high",IF(U18&gt;V18,"medium","low"))</f>
        <v/>
      </c>
      <c r="Z18">
        <f>CHOOSE(MAX(IF(M18="high",2,IF(M18="medium",1,0)),IF(Y18="high",2,IF(Y18="medium",1,0)))+1,"low","medium","high")</f>
        <v/>
      </c>
      <c r="AA18">
        <f>IF(IF(M18="high",2,IF(M18="medium",1,0))=IF(Y18="high",2,IF(Y18="medium",1,0)),"SI และ Rate เท่ากัน",IF(IF(M18="high",2,IF(M18="medium",1,0))&gt;IF(Y18="high",2,IF(Y18="medium",1,0)),"SI","Rate"))</f>
        <v/>
      </c>
    </row>
    <row r="19">
      <c r="A19" t="inlineStr">
        <is>
          <t>zone_381</t>
        </is>
      </c>
      <c r="B19" t="inlineStr">
        <is>
          <t>บางปะอิน - แขวงรามอินทรา</t>
        </is>
      </c>
      <c r="C19" t="inlineStr">
        <is>
          <t>ปทุมธานี</t>
        </is>
      </c>
      <c r="D19" t="inlineStr">
        <is>
          <t>9</t>
        </is>
      </c>
      <c r="E19" t="inlineStr">
        <is>
          <t>ทล.</t>
        </is>
      </c>
      <c r="F19" t="inlineStr">
        <is>
          <t>20–23.5</t>
        </is>
      </c>
      <c r="G19" t="inlineStr">
        <is>
          <t>station_id 347 (ทล.9 กม.1+500)</t>
        </is>
      </c>
      <c r="H19" t="inlineStr">
        <is>
          <t>ทล. สถานีตัวแทนตอนควบคุม</t>
        </is>
      </c>
      <c r="I19" t="n">
        <v>103</v>
      </c>
      <c r="J19" t="n">
        <v>2</v>
      </c>
      <c r="K19" t="n">
        <v>46</v>
      </c>
      <c r="L19" s="5" t="n">
        <v>0.466</v>
      </c>
      <c r="M19" t="inlineStr">
        <is>
          <t>low</t>
        </is>
      </c>
      <c r="N19" s="6" t="n">
        <v>146870</v>
      </c>
      <c r="O19" s="6" t="n">
        <v>165212</v>
      </c>
      <c r="P19" s="6" t="n">
        <v>160792</v>
      </c>
      <c r="Q19" s="6">
        <f>AVERAGE(N19:P19)</f>
        <v/>
      </c>
      <c r="R19" t="n">
        <v>3</v>
      </c>
      <c r="S19" t="n">
        <v>1</v>
      </c>
      <c r="T19" s="7">
        <f>365*R19*Q19*S19/1000000</f>
        <v/>
      </c>
      <c r="U19" s="8">
        <f>I19/T19</f>
        <v/>
      </c>
      <c r="V19" s="8">
        <f>SUMIF($E$2:$E$599,E19,$I$2:$I$599)/SUMIF($E$2:$E$599,E19,$T$2:$T$599)</f>
        <v/>
      </c>
      <c r="W19" s="8">
        <f>V19+1.645*SQRT(V19/T19)+1/(2*T19)</f>
        <v/>
      </c>
      <c r="X19" s="5">
        <f>U19/W19</f>
        <v/>
      </c>
      <c r="Y19">
        <f>IF(U19&gt;W19,"high",IF(U19&gt;V19,"medium","low"))</f>
        <v/>
      </c>
      <c r="Z19">
        <f>CHOOSE(MAX(IF(M19="high",2,IF(M19="medium",1,0)),IF(Y19="high",2,IF(Y19="medium",1,0)))+1,"low","medium","high")</f>
        <v/>
      </c>
      <c r="AA19">
        <f>IF(IF(M19="high",2,IF(M19="medium",1,0))=IF(Y19="high",2,IF(Y19="medium",1,0)),"SI และ Rate เท่ากัน",IF(IF(M19="high",2,IF(M19="medium",1,0))&gt;IF(Y19="high",2,IF(Y19="medium",1,0)),"SI","Rate"))</f>
        <v/>
      </c>
    </row>
    <row r="20">
      <c r="A20" t="inlineStr">
        <is>
          <t>zone_208</t>
        </is>
      </c>
      <c r="B20" t="inlineStr">
        <is>
          <t>ดินแดง-ท่าเรือ</t>
        </is>
      </c>
      <c r="C20" t="inlineStr">
        <is>
          <t>กรุงเทพมหานคร</t>
        </is>
      </c>
      <c r="D20" t="inlineStr">
        <is>
          <t>E001S001|U</t>
        </is>
      </c>
      <c r="E20" t="inlineStr">
        <is>
          <t>กทพ.</t>
        </is>
      </c>
      <c r="F20" t="inlineStr">
        <is>
          <t>4.4–5.5</t>
        </is>
      </c>
      <c r="G20" t="inlineStr">
        <is>
          <t>เฉลิมมหานคร</t>
        </is>
      </c>
      <c r="H20" t="inlineStr">
        <is>
          <t>กทพ. ยอดผ่านด่านทั้งสาย ÷ 365</t>
        </is>
      </c>
      <c r="I20" t="n">
        <v>36</v>
      </c>
      <c r="J20" t="n">
        <v>0</v>
      </c>
      <c r="K20" t="n">
        <v>31</v>
      </c>
      <c r="L20" s="5" t="n">
        <v>0.8611</v>
      </c>
      <c r="M20" t="inlineStr">
        <is>
          <t>low</t>
        </is>
      </c>
      <c r="N20" s="6" t="n">
        <v>307323.093150685</v>
      </c>
      <c r="O20" s="6" t="n">
        <v>305804.9945205479</v>
      </c>
      <c r="P20" s="6" t="n">
        <v>304213.8739726027</v>
      </c>
      <c r="Q20" s="6">
        <f>AVERAGE(N20:P20)</f>
        <v/>
      </c>
      <c r="R20" t="n">
        <v>3</v>
      </c>
      <c r="S20" t="n">
        <v>1</v>
      </c>
      <c r="T20" s="7">
        <f>365*R20*Q20*S20/1000000</f>
        <v/>
      </c>
      <c r="U20" s="8">
        <f>I20/T20</f>
        <v/>
      </c>
      <c r="V20" s="8">
        <f>SUMIF($E$2:$E$599,E20,$I$2:$I$599)/SUMIF($E$2:$E$599,E20,$T$2:$T$599)</f>
        <v/>
      </c>
      <c r="W20" s="8">
        <f>V20+1.645*SQRT(V20/T20)+1/(2*T20)</f>
        <v/>
      </c>
      <c r="X20" s="5">
        <f>U20/W20</f>
        <v/>
      </c>
      <c r="Y20">
        <f>IF(U20&gt;W20,"high",IF(U20&gt;V20,"medium","low"))</f>
        <v/>
      </c>
      <c r="Z20">
        <f>CHOOSE(MAX(IF(M20="high",2,IF(M20="medium",1,0)),IF(Y20="high",2,IF(Y20="medium",1,0)))+1,"low","medium","high")</f>
        <v/>
      </c>
      <c r="AA20">
        <f>IF(IF(M20="high",2,IF(M20="medium",1,0))=IF(Y20="high",2,IF(Y20="medium",1,0)),"SI และ Rate เท่ากัน",IF(IF(M20="high",2,IF(M20="medium",1,0))&gt;IF(Y20="high",2,IF(Y20="medium",1,0)),"SI","Rate"))</f>
        <v/>
      </c>
    </row>
    <row r="21">
      <c r="A21" t="inlineStr">
        <is>
          <t>zone_70</t>
        </is>
      </c>
      <c r="B21" t="inlineStr">
        <is>
          <t>ถนนศรีนครินทร - แขวงคลองสองต้นนุ่น</t>
        </is>
      </c>
      <c r="C21" t="inlineStr">
        <is>
          <t>กรุงเทพมหานคร</t>
        </is>
      </c>
      <c r="D21" t="inlineStr">
        <is>
          <t>7</t>
        </is>
      </c>
      <c r="E21" t="inlineStr">
        <is>
          <t>ทล.</t>
        </is>
      </c>
      <c r="F21" t="inlineStr">
        <is>
          <t>5.3–8</t>
        </is>
      </c>
      <c r="G21" t="inlineStr">
        <is>
          <t>station_id 345 (ทล.7 กม.17+000)</t>
        </is>
      </c>
      <c r="H21" t="inlineStr">
        <is>
          <t>ทล. สถานีตัวแทนตอนควบคุม</t>
        </is>
      </c>
      <c r="I21" t="n">
        <v>148</v>
      </c>
      <c r="J21" t="n">
        <v>1</v>
      </c>
      <c r="K21" t="n">
        <v>58</v>
      </c>
      <c r="L21" s="5" t="n">
        <v>0.3986</v>
      </c>
      <c r="M21" t="inlineStr">
        <is>
          <t>low</t>
        </is>
      </c>
      <c r="N21" s="6" t="n">
        <v>220901</v>
      </c>
      <c r="O21" s="6" t="n">
        <v>242192</v>
      </c>
      <c r="P21" s="6" t="n">
        <v>262343</v>
      </c>
      <c r="Q21" s="6">
        <f>AVERAGE(N21:P21)</f>
        <v/>
      </c>
      <c r="R21" t="n">
        <v>3</v>
      </c>
      <c r="S21" t="n">
        <v>1</v>
      </c>
      <c r="T21" s="7">
        <f>365*R21*Q21*S21/1000000</f>
        <v/>
      </c>
      <c r="U21" s="8">
        <f>I21/T21</f>
        <v/>
      </c>
      <c r="V21" s="8">
        <f>SUMIF($E$2:$E$599,E21,$I$2:$I$599)/SUMIF($E$2:$E$599,E21,$T$2:$T$599)</f>
        <v/>
      </c>
      <c r="W21" s="8">
        <f>V21+1.645*SQRT(V21/T21)+1/(2*T21)</f>
        <v/>
      </c>
      <c r="X21" s="5">
        <f>U21/W21</f>
        <v/>
      </c>
      <c r="Y21">
        <f>IF(U21&gt;W21,"high",IF(U21&gt;V21,"medium","low"))</f>
        <v/>
      </c>
      <c r="Z21">
        <f>CHOOSE(MAX(IF(M21="high",2,IF(M21="medium",1,0)),IF(Y21="high",2,IF(Y21="medium",1,0)))+1,"low","medium","high")</f>
        <v/>
      </c>
      <c r="AA21">
        <f>IF(IF(M21="high",2,IF(M21="medium",1,0))=IF(Y21="high",2,IF(Y21="medium",1,0)),"SI และ Rate เท่ากัน",IF(IF(M21="high",2,IF(M21="medium",1,0))&gt;IF(Y21="high",2,IF(Y21="medium",1,0)),"SI","Rate"))</f>
        <v/>
      </c>
    </row>
    <row r="22">
      <c r="A22" t="inlineStr">
        <is>
          <t>zone_6</t>
        </is>
      </c>
      <c r="B22" t="inlineStr">
        <is>
          <t>อรุณอมรินทร์ - พุทธมณฑลสาย 4</t>
        </is>
      </c>
      <c r="C22" t="inlineStr">
        <is>
          <t>กรุงเทพมหานคร</t>
        </is>
      </c>
      <c r="D22" t="inlineStr">
        <is>
          <t>338</t>
        </is>
      </c>
      <c r="E22" t="inlineStr">
        <is>
          <t>ทล.</t>
        </is>
      </c>
      <c r="F22" t="inlineStr">
        <is>
          <t>10.59–12.55</t>
        </is>
      </c>
      <c r="G22" t="inlineStr">
        <is>
          <t>station_id 125 (ทล.338 กม.9+281)</t>
        </is>
      </c>
      <c r="H22" t="inlineStr">
        <is>
          <t>ทล. สถานีตัวแทนตอนควบคุม</t>
        </is>
      </c>
      <c r="I22" t="n">
        <v>94</v>
      </c>
      <c r="J22" t="n">
        <v>0</v>
      </c>
      <c r="K22" t="n">
        <v>51</v>
      </c>
      <c r="L22" s="5" t="n">
        <v>0.5426</v>
      </c>
      <c r="M22" t="inlineStr">
        <is>
          <t>low</t>
        </is>
      </c>
      <c r="N22" s="6" t="n">
        <v>143761</v>
      </c>
      <c r="O22" s="6" t="n">
        <v>146988</v>
      </c>
      <c r="P22" s="6" t="n">
        <v>145895</v>
      </c>
      <c r="Q22" s="6">
        <f>AVERAGE(N22:P22)</f>
        <v/>
      </c>
      <c r="R22" t="n">
        <v>3</v>
      </c>
      <c r="S22" t="n">
        <v>1</v>
      </c>
      <c r="T22" s="7">
        <f>365*R22*Q22*S22/1000000</f>
        <v/>
      </c>
      <c r="U22" s="8">
        <f>I22/T22</f>
        <v/>
      </c>
      <c r="V22" s="8">
        <f>SUMIF($E$2:$E$599,E22,$I$2:$I$599)/SUMIF($E$2:$E$599,E22,$T$2:$T$599)</f>
        <v/>
      </c>
      <c r="W22" s="8">
        <f>V22+1.645*SQRT(V22/T22)+1/(2*T22)</f>
        <v/>
      </c>
      <c r="X22" s="5">
        <f>U22/W22</f>
        <v/>
      </c>
      <c r="Y22">
        <f>IF(U22&gt;W22,"high",IF(U22&gt;V22,"medium","low"))</f>
        <v/>
      </c>
      <c r="Z22">
        <f>CHOOSE(MAX(IF(M22="high",2,IF(M22="medium",1,0)),IF(Y22="high",2,IF(Y22="medium",1,0)))+1,"low","medium","high")</f>
        <v/>
      </c>
      <c r="AA22">
        <f>IF(IF(M22="high",2,IF(M22="medium",1,0))=IF(Y22="high",2,IF(Y22="medium",1,0)),"SI และ Rate เท่ากัน",IF(IF(M22="high",2,IF(M22="medium",1,0))&gt;IF(Y22="high",2,IF(Y22="medium",1,0)),"SI","Rate"))</f>
        <v/>
      </c>
    </row>
    <row r="23">
      <c r="A23" t="inlineStr">
        <is>
          <t>zone_136</t>
        </is>
      </c>
      <c r="B23" t="inlineStr">
        <is>
          <t>บางแค - คลองมหาสวัสดิ์</t>
        </is>
      </c>
      <c r="C23" t="inlineStr">
        <is>
          <t>กรุงเทพมหานคร</t>
        </is>
      </c>
      <c r="D23" t="inlineStr">
        <is>
          <t>3901</t>
        </is>
      </c>
      <c r="E23" t="inlineStr">
        <is>
          <t>ทล.</t>
        </is>
      </c>
      <c r="F23" t="inlineStr">
        <is>
          <t>20.2–21.4</t>
        </is>
      </c>
      <c r="G23" t="inlineStr">
        <is>
          <t>station_id 131 (ทล.3901 กม.20+430)</t>
        </is>
      </c>
      <c r="H23" t="inlineStr">
        <is>
          <t>ทล. สถานีตัวแทนตอนควบคุม</t>
        </is>
      </c>
      <c r="I23" t="n">
        <v>31</v>
      </c>
      <c r="J23" t="n">
        <v>0</v>
      </c>
      <c r="K23" t="n">
        <v>29</v>
      </c>
      <c r="L23" s="5" t="n">
        <v>0.9355</v>
      </c>
      <c r="M23" t="inlineStr">
        <is>
          <t>low</t>
        </is>
      </c>
      <c r="N23" s="6" t="n">
        <v>33842</v>
      </c>
      <c r="O23" s="6" t="n">
        <v>35924</v>
      </c>
      <c r="P23" s="6" t="n">
        <v>41328</v>
      </c>
      <c r="Q23" s="6">
        <f>AVERAGE(N23:P23)</f>
        <v/>
      </c>
      <c r="R23" t="n">
        <v>3</v>
      </c>
      <c r="S23" t="n">
        <v>1</v>
      </c>
      <c r="T23" s="7">
        <f>365*R23*Q23*S23/1000000</f>
        <v/>
      </c>
      <c r="U23" s="8">
        <f>I23/T23</f>
        <v/>
      </c>
      <c r="V23" s="8">
        <f>SUMIF($E$2:$E$599,E23,$I$2:$I$599)/SUMIF($E$2:$E$599,E23,$T$2:$T$599)</f>
        <v/>
      </c>
      <c r="W23" s="8">
        <f>V23+1.645*SQRT(V23/T23)+1/(2*T23)</f>
        <v/>
      </c>
      <c r="X23" s="5">
        <f>U23/W23</f>
        <v/>
      </c>
      <c r="Y23">
        <f>IF(U23&gt;W23,"high",IF(U23&gt;V23,"medium","low"))</f>
        <v/>
      </c>
      <c r="Z23">
        <f>CHOOSE(MAX(IF(M23="high",2,IF(M23="medium",1,0)),IF(Y23="high",2,IF(Y23="medium",1,0)))+1,"low","medium","high")</f>
        <v/>
      </c>
      <c r="AA23">
        <f>IF(IF(M23="high",2,IF(M23="medium",1,0))=IF(Y23="high",2,IF(Y23="medium",1,0)),"SI และ Rate เท่ากัน",IF(IF(M23="high",2,IF(M23="medium",1,0))&gt;IF(Y23="high",2,IF(Y23="medium",1,0)),"SI","Rate"))</f>
        <v/>
      </c>
    </row>
    <row r="24">
      <c r="A24" t="inlineStr">
        <is>
          <t>zone_586</t>
        </is>
      </c>
      <c r="B24" t="inlineStr">
        <is>
          <t>แสมดำ - สะพานข้ามแม่น้ำท่าจีนฝั่งตะวันตก</t>
        </is>
      </c>
      <c r="C24" t="inlineStr">
        <is>
          <t>สมุทรสาคร</t>
        </is>
      </c>
      <c r="D24" t="inlineStr">
        <is>
          <t>35</t>
        </is>
      </c>
      <c r="E24" t="inlineStr">
        <is>
          <t>ทล.</t>
        </is>
      </c>
      <c r="F24" t="inlineStr">
        <is>
          <t>19.8–22.85</t>
        </is>
      </c>
      <c r="G24" t="inlineStr">
        <is>
          <t>station_id 57 (ทล.35 กม.24+550)</t>
        </is>
      </c>
      <c r="H24" t="inlineStr">
        <is>
          <t>ทล. สถานีตัวแทนตอนควบคุม</t>
        </is>
      </c>
      <c r="I24" t="n">
        <v>89</v>
      </c>
      <c r="J24" t="n">
        <v>5</v>
      </c>
      <c r="K24" t="n">
        <v>28</v>
      </c>
      <c r="L24" s="5" t="n">
        <v>0.3596</v>
      </c>
      <c r="M24" t="inlineStr">
        <is>
          <t>low</t>
        </is>
      </c>
      <c r="N24" s="6" t="n">
        <v>129063</v>
      </c>
      <c r="O24" s="6" t="n">
        <v>149020</v>
      </c>
      <c r="P24" s="6" t="n">
        <v>143116</v>
      </c>
      <c r="Q24" s="6">
        <f>AVERAGE(N24:P24)</f>
        <v/>
      </c>
      <c r="R24" t="n">
        <v>3</v>
      </c>
      <c r="S24" t="n">
        <v>1</v>
      </c>
      <c r="T24" s="7">
        <f>365*R24*Q24*S24/1000000</f>
        <v/>
      </c>
      <c r="U24" s="8">
        <f>I24/T24</f>
        <v/>
      </c>
      <c r="V24" s="8">
        <f>SUMIF($E$2:$E$599,E24,$I$2:$I$599)/SUMIF($E$2:$E$599,E24,$T$2:$T$599)</f>
        <v/>
      </c>
      <c r="W24" s="8">
        <f>V24+1.645*SQRT(V24/T24)+1/(2*T24)</f>
        <v/>
      </c>
      <c r="X24" s="5">
        <f>U24/W24</f>
        <v/>
      </c>
      <c r="Y24">
        <f>IF(U24&gt;W24,"high",IF(U24&gt;V24,"medium","low"))</f>
        <v/>
      </c>
      <c r="Z24">
        <f>CHOOSE(MAX(IF(M24="high",2,IF(M24="medium",1,0)),IF(Y24="high",2,IF(Y24="medium",1,0)))+1,"low","medium","high")</f>
        <v/>
      </c>
      <c r="AA24">
        <f>IF(IF(M24="high",2,IF(M24="medium",1,0))=IF(Y24="high",2,IF(Y24="medium",1,0)),"SI และ Rate เท่ากัน",IF(IF(M24="high",2,IF(M24="medium",1,0))&gt;IF(Y24="high",2,IF(Y24="medium",1,0)),"SI","Rate"))</f>
        <v/>
      </c>
    </row>
    <row r="25">
      <c r="A25" t="inlineStr">
        <is>
          <t>zone_69</t>
        </is>
      </c>
      <c r="B25" t="inlineStr">
        <is>
          <t>ถนนศรีนครินทร - แขวงคลองสองต้นนุ่น</t>
        </is>
      </c>
      <c r="C25" t="inlineStr">
        <is>
          <t>กรุงเทพมหานคร</t>
        </is>
      </c>
      <c r="D25" t="inlineStr">
        <is>
          <t>7</t>
        </is>
      </c>
      <c r="E25" t="inlineStr">
        <is>
          <t>ทล.</t>
        </is>
      </c>
      <c r="F25" t="inlineStr">
        <is>
          <t>0.1–3.7</t>
        </is>
      </c>
      <c r="G25" t="inlineStr">
        <is>
          <t>station_id 345 (ทล.7 กม.17+000)</t>
        </is>
      </c>
      <c r="H25" t="inlineStr">
        <is>
          <t>ทล. สถานีตัวแทนตอนควบคุม</t>
        </is>
      </c>
      <c r="I25" t="n">
        <v>140</v>
      </c>
      <c r="J25" t="n">
        <v>3</v>
      </c>
      <c r="K25" t="n">
        <v>71</v>
      </c>
      <c r="L25" s="5" t="n">
        <v>0.5286</v>
      </c>
      <c r="M25" t="inlineStr">
        <is>
          <t>low</t>
        </is>
      </c>
      <c r="N25" s="6" t="n">
        <v>220901</v>
      </c>
      <c r="O25" s="6" t="n">
        <v>242192</v>
      </c>
      <c r="P25" s="6" t="n">
        <v>262343</v>
      </c>
      <c r="Q25" s="6">
        <f>AVERAGE(N25:P25)</f>
        <v/>
      </c>
      <c r="R25" t="n">
        <v>3</v>
      </c>
      <c r="S25" t="n">
        <v>1</v>
      </c>
      <c r="T25" s="7">
        <f>365*R25*Q25*S25/1000000</f>
        <v/>
      </c>
      <c r="U25" s="8">
        <f>I25/T25</f>
        <v/>
      </c>
      <c r="V25" s="8">
        <f>SUMIF($E$2:$E$599,E25,$I$2:$I$599)/SUMIF($E$2:$E$599,E25,$T$2:$T$599)</f>
        <v/>
      </c>
      <c r="W25" s="8">
        <f>V25+1.645*SQRT(V25/T25)+1/(2*T25)</f>
        <v/>
      </c>
      <c r="X25" s="5">
        <f>U25/W25</f>
        <v/>
      </c>
      <c r="Y25">
        <f>IF(U25&gt;W25,"high",IF(U25&gt;V25,"medium","low"))</f>
        <v/>
      </c>
      <c r="Z25">
        <f>CHOOSE(MAX(IF(M25="high",2,IF(M25="medium",1,0)),IF(Y25="high",2,IF(Y25="medium",1,0)))+1,"low","medium","high")</f>
        <v/>
      </c>
      <c r="AA25">
        <f>IF(IF(M25="high",2,IF(M25="medium",1,0))=IF(Y25="high",2,IF(Y25="medium",1,0)),"SI และ Rate เท่ากัน",IF(IF(M25="high",2,IF(M25="medium",1,0))&gt;IF(Y25="high",2,IF(Y25="medium",1,0)),"SI","Rate"))</f>
        <v/>
      </c>
    </row>
    <row r="26">
      <c r="A26" t="inlineStr">
        <is>
          <t>zone_84</t>
        </is>
      </c>
      <c r="B26" t="inlineStr">
        <is>
          <t>แขวงรามอินทรา - บางพลี</t>
        </is>
      </c>
      <c r="C26" t="inlineStr">
        <is>
          <t>กรุงเทพมหานคร</t>
        </is>
      </c>
      <c r="D26" t="inlineStr">
        <is>
          <t>9</t>
        </is>
      </c>
      <c r="E26" t="inlineStr">
        <is>
          <t>ทล.</t>
        </is>
      </c>
      <c r="F26" t="inlineStr">
        <is>
          <t>49.5–51</t>
        </is>
      </c>
      <c r="G26" t="inlineStr">
        <is>
          <t>station_id 348 (ทล.9 กม.59+500)</t>
        </is>
      </c>
      <c r="H26" t="inlineStr">
        <is>
          <t>ทล. สถานีตัวแทนตอนควบคุม</t>
        </is>
      </c>
      <c r="I26" t="n">
        <v>71</v>
      </c>
      <c r="J26" t="n">
        <v>0</v>
      </c>
      <c r="K26" t="n">
        <v>48</v>
      </c>
      <c r="L26" s="5" t="n">
        <v>0.6761</v>
      </c>
      <c r="M26" t="inlineStr">
        <is>
          <t>low</t>
        </is>
      </c>
      <c r="N26" s="6" t="n">
        <v>110915</v>
      </c>
      <c r="O26" s="6" t="n">
        <v>117953</v>
      </c>
      <c r="P26" s="6" t="n">
        <v>117813</v>
      </c>
      <c r="Q26" s="6">
        <f>AVERAGE(N26:P26)</f>
        <v/>
      </c>
      <c r="R26" t="n">
        <v>3</v>
      </c>
      <c r="S26" t="n">
        <v>1</v>
      </c>
      <c r="T26" s="7">
        <f>365*R26*Q26*S26/1000000</f>
        <v/>
      </c>
      <c r="U26" s="8">
        <f>I26/T26</f>
        <v/>
      </c>
      <c r="V26" s="8">
        <f>SUMIF($E$2:$E$599,E26,$I$2:$I$599)/SUMIF($E$2:$E$599,E26,$T$2:$T$599)</f>
        <v/>
      </c>
      <c r="W26" s="8">
        <f>V26+1.645*SQRT(V26/T26)+1/(2*T26)</f>
        <v/>
      </c>
      <c r="X26" s="5">
        <f>U26/W26</f>
        <v/>
      </c>
      <c r="Y26">
        <f>IF(U26&gt;W26,"high",IF(U26&gt;V26,"medium","low"))</f>
        <v/>
      </c>
      <c r="Z26">
        <f>CHOOSE(MAX(IF(M26="high",2,IF(M26="medium",1,0)),IF(Y26="high",2,IF(Y26="medium",1,0)))+1,"low","medium","high")</f>
        <v/>
      </c>
      <c r="AA26">
        <f>IF(IF(M26="high",2,IF(M26="medium",1,0))=IF(Y26="high",2,IF(Y26="medium",1,0)),"SI และ Rate เท่ากัน",IF(IF(M26="high",2,IF(M26="medium",1,0))&gt;IF(Y26="high",2,IF(Y26="medium",1,0)),"SI","Rate"))</f>
        <v/>
      </c>
    </row>
    <row r="27">
      <c r="A27" t="inlineStr">
        <is>
          <t>zone_4</t>
        </is>
      </c>
      <c r="B27" t="inlineStr">
        <is>
          <t>บางแค - คลองมหาสวัสดิ์</t>
        </is>
      </c>
      <c r="C27" t="inlineStr">
        <is>
          <t>กรุงเทพมหานคร</t>
        </is>
      </c>
      <c r="D27" t="inlineStr">
        <is>
          <t>3902</t>
        </is>
      </c>
      <c r="E27" t="inlineStr">
        <is>
          <t>ทล.</t>
        </is>
      </c>
      <c r="F27" t="inlineStr">
        <is>
          <t>30.056–31.2</t>
        </is>
      </c>
      <c r="G27" t="inlineStr">
        <is>
          <t>station_id 130 (ทล.3902 กม.20+430)</t>
        </is>
      </c>
      <c r="H27" t="inlineStr">
        <is>
          <t>ทล. สถานีตัวแทนตอนควบคุม</t>
        </is>
      </c>
      <c r="I27" t="n">
        <v>25</v>
      </c>
      <c r="J27" t="n">
        <v>1</v>
      </c>
      <c r="K27" t="n">
        <v>11</v>
      </c>
      <c r="L27" s="5" t="n">
        <v>0.48</v>
      </c>
      <c r="M27" t="inlineStr">
        <is>
          <t>low</t>
        </is>
      </c>
      <c r="N27" s="6" t="n">
        <v>27004</v>
      </c>
      <c r="O27" s="6" t="n">
        <v>33591</v>
      </c>
      <c r="P27" s="6" t="n">
        <v>38106</v>
      </c>
      <c r="Q27" s="6">
        <f>AVERAGE(N27:P27)</f>
        <v/>
      </c>
      <c r="R27" t="n">
        <v>3</v>
      </c>
      <c r="S27" t="n">
        <v>1</v>
      </c>
      <c r="T27" s="7">
        <f>365*R27*Q27*S27/1000000</f>
        <v/>
      </c>
      <c r="U27" s="8">
        <f>I27/T27</f>
        <v/>
      </c>
      <c r="V27" s="8">
        <f>SUMIF($E$2:$E$599,E27,$I$2:$I$599)/SUMIF($E$2:$E$599,E27,$T$2:$T$599)</f>
        <v/>
      </c>
      <c r="W27" s="8">
        <f>V27+1.645*SQRT(V27/T27)+1/(2*T27)</f>
        <v/>
      </c>
      <c r="X27" s="5">
        <f>U27/W27</f>
        <v/>
      </c>
      <c r="Y27">
        <f>IF(U27&gt;W27,"high",IF(U27&gt;V27,"medium","low"))</f>
        <v/>
      </c>
      <c r="Z27">
        <f>CHOOSE(MAX(IF(M27="high",2,IF(M27="medium",1,0)),IF(Y27="high",2,IF(Y27="medium",1,0)))+1,"low","medium","high")</f>
        <v/>
      </c>
      <c r="AA27">
        <f>IF(IF(M27="high",2,IF(M27="medium",1,0))=IF(Y27="high",2,IF(Y27="medium",1,0)),"SI และ Rate เท่ากัน",IF(IF(M27="high",2,IF(M27="medium",1,0))&gt;IF(Y27="high",2,IF(Y27="medium",1,0)),"SI","Rate"))</f>
        <v/>
      </c>
    </row>
    <row r="28">
      <c r="A28" t="inlineStr">
        <is>
          <t>zone_90</t>
        </is>
      </c>
      <c r="B28" t="inlineStr">
        <is>
          <t>แขวงรามอินทรา - บางพลี</t>
        </is>
      </c>
      <c r="C28" t="inlineStr">
        <is>
          <t>กรุงเทพมหานคร</t>
        </is>
      </c>
      <c r="D28" t="inlineStr">
        <is>
          <t>9</t>
        </is>
      </c>
      <c r="E28" t="inlineStr">
        <is>
          <t>ทล.</t>
        </is>
      </c>
      <c r="F28" t="inlineStr">
        <is>
          <t>48.3–51.6</t>
        </is>
      </c>
      <c r="G28" t="inlineStr">
        <is>
          <t>station_id 348 (ทล.9 กม.59+500)</t>
        </is>
      </c>
      <c r="H28" t="inlineStr">
        <is>
          <t>ทล. สถานีตัวแทนตอนควบคุม</t>
        </is>
      </c>
      <c r="I28" t="n">
        <v>67</v>
      </c>
      <c r="J28" t="n">
        <v>1</v>
      </c>
      <c r="K28" t="n">
        <v>45</v>
      </c>
      <c r="L28" s="5" t="n">
        <v>0.6866</v>
      </c>
      <c r="M28" t="inlineStr">
        <is>
          <t>low</t>
        </is>
      </c>
      <c r="N28" s="6" t="n">
        <v>110915</v>
      </c>
      <c r="O28" s="6" t="n">
        <v>117953</v>
      </c>
      <c r="P28" s="6" t="n">
        <v>117813</v>
      </c>
      <c r="Q28" s="6">
        <f>AVERAGE(N28:P28)</f>
        <v/>
      </c>
      <c r="R28" t="n">
        <v>3</v>
      </c>
      <c r="S28" t="n">
        <v>1</v>
      </c>
      <c r="T28" s="7">
        <f>365*R28*Q28*S28/1000000</f>
        <v/>
      </c>
      <c r="U28" s="8">
        <f>I28/T28</f>
        <v/>
      </c>
      <c r="V28" s="8">
        <f>SUMIF($E$2:$E$599,E28,$I$2:$I$599)/SUMIF($E$2:$E$599,E28,$T$2:$T$599)</f>
        <v/>
      </c>
      <c r="W28" s="8">
        <f>V28+1.645*SQRT(V28/T28)+1/(2*T28)</f>
        <v/>
      </c>
      <c r="X28" s="5">
        <f>U28/W28</f>
        <v/>
      </c>
      <c r="Y28">
        <f>IF(U28&gt;W28,"high",IF(U28&gt;V28,"medium","low"))</f>
        <v/>
      </c>
      <c r="Z28">
        <f>CHOOSE(MAX(IF(M28="high",2,IF(M28="medium",1,0)),IF(Y28="high",2,IF(Y28="medium",1,0)))+1,"low","medium","high")</f>
        <v/>
      </c>
      <c r="AA28">
        <f>IF(IF(M28="high",2,IF(M28="medium",1,0))=IF(Y28="high",2,IF(Y28="medium",1,0)),"SI และ Rate เท่ากัน",IF(IF(M28="high",2,IF(M28="medium",1,0))&gt;IF(Y28="high",2,IF(Y28="medium",1,0)),"SI","Rate"))</f>
        <v/>
      </c>
    </row>
    <row r="29">
      <c r="A29" t="inlineStr">
        <is>
          <t>zone_577</t>
        </is>
      </c>
      <c r="B29" t="inlineStr">
        <is>
          <t>สะพานข้ามแม่น้ำท่าจีนฝั่งตะวันตก - นาโคก</t>
        </is>
      </c>
      <c r="C29" t="inlineStr">
        <is>
          <t>สมุทรสาคร</t>
        </is>
      </c>
      <c r="D29" t="inlineStr">
        <is>
          <t>35</t>
        </is>
      </c>
      <c r="E29" t="inlineStr">
        <is>
          <t>ทล.</t>
        </is>
      </c>
      <c r="F29" t="inlineStr">
        <is>
          <t>35.079–37.02</t>
        </is>
      </c>
      <c r="G29" t="inlineStr">
        <is>
          <t>station_id 59 (ทล.35 กม.30+700)</t>
        </is>
      </c>
      <c r="H29" t="inlineStr">
        <is>
          <t>ทล. สถานีตัวแทนตอนควบคุม</t>
        </is>
      </c>
      <c r="I29" t="n">
        <v>79</v>
      </c>
      <c r="J29" t="n">
        <v>0</v>
      </c>
      <c r="K29" t="n">
        <v>8</v>
      </c>
      <c r="L29" s="5" t="n">
        <v>0.1013</v>
      </c>
      <c r="M29" t="inlineStr">
        <is>
          <t>low</t>
        </is>
      </c>
      <c r="N29" s="6" t="n">
        <v>134343</v>
      </c>
      <c r="O29" s="6" t="n">
        <v>149180</v>
      </c>
      <c r="P29" s="6" t="n">
        <v>149785</v>
      </c>
      <c r="Q29" s="6">
        <f>AVERAGE(N29:P29)</f>
        <v/>
      </c>
      <c r="R29" t="n">
        <v>3</v>
      </c>
      <c r="S29" t="n">
        <v>1</v>
      </c>
      <c r="T29" s="7">
        <f>365*R29*Q29*S29/1000000</f>
        <v/>
      </c>
      <c r="U29" s="8">
        <f>I29/T29</f>
        <v/>
      </c>
      <c r="V29" s="8">
        <f>SUMIF($E$2:$E$599,E29,$I$2:$I$599)/SUMIF($E$2:$E$599,E29,$T$2:$T$599)</f>
        <v/>
      </c>
      <c r="W29" s="8">
        <f>V29+1.645*SQRT(V29/T29)+1/(2*T29)</f>
        <v/>
      </c>
      <c r="X29" s="5">
        <f>U29/W29</f>
        <v/>
      </c>
      <c r="Y29">
        <f>IF(U29&gt;W29,"high",IF(U29&gt;V29,"medium","low"))</f>
        <v/>
      </c>
      <c r="Z29">
        <f>CHOOSE(MAX(IF(M29="high",2,IF(M29="medium",1,0)),IF(Y29="high",2,IF(Y29="medium",1,0)))+1,"low","medium","high")</f>
        <v/>
      </c>
      <c r="AA29">
        <f>IF(IF(M29="high",2,IF(M29="medium",1,0))=IF(Y29="high",2,IF(Y29="medium",1,0)),"SI และ Rate เท่ากัน",IF(IF(M29="high",2,IF(M29="medium",1,0))&gt;IF(Y29="high",2,IF(Y29="medium",1,0)),"SI","Rate"))</f>
        <v/>
      </c>
    </row>
    <row r="30">
      <c r="A30" t="inlineStr">
        <is>
          <t>zone_391</t>
        </is>
      </c>
      <c r="B30" t="inlineStr">
        <is>
          <t>บางปะอิน - แขวงรามอินทรา</t>
        </is>
      </c>
      <c r="C30" t="inlineStr">
        <is>
          <t>ปทุมธานี</t>
        </is>
      </c>
      <c r="D30" t="inlineStr">
        <is>
          <t>9</t>
        </is>
      </c>
      <c r="E30" t="inlineStr">
        <is>
          <t>ทล.</t>
        </is>
      </c>
      <c r="F30" t="inlineStr">
        <is>
          <t>15.3–17.4</t>
        </is>
      </c>
      <c r="G30" t="inlineStr">
        <is>
          <t>station_id 347 (ทล.9 กม.1+500)</t>
        </is>
      </c>
      <c r="H30" t="inlineStr">
        <is>
          <t>ทล. สถานีตัวแทนตอนควบคุม</t>
        </is>
      </c>
      <c r="I30" t="n">
        <v>81</v>
      </c>
      <c r="J30" t="n">
        <v>0</v>
      </c>
      <c r="K30" t="n">
        <v>41</v>
      </c>
      <c r="L30" s="5" t="n">
        <v>0.5062</v>
      </c>
      <c r="M30" t="inlineStr">
        <is>
          <t>low</t>
        </is>
      </c>
      <c r="N30" s="6" t="n">
        <v>146870</v>
      </c>
      <c r="O30" s="6" t="n">
        <v>165212</v>
      </c>
      <c r="P30" s="6" t="n">
        <v>160792</v>
      </c>
      <c r="Q30" s="6">
        <f>AVERAGE(N30:P30)</f>
        <v/>
      </c>
      <c r="R30" t="n">
        <v>3</v>
      </c>
      <c r="S30" t="n">
        <v>1</v>
      </c>
      <c r="T30" s="7">
        <f>365*R30*Q30*S30/1000000</f>
        <v/>
      </c>
      <c r="U30" s="8">
        <f>I30/T30</f>
        <v/>
      </c>
      <c r="V30" s="8">
        <f>SUMIF($E$2:$E$599,E30,$I$2:$I$599)/SUMIF($E$2:$E$599,E30,$T$2:$T$599)</f>
        <v/>
      </c>
      <c r="W30" s="8">
        <f>V30+1.645*SQRT(V30/T30)+1/(2*T30)</f>
        <v/>
      </c>
      <c r="X30" s="5">
        <f>U30/W30</f>
        <v/>
      </c>
      <c r="Y30">
        <f>IF(U30&gt;W30,"high",IF(U30&gt;V30,"medium","low"))</f>
        <v/>
      </c>
      <c r="Z30">
        <f>CHOOSE(MAX(IF(M30="high",2,IF(M30="medium",1,0)),IF(Y30="high",2,IF(Y30="medium",1,0)))+1,"low","medium","high")</f>
        <v/>
      </c>
      <c r="AA30">
        <f>IF(IF(M30="high",2,IF(M30="medium",1,0))=IF(Y30="high",2,IF(Y30="medium",1,0)),"SI และ Rate เท่ากัน",IF(IF(M30="high",2,IF(M30="medium",1,0))&gt;IF(Y30="high",2,IF(Y30="medium",1,0)),"SI","Rate"))</f>
        <v/>
      </c>
    </row>
    <row r="31">
      <c r="A31" t="inlineStr">
        <is>
          <t>zone_245</t>
        </is>
      </c>
      <c r="B31" t="inlineStr">
        <is>
          <t>บางบอน - โรงพยาบาลบางปะกอก8</t>
        </is>
      </c>
      <c r="C31" t="inlineStr">
        <is>
          <t>กรุงเทพมหานคร</t>
        </is>
      </c>
      <c r="D31" t="inlineStr">
        <is>
          <t>3242</t>
        </is>
      </c>
      <c r="E31" t="inlineStr">
        <is>
          <t>ทล.</t>
        </is>
      </c>
      <c r="F31" t="inlineStr">
        <is>
          <t>16.39–18.282</t>
        </is>
      </c>
      <c r="G31" t="inlineStr">
        <is>
          <t>station_id 129 (ทล.3242 กม.15+600)</t>
        </is>
      </c>
      <c r="H31" t="inlineStr">
        <is>
          <t>ทล. สถานีตัวแทนตอนควบคุม</t>
        </is>
      </c>
      <c r="I31" t="n">
        <v>48</v>
      </c>
      <c r="J31" t="n">
        <v>1</v>
      </c>
      <c r="K31" t="n">
        <v>69</v>
      </c>
      <c r="L31" s="5" t="n">
        <v>1.4583</v>
      </c>
      <c r="M31" t="inlineStr">
        <is>
          <t>medium</t>
        </is>
      </c>
      <c r="N31" s="6" t="n">
        <v>99272</v>
      </c>
      <c r="O31" s="6" t="n">
        <v>83416</v>
      </c>
      <c r="P31" s="6" t="n">
        <v>81423</v>
      </c>
      <c r="Q31" s="6">
        <f>AVERAGE(N31:P31)</f>
        <v/>
      </c>
      <c r="R31" t="n">
        <v>3</v>
      </c>
      <c r="S31" t="n">
        <v>1</v>
      </c>
      <c r="T31" s="7">
        <f>365*R31*Q31*S31/1000000</f>
        <v/>
      </c>
      <c r="U31" s="8">
        <f>I31/T31</f>
        <v/>
      </c>
      <c r="V31" s="8">
        <f>SUMIF($E$2:$E$599,E31,$I$2:$I$599)/SUMIF($E$2:$E$599,E31,$T$2:$T$599)</f>
        <v/>
      </c>
      <c r="W31" s="8">
        <f>V31+1.645*SQRT(V31/T31)+1/(2*T31)</f>
        <v/>
      </c>
      <c r="X31" s="5">
        <f>U31/W31</f>
        <v/>
      </c>
      <c r="Y31">
        <f>IF(U31&gt;W31,"high",IF(U31&gt;V31,"medium","low"))</f>
        <v/>
      </c>
      <c r="Z31">
        <f>CHOOSE(MAX(IF(M31="high",2,IF(M31="medium",1,0)),IF(Y31="high",2,IF(Y31="medium",1,0)))+1,"low","medium","high")</f>
        <v/>
      </c>
      <c r="AA31">
        <f>IF(IF(M31="high",2,IF(M31="medium",1,0))=IF(Y31="high",2,IF(Y31="medium",1,0)),"SI และ Rate เท่ากัน",IF(IF(M31="high",2,IF(M31="medium",1,0))&gt;IF(Y31="high",2,IF(Y31="medium",1,0)),"SI","Rate"))</f>
        <v/>
      </c>
    </row>
    <row r="32">
      <c r="A32" t="inlineStr">
        <is>
          <t>zone_566</t>
        </is>
      </c>
      <c r="B32" t="inlineStr">
        <is>
          <t>สะพานข้ามแม่น้ำท่าจีนฝั่งตะวันตก - นาโคก</t>
        </is>
      </c>
      <c r="C32" t="inlineStr">
        <is>
          <t>สมุทรสาคร</t>
        </is>
      </c>
      <c r="D32" t="inlineStr">
        <is>
          <t>35</t>
        </is>
      </c>
      <c r="E32" t="inlineStr">
        <is>
          <t>ทล.</t>
        </is>
      </c>
      <c r="F32" t="inlineStr">
        <is>
          <t>37.95–39.75</t>
        </is>
      </c>
      <c r="G32" t="inlineStr">
        <is>
          <t>station_id 59 (ทล.35 กม.30+700)</t>
        </is>
      </c>
      <c r="H32" t="inlineStr">
        <is>
          <t>ทล. สถานีตัวแทนตอนควบคุม</t>
        </is>
      </c>
      <c r="I32" t="n">
        <v>67</v>
      </c>
      <c r="J32" t="n">
        <v>1</v>
      </c>
      <c r="K32" t="n">
        <v>25</v>
      </c>
      <c r="L32" s="5" t="n">
        <v>0.3881</v>
      </c>
      <c r="M32" t="inlineStr">
        <is>
          <t>low</t>
        </is>
      </c>
      <c r="N32" s="6" t="n">
        <v>134343</v>
      </c>
      <c r="O32" s="6" t="n">
        <v>149180</v>
      </c>
      <c r="P32" s="6" t="n">
        <v>149785</v>
      </c>
      <c r="Q32" s="6">
        <f>AVERAGE(N32:P32)</f>
        <v/>
      </c>
      <c r="R32" t="n">
        <v>3</v>
      </c>
      <c r="S32" t="n">
        <v>1</v>
      </c>
      <c r="T32" s="7">
        <f>365*R32*Q32*S32/1000000</f>
        <v/>
      </c>
      <c r="U32" s="8">
        <f>I32/T32</f>
        <v/>
      </c>
      <c r="V32" s="8">
        <f>SUMIF($E$2:$E$599,E32,$I$2:$I$599)/SUMIF($E$2:$E$599,E32,$T$2:$T$599)</f>
        <v/>
      </c>
      <c r="W32" s="8">
        <f>V32+1.645*SQRT(V32/T32)+1/(2*T32)</f>
        <v/>
      </c>
      <c r="X32" s="5">
        <f>U32/W32</f>
        <v/>
      </c>
      <c r="Y32">
        <f>IF(U32&gt;W32,"high",IF(U32&gt;V32,"medium","low"))</f>
        <v/>
      </c>
      <c r="Z32">
        <f>CHOOSE(MAX(IF(M32="high",2,IF(M32="medium",1,0)),IF(Y32="high",2,IF(Y32="medium",1,0)))+1,"low","medium","high")</f>
        <v/>
      </c>
      <c r="AA32">
        <f>IF(IF(M32="high",2,IF(M32="medium",1,0))=IF(Y32="high",2,IF(Y32="medium",1,0)),"SI และ Rate เท่ากัน",IF(IF(M32="high",2,IF(M32="medium",1,0))&gt;IF(Y32="high",2,IF(Y32="medium",1,0)),"SI","Rate"))</f>
        <v/>
      </c>
    </row>
    <row r="33">
      <c r="A33" t="inlineStr">
        <is>
          <t>zone_546</t>
        </is>
      </c>
      <c r="B33" t="inlineStr">
        <is>
          <t>บางพลี-สุขสวัสดิ์</t>
        </is>
      </c>
      <c r="C33" t="inlineStr">
        <is>
          <t>สมุทรปราการ</t>
        </is>
      </c>
      <c r="D33" t="inlineStr">
        <is>
          <t>E007S013|I</t>
        </is>
      </c>
      <c r="E33" t="inlineStr">
        <is>
          <t>กทพ.</t>
        </is>
      </c>
      <c r="F33" t="inlineStr">
        <is>
          <t>20.1–21</t>
        </is>
      </c>
      <c r="G33" t="inlineStr">
        <is>
          <t>ทางพิเศษกาญจนาภิเษก(บางพลี-สุขสวัสดิ์)</t>
        </is>
      </c>
      <c r="H33" t="inlineStr">
        <is>
          <t>กทพ. ยอดผ่านด่านทั้งสาย ÷ 365</t>
        </is>
      </c>
      <c r="I33" t="n">
        <v>20</v>
      </c>
      <c r="J33" t="n">
        <v>0</v>
      </c>
      <c r="K33" t="n">
        <v>4</v>
      </c>
      <c r="L33" s="5" t="n">
        <v>0.2</v>
      </c>
      <c r="M33" t="inlineStr">
        <is>
          <t>low</t>
        </is>
      </c>
      <c r="N33" s="6" t="n">
        <v>233037.0054794521</v>
      </c>
      <c r="O33" s="6" t="n">
        <v>233284.9890410959</v>
      </c>
      <c r="P33" s="6" t="n">
        <v>228365.901369863</v>
      </c>
      <c r="Q33" s="6">
        <f>AVERAGE(N33:P33)</f>
        <v/>
      </c>
      <c r="R33" t="n">
        <v>3</v>
      </c>
      <c r="S33" t="n">
        <v>1</v>
      </c>
      <c r="T33" s="7">
        <f>365*R33*Q33*S33/1000000</f>
        <v/>
      </c>
      <c r="U33" s="8">
        <f>I33/T33</f>
        <v/>
      </c>
      <c r="V33" s="8">
        <f>SUMIF($E$2:$E$599,E33,$I$2:$I$599)/SUMIF($E$2:$E$599,E33,$T$2:$T$599)</f>
        <v/>
      </c>
      <c r="W33" s="8">
        <f>V33+1.645*SQRT(V33/T33)+1/(2*T33)</f>
        <v/>
      </c>
      <c r="X33" s="5">
        <f>U33/W33</f>
        <v/>
      </c>
      <c r="Y33">
        <f>IF(U33&gt;W33,"high",IF(U33&gt;V33,"medium","low"))</f>
        <v/>
      </c>
      <c r="Z33">
        <f>CHOOSE(MAX(IF(M33="high",2,IF(M33="medium",1,0)),IF(Y33="high",2,IF(Y33="medium",1,0)))+1,"low","medium","high")</f>
        <v/>
      </c>
      <c r="AA33">
        <f>IF(IF(M33="high",2,IF(M33="medium",1,0))=IF(Y33="high",2,IF(Y33="medium",1,0)),"SI และ Rate เท่ากัน",IF(IF(M33="high",2,IF(M33="medium",1,0))&gt;IF(Y33="high",2,IF(Y33="medium",1,0)),"SI","Rate"))</f>
        <v/>
      </c>
    </row>
    <row r="34">
      <c r="A34" t="inlineStr">
        <is>
          <t>zone_581</t>
        </is>
      </c>
      <c r="B34" t="inlineStr">
        <is>
          <t>แสมดำ - สะพานข้ามแม่น้ำท่าจีนฝั่งตะวันตก</t>
        </is>
      </c>
      <c r="C34" t="inlineStr">
        <is>
          <t>สมุทรสาคร</t>
        </is>
      </c>
      <c r="D34" t="inlineStr">
        <is>
          <t>35</t>
        </is>
      </c>
      <c r="E34" t="inlineStr">
        <is>
          <t>ทล.</t>
        </is>
      </c>
      <c r="F34" t="inlineStr">
        <is>
          <t>23.2–25.73</t>
        </is>
      </c>
      <c r="G34" t="inlineStr">
        <is>
          <t>station_id 57 (ทล.35 กม.24+550)</t>
        </is>
      </c>
      <c r="H34" t="inlineStr">
        <is>
          <t>ทล. สถานีตัวแทนตอนควบคุม</t>
        </is>
      </c>
      <c r="I34" t="n">
        <v>63</v>
      </c>
      <c r="J34" t="n">
        <v>1</v>
      </c>
      <c r="K34" t="n">
        <v>29</v>
      </c>
      <c r="L34" s="5" t="n">
        <v>0.4762</v>
      </c>
      <c r="M34" t="inlineStr">
        <is>
          <t>low</t>
        </is>
      </c>
      <c r="N34" s="6" t="n">
        <v>129063</v>
      </c>
      <c r="O34" s="6" t="n">
        <v>149020</v>
      </c>
      <c r="P34" s="6" t="n">
        <v>143116</v>
      </c>
      <c r="Q34" s="6">
        <f>AVERAGE(N34:P34)</f>
        <v/>
      </c>
      <c r="R34" t="n">
        <v>3</v>
      </c>
      <c r="S34" t="n">
        <v>1</v>
      </c>
      <c r="T34" s="7">
        <f>365*R34*Q34*S34/1000000</f>
        <v/>
      </c>
      <c r="U34" s="8">
        <f>I34/T34</f>
        <v/>
      </c>
      <c r="V34" s="8">
        <f>SUMIF($E$2:$E$599,E34,$I$2:$I$599)/SUMIF($E$2:$E$599,E34,$T$2:$T$599)</f>
        <v/>
      </c>
      <c r="W34" s="8">
        <f>V34+1.645*SQRT(V34/T34)+1/(2*T34)</f>
        <v/>
      </c>
      <c r="X34" s="5">
        <f>U34/W34</f>
        <v/>
      </c>
      <c r="Y34">
        <f>IF(U34&gt;W34,"high",IF(U34&gt;V34,"medium","low"))</f>
        <v/>
      </c>
      <c r="Z34">
        <f>CHOOSE(MAX(IF(M34="high",2,IF(M34="medium",1,0)),IF(Y34="high",2,IF(Y34="medium",1,0)))+1,"low","medium","high")</f>
        <v/>
      </c>
      <c r="AA34">
        <f>IF(IF(M34="high",2,IF(M34="medium",1,0))=IF(Y34="high",2,IF(Y34="medium",1,0)),"SI และ Rate เท่ากัน",IF(IF(M34="high",2,IF(M34="medium",1,0))&gt;IF(Y34="high",2,IF(Y34="medium",1,0)),"SI","Rate"))</f>
        <v/>
      </c>
    </row>
    <row r="35">
      <c r="A35" t="inlineStr">
        <is>
          <t>zone_8</t>
        </is>
      </c>
      <c r="B35" t="inlineStr">
        <is>
          <t>อรุณอมรินทร์ - พุทธมณฑลสาย 4</t>
        </is>
      </c>
      <c r="C35" t="inlineStr">
        <is>
          <t>กรุงเทพมหานคร</t>
        </is>
      </c>
      <c r="D35" t="inlineStr">
        <is>
          <t>338</t>
        </is>
      </c>
      <c r="E35" t="inlineStr">
        <is>
          <t>ทล.</t>
        </is>
      </c>
      <c r="F35" t="inlineStr">
        <is>
          <t>2.455–3.372</t>
        </is>
      </c>
      <c r="G35" t="inlineStr">
        <is>
          <t>station_id 126 (ทล.338 กม.2+164)</t>
        </is>
      </c>
      <c r="H35" t="inlineStr">
        <is>
          <t>ทล. สถานีตัวแทนตอนควบคุม</t>
        </is>
      </c>
      <c r="I35" t="n">
        <v>35</v>
      </c>
      <c r="J35" t="n">
        <v>0</v>
      </c>
      <c r="K35" t="n">
        <v>10</v>
      </c>
      <c r="L35" s="5" t="n">
        <v>0.2857</v>
      </c>
      <c r="M35" t="inlineStr">
        <is>
          <t>low</t>
        </is>
      </c>
      <c r="N35" s="6" t="n">
        <v>68592</v>
      </c>
      <c r="O35" s="6" t="n">
        <v>70016</v>
      </c>
      <c r="P35" s="6" t="n">
        <v>69899</v>
      </c>
      <c r="Q35" s="6">
        <f>AVERAGE(N35:P35)</f>
        <v/>
      </c>
      <c r="R35" t="n">
        <v>3</v>
      </c>
      <c r="S35" t="n">
        <v>1</v>
      </c>
      <c r="T35" s="7">
        <f>365*R35*Q35*S35/1000000</f>
        <v/>
      </c>
      <c r="U35" s="8">
        <f>I35/T35</f>
        <v/>
      </c>
      <c r="V35" s="8">
        <f>SUMIF($E$2:$E$599,E35,$I$2:$I$599)/SUMIF($E$2:$E$599,E35,$T$2:$T$599)</f>
        <v/>
      </c>
      <c r="W35" s="8">
        <f>V35+1.645*SQRT(V35/T35)+1/(2*T35)</f>
        <v/>
      </c>
      <c r="X35" s="5">
        <f>U35/W35</f>
        <v/>
      </c>
      <c r="Y35">
        <f>IF(U35&gt;W35,"high",IF(U35&gt;V35,"medium","low"))</f>
        <v/>
      </c>
      <c r="Z35">
        <f>CHOOSE(MAX(IF(M35="high",2,IF(M35="medium",1,0)),IF(Y35="high",2,IF(Y35="medium",1,0)))+1,"low","medium","high")</f>
        <v/>
      </c>
      <c r="AA35">
        <f>IF(IF(M35="high",2,IF(M35="medium",1,0))=IF(Y35="high",2,IF(Y35="medium",1,0)),"SI และ Rate เท่ากัน",IF(IF(M35="high",2,IF(M35="medium",1,0))&gt;IF(Y35="high",2,IF(Y35="medium",1,0)),"SI","Rate"))</f>
        <v/>
      </c>
    </row>
    <row r="36">
      <c r="A36" t="inlineStr">
        <is>
          <t>zone_153</t>
        </is>
      </c>
      <c r="B36" t="inlineStr">
        <is>
          <t>แขวงรามอินทรา - บางพลี</t>
        </is>
      </c>
      <c r="C36" t="inlineStr">
        <is>
          <t>กรุงเทพมหานคร</t>
        </is>
      </c>
      <c r="D36" t="inlineStr">
        <is>
          <t>9</t>
        </is>
      </c>
      <c r="E36" t="inlineStr">
        <is>
          <t>ทล.</t>
        </is>
      </c>
      <c r="F36" t="inlineStr">
        <is>
          <t>61.7–63.5</t>
        </is>
      </c>
      <c r="G36" t="inlineStr">
        <is>
          <t>station_id 348 (ทล.9 กม.59+500)</t>
        </is>
      </c>
      <c r="H36" t="inlineStr">
        <is>
          <t>ทล. สถานีตัวแทนตอนควบคุม</t>
        </is>
      </c>
      <c r="I36" t="n">
        <v>52</v>
      </c>
      <c r="J36" t="n">
        <v>0</v>
      </c>
      <c r="K36" t="n">
        <v>33</v>
      </c>
      <c r="L36" s="5" t="n">
        <v>0.6346000000000001</v>
      </c>
      <c r="M36" t="inlineStr">
        <is>
          <t>low</t>
        </is>
      </c>
      <c r="N36" s="6" t="n">
        <v>110915</v>
      </c>
      <c r="O36" s="6" t="n">
        <v>117953</v>
      </c>
      <c r="P36" s="6" t="n">
        <v>117813</v>
      </c>
      <c r="Q36" s="6">
        <f>AVERAGE(N36:P36)</f>
        <v/>
      </c>
      <c r="R36" t="n">
        <v>3</v>
      </c>
      <c r="S36" t="n">
        <v>1</v>
      </c>
      <c r="T36" s="7">
        <f>365*R36*Q36*S36/1000000</f>
        <v/>
      </c>
      <c r="U36" s="8">
        <f>I36/T36</f>
        <v/>
      </c>
      <c r="V36" s="8">
        <f>SUMIF($E$2:$E$599,E36,$I$2:$I$599)/SUMIF($E$2:$E$599,E36,$T$2:$T$599)</f>
        <v/>
      </c>
      <c r="W36" s="8">
        <f>V36+1.645*SQRT(V36/T36)+1/(2*T36)</f>
        <v/>
      </c>
      <c r="X36" s="5">
        <f>U36/W36</f>
        <v/>
      </c>
      <c r="Y36">
        <f>IF(U36&gt;W36,"high",IF(U36&gt;V36,"medium","low"))</f>
        <v/>
      </c>
      <c r="Z36">
        <f>CHOOSE(MAX(IF(M36="high",2,IF(M36="medium",1,0)),IF(Y36="high",2,IF(Y36="medium",1,0)))+1,"low","medium","high")</f>
        <v/>
      </c>
      <c r="AA36">
        <f>IF(IF(M36="high",2,IF(M36="medium",1,0))=IF(Y36="high",2,IF(Y36="medium",1,0)),"SI และ Rate เท่ากัน",IF(IF(M36="high",2,IF(M36="medium",1,0))&gt;IF(Y36="high",2,IF(Y36="medium",1,0)),"SI","Rate"))</f>
        <v/>
      </c>
    </row>
    <row r="37">
      <c r="A37" t="inlineStr">
        <is>
          <t>zone_521</t>
        </is>
      </c>
      <c r="B37" t="inlineStr">
        <is>
          <t>บางพลี-สุขสวัสดิ์</t>
        </is>
      </c>
      <c r="C37" t="inlineStr">
        <is>
          <t>สมุทรปราการ</t>
        </is>
      </c>
      <c r="D37" t="inlineStr">
        <is>
          <t>E007S013|U</t>
        </is>
      </c>
      <c r="E37" t="inlineStr">
        <is>
          <t>กทพ.</t>
        </is>
      </c>
      <c r="F37" t="inlineStr">
        <is>
          <t>5.6–7</t>
        </is>
      </c>
      <c r="G37" t="inlineStr">
        <is>
          <t>ทางพิเศษกาญจนาภิเษก(บางพลี-สุขสวัสดิ์)</t>
        </is>
      </c>
      <c r="H37" t="inlineStr">
        <is>
          <t>กทพ. ยอดผ่านด่านทั้งสาย ÷ 365</t>
        </is>
      </c>
      <c r="I37" t="n">
        <v>18</v>
      </c>
      <c r="J37" t="n">
        <v>0</v>
      </c>
      <c r="K37" t="n">
        <v>11</v>
      </c>
      <c r="L37" s="5" t="n">
        <v>0.6111</v>
      </c>
      <c r="M37" t="inlineStr">
        <is>
          <t>low</t>
        </is>
      </c>
      <c r="N37" s="6" t="n">
        <v>233037.0054794521</v>
      </c>
      <c r="O37" s="6" t="n">
        <v>233284.9890410959</v>
      </c>
      <c r="P37" s="6" t="n">
        <v>228365.901369863</v>
      </c>
      <c r="Q37" s="6">
        <f>AVERAGE(N37:P37)</f>
        <v/>
      </c>
      <c r="R37" t="n">
        <v>3</v>
      </c>
      <c r="S37" t="n">
        <v>1</v>
      </c>
      <c r="T37" s="7">
        <f>365*R37*Q37*S37/1000000</f>
        <v/>
      </c>
      <c r="U37" s="8">
        <f>I37/T37</f>
        <v/>
      </c>
      <c r="V37" s="8">
        <f>SUMIF($E$2:$E$599,E37,$I$2:$I$599)/SUMIF($E$2:$E$599,E37,$T$2:$T$599)</f>
        <v/>
      </c>
      <c r="W37" s="8">
        <f>V37+1.645*SQRT(V37/T37)+1/(2*T37)</f>
        <v/>
      </c>
      <c r="X37" s="5">
        <f>U37/W37</f>
        <v/>
      </c>
      <c r="Y37">
        <f>IF(U37&gt;W37,"high",IF(U37&gt;V37,"medium","low"))</f>
        <v/>
      </c>
      <c r="Z37">
        <f>CHOOSE(MAX(IF(M37="high",2,IF(M37="medium",1,0)),IF(Y37="high",2,IF(Y37="medium",1,0)))+1,"low","medium","high")</f>
        <v/>
      </c>
      <c r="AA37">
        <f>IF(IF(M37="high",2,IF(M37="medium",1,0))=IF(Y37="high",2,IF(Y37="medium",1,0)),"SI และ Rate เท่ากัน",IF(IF(M37="high",2,IF(M37="medium",1,0))&gt;IF(Y37="high",2,IF(Y37="medium",1,0)),"SI","Rate"))</f>
        <v/>
      </c>
    </row>
    <row r="38">
      <c r="A38" t="inlineStr">
        <is>
          <t>zone_85</t>
        </is>
      </c>
      <c r="B38" t="inlineStr">
        <is>
          <t>แขวงรามอินทรา - บางพลี</t>
        </is>
      </c>
      <c r="C38" t="inlineStr">
        <is>
          <t>กรุงเทพมหานคร</t>
        </is>
      </c>
      <c r="D38" t="inlineStr">
        <is>
          <t>9</t>
        </is>
      </c>
      <c r="E38" t="inlineStr">
        <is>
          <t>ทล.</t>
        </is>
      </c>
      <c r="F38" t="inlineStr">
        <is>
          <t>51.1–52.6</t>
        </is>
      </c>
      <c r="G38" t="inlineStr">
        <is>
          <t>station_id 348 (ทล.9 กม.59+500)</t>
        </is>
      </c>
      <c r="H38" t="inlineStr">
        <is>
          <t>ทล. สถานีตัวแทนตอนควบคุม</t>
        </is>
      </c>
      <c r="I38" t="n">
        <v>46</v>
      </c>
      <c r="J38" t="n">
        <v>0</v>
      </c>
      <c r="K38" t="n">
        <v>37</v>
      </c>
      <c r="L38" s="5" t="n">
        <v>0.8043</v>
      </c>
      <c r="M38" t="inlineStr">
        <is>
          <t>low</t>
        </is>
      </c>
      <c r="N38" s="6" t="n">
        <v>110915</v>
      </c>
      <c r="O38" s="6" t="n">
        <v>117953</v>
      </c>
      <c r="P38" s="6" t="n">
        <v>117813</v>
      </c>
      <c r="Q38" s="6">
        <f>AVERAGE(N38:P38)</f>
        <v/>
      </c>
      <c r="R38" t="n">
        <v>3</v>
      </c>
      <c r="S38" t="n">
        <v>1</v>
      </c>
      <c r="T38" s="7">
        <f>365*R38*Q38*S38/1000000</f>
        <v/>
      </c>
      <c r="U38" s="8">
        <f>I38/T38</f>
        <v/>
      </c>
      <c r="V38" s="8">
        <f>SUMIF($E$2:$E$599,E38,$I$2:$I$599)/SUMIF($E$2:$E$599,E38,$T$2:$T$599)</f>
        <v/>
      </c>
      <c r="W38" s="8">
        <f>V38+1.645*SQRT(V38/T38)+1/(2*T38)</f>
        <v/>
      </c>
      <c r="X38" s="5">
        <f>U38/W38</f>
        <v/>
      </c>
      <c r="Y38">
        <f>IF(U38&gt;W38,"high",IF(U38&gt;V38,"medium","low"))</f>
        <v/>
      </c>
      <c r="Z38">
        <f>CHOOSE(MAX(IF(M38="high",2,IF(M38="medium",1,0)),IF(Y38="high",2,IF(Y38="medium",1,0)))+1,"low","medium","high")</f>
        <v/>
      </c>
      <c r="AA38">
        <f>IF(IF(M38="high",2,IF(M38="medium",1,0))=IF(Y38="high",2,IF(Y38="medium",1,0)),"SI และ Rate เท่ากัน",IF(IF(M38="high",2,IF(M38="medium",1,0))&gt;IF(Y38="high",2,IF(Y38="medium",1,0)),"SI","Rate"))</f>
        <v/>
      </c>
    </row>
    <row r="39">
      <c r="A39" t="inlineStr">
        <is>
          <t>zone_281</t>
        </is>
      </c>
      <c r="B39" t="inlineStr">
        <is>
          <t>หมอชิต-กาญจนาฯ</t>
        </is>
      </c>
      <c r="C39" t="inlineStr">
        <is>
          <t>กรุงเทพมหานคร</t>
        </is>
      </c>
      <c r="D39" t="inlineStr">
        <is>
          <t>E002S018|I</t>
        </is>
      </c>
      <c r="E39" t="inlineStr">
        <is>
          <t>กทพ.</t>
        </is>
      </c>
      <c r="F39" t="inlineStr">
        <is>
          <t>15.3–15.6</t>
        </is>
      </c>
      <c r="G39" t="inlineStr">
        <is>
          <t>ศรีรัช-วงแหวนรอบนอกกรุงเทพมหานคร</t>
        </is>
      </c>
      <c r="H39" t="inlineStr">
        <is>
          <t>กทพ. ยอดผ่านด่านทั้งสาย ÷ 365</t>
        </is>
      </c>
      <c r="I39" t="n">
        <v>7</v>
      </c>
      <c r="J39" t="n">
        <v>0</v>
      </c>
      <c r="K39" t="n">
        <v>4</v>
      </c>
      <c r="L39" s="5" t="n">
        <v>0.5714</v>
      </c>
      <c r="M39" t="inlineStr">
        <is>
          <t>low</t>
        </is>
      </c>
      <c r="N39" s="6" t="n">
        <v>61181.64109589041</v>
      </c>
      <c r="O39" s="6" t="n">
        <v>63324.26301369863</v>
      </c>
      <c r="P39" s="6" t="n">
        <v>62546.53424657534</v>
      </c>
      <c r="Q39" s="6">
        <f>AVERAGE(N39:P39)</f>
        <v/>
      </c>
      <c r="R39" t="n">
        <v>3</v>
      </c>
      <c r="S39" t="n">
        <v>1</v>
      </c>
      <c r="T39" s="7">
        <f>365*R39*Q39*S39/1000000</f>
        <v/>
      </c>
      <c r="U39" s="8">
        <f>I39/T39</f>
        <v/>
      </c>
      <c r="V39" s="8">
        <f>SUMIF($E$2:$E$599,E39,$I$2:$I$599)/SUMIF($E$2:$E$599,E39,$T$2:$T$599)</f>
        <v/>
      </c>
      <c r="W39" s="8">
        <f>V39+1.645*SQRT(V39/T39)+1/(2*T39)</f>
        <v/>
      </c>
      <c r="X39" s="5">
        <f>U39/W39</f>
        <v/>
      </c>
      <c r="Y39">
        <f>IF(U39&gt;W39,"high",IF(U39&gt;V39,"medium","low"))</f>
        <v/>
      </c>
      <c r="Z39">
        <f>CHOOSE(MAX(IF(M39="high",2,IF(M39="medium",1,0)),IF(Y39="high",2,IF(Y39="medium",1,0)))+1,"low","medium","high")</f>
        <v/>
      </c>
      <c r="AA39">
        <f>IF(IF(M39="high",2,IF(M39="medium",1,0))=IF(Y39="high",2,IF(Y39="medium",1,0)),"SI และ Rate เท่ากัน",IF(IF(M39="high",2,IF(M39="medium",1,0))&gt;IF(Y39="high",2,IF(Y39="medium",1,0)),"SI","Rate"))</f>
        <v/>
      </c>
    </row>
    <row r="40">
      <c r="A40" t="inlineStr">
        <is>
          <t>zone_317</t>
        </is>
      </c>
      <c r="B40" t="inlineStr">
        <is>
          <t>หมอชิต-กาญจนาฯ</t>
        </is>
      </c>
      <c r="C40" t="inlineStr">
        <is>
          <t>กรุงเทพมหานคร</t>
        </is>
      </c>
      <c r="D40" t="inlineStr">
        <is>
          <t>E002S018|U</t>
        </is>
      </c>
      <c r="E40" t="inlineStr">
        <is>
          <t>กทพ.</t>
        </is>
      </c>
      <c r="F40" t="inlineStr">
        <is>
          <t>10.8–11</t>
        </is>
      </c>
      <c r="G40" t="inlineStr">
        <is>
          <t>ศรีรัช-วงแหวนรอบนอกกรุงเทพมหานคร</t>
        </is>
      </c>
      <c r="H40" t="inlineStr">
        <is>
          <t>กทพ. ยอดผ่านด่านทั้งสาย ÷ 365</t>
        </is>
      </c>
      <c r="I40" t="n">
        <v>7</v>
      </c>
      <c r="J40" t="n">
        <v>0</v>
      </c>
      <c r="K40" t="n">
        <v>1</v>
      </c>
      <c r="L40" s="5" t="n">
        <v>0.1429</v>
      </c>
      <c r="M40" t="inlineStr">
        <is>
          <t>low</t>
        </is>
      </c>
      <c r="N40" s="6" t="n">
        <v>61181.64109589041</v>
      </c>
      <c r="O40" s="6" t="n">
        <v>63324.26301369863</v>
      </c>
      <c r="P40" s="6" t="n">
        <v>62546.53424657534</v>
      </c>
      <c r="Q40" s="6">
        <f>AVERAGE(N40:P40)</f>
        <v/>
      </c>
      <c r="R40" t="n">
        <v>3</v>
      </c>
      <c r="S40" t="n">
        <v>1</v>
      </c>
      <c r="T40" s="7">
        <f>365*R40*Q40*S40/1000000</f>
        <v/>
      </c>
      <c r="U40" s="8">
        <f>I40/T40</f>
        <v/>
      </c>
      <c r="V40" s="8">
        <f>SUMIF($E$2:$E$599,E40,$I$2:$I$599)/SUMIF($E$2:$E$599,E40,$T$2:$T$599)</f>
        <v/>
      </c>
      <c r="W40" s="8">
        <f>V40+1.645*SQRT(V40/T40)+1/(2*T40)</f>
        <v/>
      </c>
      <c r="X40" s="5">
        <f>U40/W40</f>
        <v/>
      </c>
      <c r="Y40">
        <f>IF(U40&gt;W40,"high",IF(U40&gt;V40,"medium","low"))</f>
        <v/>
      </c>
      <c r="Z40">
        <f>CHOOSE(MAX(IF(M40="high",2,IF(M40="medium",1,0)),IF(Y40="high",2,IF(Y40="medium",1,0)))+1,"low","medium","high")</f>
        <v/>
      </c>
      <c r="AA40">
        <f>IF(IF(M40="high",2,IF(M40="medium",1,0))=IF(Y40="high",2,IF(Y40="medium",1,0)),"SI และ Rate เท่ากัน",IF(IF(M40="high",2,IF(M40="medium",1,0))&gt;IF(Y40="high",2,IF(Y40="medium",1,0)),"SI","Rate"))</f>
        <v/>
      </c>
    </row>
    <row r="41">
      <c r="A41" t="inlineStr">
        <is>
          <t>zone_91</t>
        </is>
      </c>
      <c r="B41" t="inlineStr">
        <is>
          <t>บางปะอิน - แขวงรามอินทรา</t>
        </is>
      </c>
      <c r="C41" t="inlineStr">
        <is>
          <t>กรุงเทพมหานคร</t>
        </is>
      </c>
      <c r="D41" t="inlineStr">
        <is>
          <t>9</t>
        </is>
      </c>
      <c r="E41" t="inlineStr">
        <is>
          <t>ทล.</t>
        </is>
      </c>
      <c r="F41" t="inlineStr">
        <is>
          <t>41.1–43.7</t>
        </is>
      </c>
      <c r="G41" t="inlineStr">
        <is>
          <t>station_id 347 (ทล.9 กม.1+500)</t>
        </is>
      </c>
      <c r="H41" t="inlineStr">
        <is>
          <t>ทล. สถานีตัวแทนตอนควบคุม</t>
        </is>
      </c>
      <c r="I41" t="n">
        <v>59</v>
      </c>
      <c r="J41" t="n">
        <v>0</v>
      </c>
      <c r="K41" t="n">
        <v>56</v>
      </c>
      <c r="L41" s="5" t="n">
        <v>0.9492</v>
      </c>
      <c r="M41" t="inlineStr">
        <is>
          <t>low</t>
        </is>
      </c>
      <c r="N41" s="6" t="n">
        <v>146870</v>
      </c>
      <c r="O41" s="6" t="n">
        <v>165212</v>
      </c>
      <c r="P41" s="6" t="n">
        <v>160792</v>
      </c>
      <c r="Q41" s="6">
        <f>AVERAGE(N41:P41)</f>
        <v/>
      </c>
      <c r="R41" t="n">
        <v>3</v>
      </c>
      <c r="S41" t="n">
        <v>1</v>
      </c>
      <c r="T41" s="7">
        <f>365*R41*Q41*S41/1000000</f>
        <v/>
      </c>
      <c r="U41" s="8">
        <f>I41/T41</f>
        <v/>
      </c>
      <c r="V41" s="8">
        <f>SUMIF($E$2:$E$599,E41,$I$2:$I$599)/SUMIF($E$2:$E$599,E41,$T$2:$T$599)</f>
        <v/>
      </c>
      <c r="W41" s="8">
        <f>V41+1.645*SQRT(V41/T41)+1/(2*T41)</f>
        <v/>
      </c>
      <c r="X41" s="5">
        <f>U41/W41</f>
        <v/>
      </c>
      <c r="Y41">
        <f>IF(U41&gt;W41,"high",IF(U41&gt;V41,"medium","low"))</f>
        <v/>
      </c>
      <c r="Z41">
        <f>CHOOSE(MAX(IF(M41="high",2,IF(M41="medium",1,0)),IF(Y41="high",2,IF(Y41="medium",1,0)))+1,"low","medium","high")</f>
        <v/>
      </c>
      <c r="AA41">
        <f>IF(IF(M41="high",2,IF(M41="medium",1,0))=IF(Y41="high",2,IF(Y41="medium",1,0)),"SI และ Rate เท่ากัน",IF(IF(M41="high",2,IF(M41="medium",1,0))&gt;IF(Y41="high",2,IF(Y41="medium",1,0)),"SI","Rate"))</f>
        <v/>
      </c>
    </row>
    <row r="42">
      <c r="A42" t="inlineStr">
        <is>
          <t>zone_27</t>
        </is>
      </c>
      <c r="B42" t="inlineStr">
        <is>
          <t>บางแค - คลองมหาสวัสดิ์</t>
        </is>
      </c>
      <c r="C42" t="inlineStr">
        <is>
          <t>กรุงเทพมหานคร</t>
        </is>
      </c>
      <c r="D42" t="inlineStr">
        <is>
          <t>3901</t>
        </is>
      </c>
      <c r="E42" t="inlineStr">
        <is>
          <t>ทล.</t>
        </is>
      </c>
      <c r="F42" t="inlineStr">
        <is>
          <t>28.3–31</t>
        </is>
      </c>
      <c r="G42" t="inlineStr">
        <is>
          <t>station_id 131 (ทล.3901 กม.20+430)</t>
        </is>
      </c>
      <c r="H42" t="inlineStr">
        <is>
          <t>ทล. สถานีตัวแทนตอนควบคุม</t>
        </is>
      </c>
      <c r="I42" t="n">
        <v>18</v>
      </c>
      <c r="J42" t="n">
        <v>0</v>
      </c>
      <c r="K42" t="n">
        <v>7</v>
      </c>
      <c r="L42" s="5" t="n">
        <v>0.3889</v>
      </c>
      <c r="M42" t="inlineStr">
        <is>
          <t>low</t>
        </is>
      </c>
      <c r="N42" s="6" t="n">
        <v>33842</v>
      </c>
      <c r="O42" s="6" t="n">
        <v>35924</v>
      </c>
      <c r="P42" s="6" t="n">
        <v>41328</v>
      </c>
      <c r="Q42" s="6">
        <f>AVERAGE(N42:P42)</f>
        <v/>
      </c>
      <c r="R42" t="n">
        <v>3</v>
      </c>
      <c r="S42" t="n">
        <v>1</v>
      </c>
      <c r="T42" s="7">
        <f>365*R42*Q42*S42/1000000</f>
        <v/>
      </c>
      <c r="U42" s="8">
        <f>I42/T42</f>
        <v/>
      </c>
      <c r="V42" s="8">
        <f>SUMIF($E$2:$E$599,E42,$I$2:$I$599)/SUMIF($E$2:$E$599,E42,$T$2:$T$599)</f>
        <v/>
      </c>
      <c r="W42" s="8">
        <f>V42+1.645*SQRT(V42/T42)+1/(2*T42)</f>
        <v/>
      </c>
      <c r="X42" s="5">
        <f>U42/W42</f>
        <v/>
      </c>
      <c r="Y42">
        <f>IF(U42&gt;W42,"high",IF(U42&gt;V42,"medium","low"))</f>
        <v/>
      </c>
      <c r="Z42">
        <f>CHOOSE(MAX(IF(M42="high",2,IF(M42="medium",1,0)),IF(Y42="high",2,IF(Y42="medium",1,0)))+1,"low","medium","high")</f>
        <v/>
      </c>
      <c r="AA42">
        <f>IF(IF(M42="high",2,IF(M42="medium",1,0))=IF(Y42="high",2,IF(Y42="medium",1,0)),"SI และ Rate เท่ากัน",IF(IF(M42="high",2,IF(M42="medium",1,0))&gt;IF(Y42="high",2,IF(Y42="medium",1,0)),"SI","Rate"))</f>
        <v/>
      </c>
    </row>
    <row r="43">
      <c r="A43" t="inlineStr">
        <is>
          <t>zone_135</t>
        </is>
      </c>
      <c r="B43" t="inlineStr">
        <is>
          <t>บางแค - คลองมหาสวัสดิ์</t>
        </is>
      </c>
      <c r="C43" t="inlineStr">
        <is>
          <t>กรุงเทพมหานคร</t>
        </is>
      </c>
      <c r="D43" t="inlineStr">
        <is>
          <t>9</t>
        </is>
      </c>
      <c r="E43" t="inlineStr">
        <is>
          <t>ทล.</t>
        </is>
      </c>
      <c r="F43" t="inlineStr">
        <is>
          <t>20.2–22.028</t>
        </is>
      </c>
      <c r="G43" t="inlineStr">
        <is>
          <t>station_id 123 (ทล.9 กม.20+430)</t>
        </is>
      </c>
      <c r="H43" t="inlineStr">
        <is>
          <t>ทล. สถานีตัวแทนตอนควบคุม</t>
        </is>
      </c>
      <c r="I43" t="n">
        <v>58</v>
      </c>
      <c r="J43" t="n">
        <v>2</v>
      </c>
      <c r="K43" t="n">
        <v>46</v>
      </c>
      <c r="L43" s="5" t="n">
        <v>0.8276</v>
      </c>
      <c r="M43" t="inlineStr">
        <is>
          <t>low</t>
        </is>
      </c>
      <c r="N43" s="6" t="n">
        <v>161583</v>
      </c>
      <c r="O43" s="6" t="n">
        <v>167210</v>
      </c>
      <c r="P43" s="6" t="n">
        <v>164129</v>
      </c>
      <c r="Q43" s="6">
        <f>AVERAGE(N43:P43)</f>
        <v/>
      </c>
      <c r="R43" t="n">
        <v>3</v>
      </c>
      <c r="S43" t="n">
        <v>1</v>
      </c>
      <c r="T43" s="7">
        <f>365*R43*Q43*S43/1000000</f>
        <v/>
      </c>
      <c r="U43" s="8">
        <f>I43/T43</f>
        <v/>
      </c>
      <c r="V43" s="8">
        <f>SUMIF($E$2:$E$599,E43,$I$2:$I$599)/SUMIF($E$2:$E$599,E43,$T$2:$T$599)</f>
        <v/>
      </c>
      <c r="W43" s="8">
        <f>V43+1.645*SQRT(V43/T43)+1/(2*T43)</f>
        <v/>
      </c>
      <c r="X43" s="5">
        <f>U43/W43</f>
        <v/>
      </c>
      <c r="Y43">
        <f>IF(U43&gt;W43,"high",IF(U43&gt;V43,"medium","low"))</f>
        <v/>
      </c>
      <c r="Z43">
        <f>CHOOSE(MAX(IF(M43="high",2,IF(M43="medium",1,0)),IF(Y43="high",2,IF(Y43="medium",1,0)))+1,"low","medium","high")</f>
        <v/>
      </c>
      <c r="AA43">
        <f>IF(IF(M43="high",2,IF(M43="medium",1,0))=IF(Y43="high",2,IF(Y43="medium",1,0)),"SI และ Rate เท่ากัน",IF(IF(M43="high",2,IF(M43="medium",1,0))&gt;IF(Y43="high",2,IF(Y43="medium",1,0)),"SI","Rate"))</f>
        <v/>
      </c>
    </row>
    <row r="44">
      <c r="A44" t="inlineStr">
        <is>
          <t>zone_504</t>
        </is>
      </c>
      <c r="B44" t="inlineStr">
        <is>
          <t>บางพลี-สุขสวัสดิ์</t>
        </is>
      </c>
      <c r="C44" t="inlineStr">
        <is>
          <t>สมุทรปราการ</t>
        </is>
      </c>
      <c r="D44" t="inlineStr">
        <is>
          <t>E007S013|I</t>
        </is>
      </c>
      <c r="E44" t="inlineStr">
        <is>
          <t>กทพ.</t>
        </is>
      </c>
      <c r="F44" t="inlineStr">
        <is>
          <t>19.3–19.9</t>
        </is>
      </c>
      <c r="G44" t="inlineStr">
        <is>
          <t>ทางพิเศษกาญจนาภิเษก(บางพลี-สุขสวัสดิ์)</t>
        </is>
      </c>
      <c r="H44" t="inlineStr">
        <is>
          <t>กทพ. ยอดผ่านด่านทั้งสาย ÷ 365</t>
        </is>
      </c>
      <c r="I44" t="n">
        <v>16</v>
      </c>
      <c r="J44" t="n">
        <v>2</v>
      </c>
      <c r="K44" t="n">
        <v>3</v>
      </c>
      <c r="L44" s="5" t="n">
        <v>0.3125</v>
      </c>
      <c r="M44" t="inlineStr">
        <is>
          <t>low</t>
        </is>
      </c>
      <c r="N44" s="6" t="n">
        <v>233037.0054794521</v>
      </c>
      <c r="O44" s="6" t="n">
        <v>233284.9890410959</v>
      </c>
      <c r="P44" s="6" t="n">
        <v>228365.901369863</v>
      </c>
      <c r="Q44" s="6">
        <f>AVERAGE(N44:P44)</f>
        <v/>
      </c>
      <c r="R44" t="n">
        <v>3</v>
      </c>
      <c r="S44" t="n">
        <v>1</v>
      </c>
      <c r="T44" s="7">
        <f>365*R44*Q44*S44/1000000</f>
        <v/>
      </c>
      <c r="U44" s="8">
        <f>I44/T44</f>
        <v/>
      </c>
      <c r="V44" s="8">
        <f>SUMIF($E$2:$E$599,E44,$I$2:$I$599)/SUMIF($E$2:$E$599,E44,$T$2:$T$599)</f>
        <v/>
      </c>
      <c r="W44" s="8">
        <f>V44+1.645*SQRT(V44/T44)+1/(2*T44)</f>
        <v/>
      </c>
      <c r="X44" s="5">
        <f>U44/W44</f>
        <v/>
      </c>
      <c r="Y44">
        <f>IF(U44&gt;W44,"high",IF(U44&gt;V44,"medium","low"))</f>
        <v/>
      </c>
      <c r="Z44">
        <f>CHOOSE(MAX(IF(M44="high",2,IF(M44="medium",1,0)),IF(Y44="high",2,IF(Y44="medium",1,0)))+1,"low","medium","high")</f>
        <v/>
      </c>
      <c r="AA44">
        <f>IF(IF(M44="high",2,IF(M44="medium",1,0))=IF(Y44="high",2,IF(Y44="medium",1,0)),"SI และ Rate เท่ากัน",IF(IF(M44="high",2,IF(M44="medium",1,0))&gt;IF(Y44="high",2,IF(Y44="medium",1,0)),"SI","Rate"))</f>
        <v/>
      </c>
    </row>
    <row r="45">
      <c r="A45" t="inlineStr">
        <is>
          <t>zone_132</t>
        </is>
      </c>
      <c r="B45" t="inlineStr">
        <is>
          <t>พญาไท-ศรีนครินทร์</t>
        </is>
      </c>
      <c r="C45" t="inlineStr">
        <is>
          <t>กรุงเทพมหานคร</t>
        </is>
      </c>
      <c r="D45" t="inlineStr">
        <is>
          <t>E002S016|I</t>
        </is>
      </c>
      <c r="E45" t="inlineStr">
        <is>
          <t>กทพ.</t>
        </is>
      </c>
      <c r="F45" t="inlineStr">
        <is>
          <t>1.7–2.8</t>
        </is>
      </c>
      <c r="G45" t="inlineStr">
        <is>
          <t>ศรีรัช</t>
        </is>
      </c>
      <c r="H45" t="inlineStr">
        <is>
          <t>กทพ. ยอดผ่านด่านทั้งสาย ÷ 365</t>
        </is>
      </c>
      <c r="I45" t="n">
        <v>33</v>
      </c>
      <c r="J45" t="n">
        <v>0</v>
      </c>
      <c r="K45" t="n">
        <v>6</v>
      </c>
      <c r="L45" s="5" t="n">
        <v>0.1818</v>
      </c>
      <c r="M45" t="inlineStr">
        <is>
          <t>low</t>
        </is>
      </c>
      <c r="N45" s="6" t="n">
        <v>613083.1506849315</v>
      </c>
      <c r="O45" s="6" t="n">
        <v>601127.7068493151</v>
      </c>
      <c r="P45" s="6" t="n">
        <v>607857.5287671232</v>
      </c>
      <c r="Q45" s="6">
        <f>AVERAGE(N45:P45)</f>
        <v/>
      </c>
      <c r="R45" t="n">
        <v>3</v>
      </c>
      <c r="S45" t="n">
        <v>1</v>
      </c>
      <c r="T45" s="7">
        <f>365*R45*Q45*S45/1000000</f>
        <v/>
      </c>
      <c r="U45" s="8">
        <f>I45/T45</f>
        <v/>
      </c>
      <c r="V45" s="8">
        <f>SUMIF($E$2:$E$599,E45,$I$2:$I$599)/SUMIF($E$2:$E$599,E45,$T$2:$T$599)</f>
        <v/>
      </c>
      <c r="W45" s="8">
        <f>V45+1.645*SQRT(V45/T45)+1/(2*T45)</f>
        <v/>
      </c>
      <c r="X45" s="5">
        <f>U45/W45</f>
        <v/>
      </c>
      <c r="Y45">
        <f>IF(U45&gt;W45,"high",IF(U45&gt;V45,"medium","low"))</f>
        <v/>
      </c>
      <c r="Z45">
        <f>CHOOSE(MAX(IF(M45="high",2,IF(M45="medium",1,0)),IF(Y45="high",2,IF(Y45="medium",1,0)))+1,"low","medium","high")</f>
        <v/>
      </c>
      <c r="AA45">
        <f>IF(IF(M45="high",2,IF(M45="medium",1,0))=IF(Y45="high",2,IF(Y45="medium",1,0)),"SI และ Rate เท่ากัน",IF(IF(M45="high",2,IF(M45="medium",1,0))&gt;IF(Y45="high",2,IF(Y45="medium",1,0)),"SI","Rate"))</f>
        <v/>
      </c>
    </row>
    <row r="46">
      <c r="A46" t="inlineStr">
        <is>
          <t>zone_3</t>
        </is>
      </c>
      <c r="B46" t="inlineStr">
        <is>
          <t>บางแค - คลองมหาสวัสดิ์</t>
        </is>
      </c>
      <c r="C46" t="inlineStr">
        <is>
          <t>กรุงเทพมหานคร</t>
        </is>
      </c>
      <c r="D46" t="inlineStr">
        <is>
          <t>9</t>
        </is>
      </c>
      <c r="E46" t="inlineStr">
        <is>
          <t>ทล.</t>
        </is>
      </c>
      <c r="F46" t="inlineStr">
        <is>
          <t>28.8–30.997</t>
        </is>
      </c>
      <c r="G46" t="inlineStr">
        <is>
          <t>station_id 123 (ทล.9 กม.20+430)</t>
        </is>
      </c>
      <c r="H46" t="inlineStr">
        <is>
          <t>ทล. สถานีตัวแทนตอนควบคุม</t>
        </is>
      </c>
      <c r="I46" t="n">
        <v>56</v>
      </c>
      <c r="J46" t="n">
        <v>3</v>
      </c>
      <c r="K46" t="n">
        <v>29</v>
      </c>
      <c r="L46" s="5" t="n">
        <v>0.5714</v>
      </c>
      <c r="M46" t="inlineStr">
        <is>
          <t>low</t>
        </is>
      </c>
      <c r="N46" s="6" t="n">
        <v>161583</v>
      </c>
      <c r="O46" s="6" t="n">
        <v>167210</v>
      </c>
      <c r="P46" s="6" t="n">
        <v>164129</v>
      </c>
      <c r="Q46" s="6">
        <f>AVERAGE(N46:P46)</f>
        <v/>
      </c>
      <c r="R46" t="n">
        <v>3</v>
      </c>
      <c r="S46" t="n">
        <v>1</v>
      </c>
      <c r="T46" s="7">
        <f>365*R46*Q46*S46/1000000</f>
        <v/>
      </c>
      <c r="U46" s="8">
        <f>I46/T46</f>
        <v/>
      </c>
      <c r="V46" s="8">
        <f>SUMIF($E$2:$E$599,E46,$I$2:$I$599)/SUMIF($E$2:$E$599,E46,$T$2:$T$599)</f>
        <v/>
      </c>
      <c r="W46" s="8">
        <f>V46+1.645*SQRT(V46/T46)+1/(2*T46)</f>
        <v/>
      </c>
      <c r="X46" s="5">
        <f>U46/W46</f>
        <v/>
      </c>
      <c r="Y46">
        <f>IF(U46&gt;W46,"high",IF(U46&gt;V46,"medium","low"))</f>
        <v/>
      </c>
      <c r="Z46">
        <f>CHOOSE(MAX(IF(M46="high",2,IF(M46="medium",1,0)),IF(Y46="high",2,IF(Y46="medium",1,0)))+1,"low","medium","high")</f>
        <v/>
      </c>
      <c r="AA46">
        <f>IF(IF(M46="high",2,IF(M46="medium",1,0))=IF(Y46="high",2,IF(Y46="medium",1,0)),"SI และ Rate เท่ากัน",IF(IF(M46="high",2,IF(M46="medium",1,0))&gt;IF(Y46="high",2,IF(Y46="medium",1,0)),"SI","Rate"))</f>
        <v/>
      </c>
    </row>
    <row r="47">
      <c r="A47" t="inlineStr">
        <is>
          <t>zone_86</t>
        </is>
      </c>
      <c r="B47" t="inlineStr">
        <is>
          <t>แขวงรามอินทรา - บางพลี</t>
        </is>
      </c>
      <c r="C47" t="inlineStr">
        <is>
          <t>กรุงเทพมหานคร</t>
        </is>
      </c>
      <c r="D47" t="inlineStr">
        <is>
          <t>9</t>
        </is>
      </c>
      <c r="E47" t="inlineStr">
        <is>
          <t>ทล.</t>
        </is>
      </c>
      <c r="F47" t="inlineStr">
        <is>
          <t>12.25–45.5</t>
        </is>
      </c>
      <c r="G47" t="inlineStr">
        <is>
          <t>station_id 347 (ทล.9 กม.1+500)</t>
        </is>
      </c>
      <c r="H47" t="inlineStr">
        <is>
          <t>ทล. สถานีตัวแทนตอนควบคุม</t>
        </is>
      </c>
      <c r="I47" t="n">
        <v>54</v>
      </c>
      <c r="J47" t="n">
        <v>1</v>
      </c>
      <c r="K47" t="n">
        <v>40</v>
      </c>
      <c r="L47" s="5" t="n">
        <v>0.7593</v>
      </c>
      <c r="M47" t="inlineStr">
        <is>
          <t>low</t>
        </is>
      </c>
      <c r="N47" s="6" t="n">
        <v>146870</v>
      </c>
      <c r="O47" s="6" t="n">
        <v>165212</v>
      </c>
      <c r="P47" s="6" t="n">
        <v>160792</v>
      </c>
      <c r="Q47" s="6">
        <f>AVERAGE(N47:P47)</f>
        <v/>
      </c>
      <c r="R47" t="n">
        <v>3</v>
      </c>
      <c r="S47" t="n">
        <v>1</v>
      </c>
      <c r="T47" s="7">
        <f>365*R47*Q47*S47/1000000</f>
        <v/>
      </c>
      <c r="U47" s="8">
        <f>I47/T47</f>
        <v/>
      </c>
      <c r="V47" s="8">
        <f>SUMIF($E$2:$E$599,E47,$I$2:$I$599)/SUMIF($E$2:$E$599,E47,$T$2:$T$599)</f>
        <v/>
      </c>
      <c r="W47" s="8">
        <f>V47+1.645*SQRT(V47/T47)+1/(2*T47)</f>
        <v/>
      </c>
      <c r="X47" s="5">
        <f>U47/W47</f>
        <v/>
      </c>
      <c r="Y47">
        <f>IF(U47&gt;W47,"high",IF(U47&gt;V47,"medium","low"))</f>
        <v/>
      </c>
      <c r="Z47">
        <f>CHOOSE(MAX(IF(M47="high",2,IF(M47="medium",1,0)),IF(Y47="high",2,IF(Y47="medium",1,0)))+1,"low","medium","high")</f>
        <v/>
      </c>
      <c r="AA47">
        <f>IF(IF(M47="high",2,IF(M47="medium",1,0))=IF(Y47="high",2,IF(Y47="medium",1,0)),"SI และ Rate เท่ากัน",IF(IF(M47="high",2,IF(M47="medium",1,0))&gt;IF(Y47="high",2,IF(Y47="medium",1,0)),"SI","Rate"))</f>
        <v/>
      </c>
    </row>
    <row r="48">
      <c r="A48" t="inlineStr">
        <is>
          <t>zone_24</t>
        </is>
      </c>
      <c r="B48" t="inlineStr">
        <is>
          <t>อรุณอมรินทร์ - พุทธมณฑลสาย4</t>
        </is>
      </c>
      <c r="C48" t="inlineStr">
        <is>
          <t>กรุงเทพมหานคร</t>
        </is>
      </c>
      <c r="D48" t="inlineStr">
        <is>
          <t>338</t>
        </is>
      </c>
      <c r="E48" t="inlineStr">
        <is>
          <t>ทล.</t>
        </is>
      </c>
      <c r="F48" t="inlineStr">
        <is>
          <t>13.867–15.1</t>
        </is>
      </c>
      <c r="G48" t="inlineStr">
        <is>
          <t>station_id 125 (ทล.338 กม.9+281)</t>
        </is>
      </c>
      <c r="H48" t="inlineStr">
        <is>
          <t>ทล. สถานีตัวแทนตอนควบคุม</t>
        </is>
      </c>
      <c r="I48" t="n">
        <v>50</v>
      </c>
      <c r="J48" t="n">
        <v>0</v>
      </c>
      <c r="K48" t="n">
        <v>36</v>
      </c>
      <c r="L48" s="5" t="n">
        <v>0.72</v>
      </c>
      <c r="M48" t="inlineStr">
        <is>
          <t>low</t>
        </is>
      </c>
      <c r="N48" s="6" t="n">
        <v>143761</v>
      </c>
      <c r="O48" s="6" t="n">
        <v>146988</v>
      </c>
      <c r="P48" s="6" t="n">
        <v>145895</v>
      </c>
      <c r="Q48" s="6">
        <f>AVERAGE(N48:P48)</f>
        <v/>
      </c>
      <c r="R48" t="n">
        <v>3</v>
      </c>
      <c r="S48" t="n">
        <v>1</v>
      </c>
      <c r="T48" s="7">
        <f>365*R48*Q48*S48/1000000</f>
        <v/>
      </c>
      <c r="U48" s="8">
        <f>I48/T48</f>
        <v/>
      </c>
      <c r="V48" s="8">
        <f>SUMIF($E$2:$E$599,E48,$I$2:$I$599)/SUMIF($E$2:$E$599,E48,$T$2:$T$599)</f>
        <v/>
      </c>
      <c r="W48" s="8">
        <f>V48+1.645*SQRT(V48/T48)+1/(2*T48)</f>
        <v/>
      </c>
      <c r="X48" s="5">
        <f>U48/W48</f>
        <v/>
      </c>
      <c r="Y48">
        <f>IF(U48&gt;W48,"high",IF(U48&gt;V48,"medium","low"))</f>
        <v/>
      </c>
      <c r="Z48">
        <f>CHOOSE(MAX(IF(M48="high",2,IF(M48="medium",1,0)),IF(Y48="high",2,IF(Y48="medium",1,0)))+1,"low","medium","high")</f>
        <v/>
      </c>
      <c r="AA48">
        <f>IF(IF(M48="high",2,IF(M48="medium",1,0))=IF(Y48="high",2,IF(Y48="medium",1,0)),"SI และ Rate เท่ากัน",IF(IF(M48="high",2,IF(M48="medium",1,0))&gt;IF(Y48="high",2,IF(Y48="medium",1,0)),"SI","Rate"))</f>
        <v/>
      </c>
    </row>
    <row r="49">
      <c r="A49" t="inlineStr">
        <is>
          <t>zone_461</t>
        </is>
      </c>
      <c r="B49" t="inlineStr">
        <is>
          <t>แขวงคลองสองต้นนุ่น - พิมพา</t>
        </is>
      </c>
      <c r="C49" t="inlineStr">
        <is>
          <t>สมุทรปราการ</t>
        </is>
      </c>
      <c r="D49" t="inlineStr">
        <is>
          <t>7</t>
        </is>
      </c>
      <c r="E49" t="inlineStr">
        <is>
          <t>ทล.</t>
        </is>
      </c>
      <c r="F49" t="inlineStr">
        <is>
          <t>26.3–28</t>
        </is>
      </c>
      <c r="G49" t="inlineStr">
        <is>
          <t>station_id 345 (ทล.7 กม.17+000)</t>
        </is>
      </c>
      <c r="H49" t="inlineStr">
        <is>
          <t>ทล. สถานีตัวแทนตอนควบคุม</t>
        </is>
      </c>
      <c r="I49" t="n">
        <v>77</v>
      </c>
      <c r="J49" t="n">
        <v>0</v>
      </c>
      <c r="K49" t="n">
        <v>15</v>
      </c>
      <c r="L49" s="5" t="n">
        <v>0.1948</v>
      </c>
      <c r="M49" t="inlineStr">
        <is>
          <t>low</t>
        </is>
      </c>
      <c r="N49" s="6" t="n">
        <v>220901</v>
      </c>
      <c r="O49" s="6" t="n">
        <v>242192</v>
      </c>
      <c r="P49" s="6" t="n">
        <v>262343</v>
      </c>
      <c r="Q49" s="6">
        <f>AVERAGE(N49:P49)</f>
        <v/>
      </c>
      <c r="R49" t="n">
        <v>3</v>
      </c>
      <c r="S49" t="n">
        <v>1</v>
      </c>
      <c r="T49" s="7">
        <f>365*R49*Q49*S49/1000000</f>
        <v/>
      </c>
      <c r="U49" s="8">
        <f>I49/T49</f>
        <v/>
      </c>
      <c r="V49" s="8">
        <f>SUMIF($E$2:$E$599,E49,$I$2:$I$599)/SUMIF($E$2:$E$599,E49,$T$2:$T$599)</f>
        <v/>
      </c>
      <c r="W49" s="8">
        <f>V49+1.645*SQRT(V49/T49)+1/(2*T49)</f>
        <v/>
      </c>
      <c r="X49" s="5">
        <f>U49/W49</f>
        <v/>
      </c>
      <c r="Y49">
        <f>IF(U49&gt;W49,"high",IF(U49&gt;V49,"medium","low"))</f>
        <v/>
      </c>
      <c r="Z49">
        <f>CHOOSE(MAX(IF(M49="high",2,IF(M49="medium",1,0)),IF(Y49="high",2,IF(Y49="medium",1,0)))+1,"low","medium","high")</f>
        <v/>
      </c>
      <c r="AA49">
        <f>IF(IF(M49="high",2,IF(M49="medium",1,0))=IF(Y49="high",2,IF(Y49="medium",1,0)),"SI และ Rate เท่ากัน",IF(IF(M49="high",2,IF(M49="medium",1,0))&gt;IF(Y49="high",2,IF(Y49="medium",1,0)),"SI","Rate"))</f>
        <v/>
      </c>
    </row>
    <row r="50">
      <c r="A50" t="inlineStr">
        <is>
          <t>zone_73</t>
        </is>
      </c>
      <c r="B50" t="inlineStr">
        <is>
          <t>บางปะอิน - แขวงรามอินทรา</t>
        </is>
      </c>
      <c r="C50" t="inlineStr">
        <is>
          <t>ปทุมธานี</t>
        </is>
      </c>
      <c r="D50" t="inlineStr">
        <is>
          <t>9</t>
        </is>
      </c>
      <c r="E50" t="inlineStr">
        <is>
          <t>ทล.</t>
        </is>
      </c>
      <c r="F50" t="inlineStr">
        <is>
          <t>29.4–31.5</t>
        </is>
      </c>
      <c r="G50" t="inlineStr">
        <is>
          <t>station_id 347 (ทล.9 กม.1+500)</t>
        </is>
      </c>
      <c r="H50" t="inlineStr">
        <is>
          <t>ทล. สถานีตัวแทนตอนควบคุม</t>
        </is>
      </c>
      <c r="I50" t="n">
        <v>47</v>
      </c>
      <c r="J50" t="n">
        <v>0</v>
      </c>
      <c r="K50" t="n">
        <v>12</v>
      </c>
      <c r="L50" s="5" t="n">
        <v>0.2553</v>
      </c>
      <c r="M50" t="inlineStr">
        <is>
          <t>low</t>
        </is>
      </c>
      <c r="N50" s="6" t="n">
        <v>146870</v>
      </c>
      <c r="O50" s="6" t="n">
        <v>165212</v>
      </c>
      <c r="P50" s="6" t="n">
        <v>160792</v>
      </c>
      <c r="Q50" s="6">
        <f>AVERAGE(N50:P50)</f>
        <v/>
      </c>
      <c r="R50" t="n">
        <v>3</v>
      </c>
      <c r="S50" t="n">
        <v>1</v>
      </c>
      <c r="T50" s="7">
        <f>365*R50*Q50*S50/1000000</f>
        <v/>
      </c>
      <c r="U50" s="8">
        <f>I50/T50</f>
        <v/>
      </c>
      <c r="V50" s="8">
        <f>SUMIF($E$2:$E$599,E50,$I$2:$I$599)/SUMIF($E$2:$E$599,E50,$T$2:$T$599)</f>
        <v/>
      </c>
      <c r="W50" s="8">
        <f>V50+1.645*SQRT(V50/T50)+1/(2*T50)</f>
        <v/>
      </c>
      <c r="X50" s="5">
        <f>U50/W50</f>
        <v/>
      </c>
      <c r="Y50">
        <f>IF(U50&gt;W50,"high",IF(U50&gt;V50,"medium","low"))</f>
        <v/>
      </c>
      <c r="Z50">
        <f>CHOOSE(MAX(IF(M50="high",2,IF(M50="medium",1,0)),IF(Y50="high",2,IF(Y50="medium",1,0)))+1,"low","medium","high")</f>
        <v/>
      </c>
      <c r="AA50">
        <f>IF(IF(M50="high",2,IF(M50="medium",1,0))=IF(Y50="high",2,IF(Y50="medium",1,0)),"SI และ Rate เท่ากัน",IF(IF(M50="high",2,IF(M50="medium",1,0))&gt;IF(Y50="high",2,IF(Y50="medium",1,0)),"SI","Rate"))</f>
        <v/>
      </c>
    </row>
    <row r="51">
      <c r="A51" t="inlineStr">
        <is>
          <t>zone_125</t>
        </is>
      </c>
      <c r="B51" t="inlineStr">
        <is>
          <t>แยกมหาวิทยาลัยเกษตรศาสตร์ - สี่แยกแคราย</t>
        </is>
      </c>
      <c r="C51" t="inlineStr">
        <is>
          <t>กรุงเทพมหานคร</t>
        </is>
      </c>
      <c r="D51" t="inlineStr">
        <is>
          <t>302</t>
        </is>
      </c>
      <c r="E51" t="inlineStr">
        <is>
          <t>ทล.</t>
        </is>
      </c>
      <c r="F51" t="inlineStr">
        <is>
          <t>0.025–0.33</t>
        </is>
      </c>
      <c r="G51" t="inlineStr">
        <is>
          <t>station_id 104 (ทล.302 กม.5+822)</t>
        </is>
      </c>
      <c r="H51" t="inlineStr">
        <is>
          <t>ทล. สถานีตัวแทนตอนควบคุม</t>
        </is>
      </c>
      <c r="I51" t="n">
        <v>35</v>
      </c>
      <c r="J51" t="n">
        <v>0</v>
      </c>
      <c r="K51" t="n">
        <v>27</v>
      </c>
      <c r="L51" s="5" t="n">
        <v>0.7714</v>
      </c>
      <c r="M51" t="inlineStr">
        <is>
          <t>low</t>
        </is>
      </c>
      <c r="N51" s="6" t="n">
        <v>111493</v>
      </c>
      <c r="O51" s="6" t="n">
        <v>113776</v>
      </c>
      <c r="P51" s="6" t="n">
        <v>111297</v>
      </c>
      <c r="Q51" s="6">
        <f>AVERAGE(N51:P51)</f>
        <v/>
      </c>
      <c r="R51" t="n">
        <v>3</v>
      </c>
      <c r="S51" t="n">
        <v>1</v>
      </c>
      <c r="T51" s="7">
        <f>365*R51*Q51*S51/1000000</f>
        <v/>
      </c>
      <c r="U51" s="8">
        <f>I51/T51</f>
        <v/>
      </c>
      <c r="V51" s="8">
        <f>SUMIF($E$2:$E$599,E51,$I$2:$I$599)/SUMIF($E$2:$E$599,E51,$T$2:$T$599)</f>
        <v/>
      </c>
      <c r="W51" s="8">
        <f>V51+1.645*SQRT(V51/T51)+1/(2*T51)</f>
        <v/>
      </c>
      <c r="X51" s="5">
        <f>U51/W51</f>
        <v/>
      </c>
      <c r="Y51">
        <f>IF(U51&gt;W51,"high",IF(U51&gt;V51,"medium","low"))</f>
        <v/>
      </c>
      <c r="Z51">
        <f>CHOOSE(MAX(IF(M51="high",2,IF(M51="medium",1,0)),IF(Y51="high",2,IF(Y51="medium",1,0)))+1,"low","medium","high")</f>
        <v/>
      </c>
      <c r="AA51">
        <f>IF(IF(M51="high",2,IF(M51="medium",1,0))=IF(Y51="high",2,IF(Y51="medium",1,0)),"SI และ Rate เท่ากัน",IF(IF(M51="high",2,IF(M51="medium",1,0))&gt;IF(Y51="high",2,IF(Y51="medium",1,0)),"SI","Rate"))</f>
        <v/>
      </c>
    </row>
    <row r="52">
      <c r="A52" t="inlineStr">
        <is>
          <t>zone_9</t>
        </is>
      </c>
      <c r="B52" t="inlineStr">
        <is>
          <t>อรุณอมรินทร์ - พุทธมณฑลสาย 4</t>
        </is>
      </c>
      <c r="C52" t="inlineStr">
        <is>
          <t>กรุงเทพมหานคร</t>
        </is>
      </c>
      <c r="D52" t="inlineStr">
        <is>
          <t>338</t>
        </is>
      </c>
      <c r="E52" t="inlineStr">
        <is>
          <t>ทล.</t>
        </is>
      </c>
      <c r="F52" t="inlineStr">
        <is>
          <t>8.29–10.305</t>
        </is>
      </c>
      <c r="G52" t="inlineStr">
        <is>
          <t>station_id 125 (ทล.338 กม.9+281)</t>
        </is>
      </c>
      <c r="H52" t="inlineStr">
        <is>
          <t>ทล. สถานีตัวแทนตอนควบคุม</t>
        </is>
      </c>
      <c r="I52" t="n">
        <v>43</v>
      </c>
      <c r="J52" t="n">
        <v>1</v>
      </c>
      <c r="K52" t="n">
        <v>19</v>
      </c>
      <c r="L52" s="5" t="n">
        <v>0.4651</v>
      </c>
      <c r="M52" t="inlineStr">
        <is>
          <t>low</t>
        </is>
      </c>
      <c r="N52" s="6" t="n">
        <v>143761</v>
      </c>
      <c r="O52" s="6" t="n">
        <v>146988</v>
      </c>
      <c r="P52" s="6" t="n">
        <v>145895</v>
      </c>
      <c r="Q52" s="6">
        <f>AVERAGE(N52:P52)</f>
        <v/>
      </c>
      <c r="R52" t="n">
        <v>3</v>
      </c>
      <c r="S52" t="n">
        <v>1</v>
      </c>
      <c r="T52" s="7">
        <f>365*R52*Q52*S52/1000000</f>
        <v/>
      </c>
      <c r="U52" s="8">
        <f>I52/T52</f>
        <v/>
      </c>
      <c r="V52" s="8">
        <f>SUMIF($E$2:$E$599,E52,$I$2:$I$599)/SUMIF($E$2:$E$599,E52,$T$2:$T$599)</f>
        <v/>
      </c>
      <c r="W52" s="8">
        <f>V52+1.645*SQRT(V52/T52)+1/(2*T52)</f>
        <v/>
      </c>
      <c r="X52" s="5">
        <f>U52/W52</f>
        <v/>
      </c>
      <c r="Y52">
        <f>IF(U52&gt;W52,"high",IF(U52&gt;V52,"medium","low"))</f>
        <v/>
      </c>
      <c r="Z52">
        <f>CHOOSE(MAX(IF(M52="high",2,IF(M52="medium",1,0)),IF(Y52="high",2,IF(Y52="medium",1,0)))+1,"low","medium","high")</f>
        <v/>
      </c>
      <c r="AA52">
        <f>IF(IF(M52="high",2,IF(M52="medium",1,0))=IF(Y52="high",2,IF(Y52="medium",1,0)),"SI และ Rate เท่ากัน",IF(IF(M52="high",2,IF(M52="medium",1,0))&gt;IF(Y52="high",2,IF(Y52="medium",1,0)),"SI","Rate"))</f>
        <v/>
      </c>
    </row>
    <row r="53">
      <c r="A53" t="inlineStr">
        <is>
          <t>zone_539</t>
        </is>
      </c>
      <c r="B53" t="inlineStr">
        <is>
          <t>บางพลี-สุขสวัสดิ์</t>
        </is>
      </c>
      <c r="C53" t="inlineStr">
        <is>
          <t>สมุทรปราการ</t>
        </is>
      </c>
      <c r="D53" t="inlineStr">
        <is>
          <t>E007S013|U</t>
        </is>
      </c>
      <c r="E53" t="inlineStr">
        <is>
          <t>กทพ.</t>
        </is>
      </c>
      <c r="F53" t="inlineStr">
        <is>
          <t>13.6–14.1</t>
        </is>
      </c>
      <c r="G53" t="inlineStr">
        <is>
          <t>ทางพิเศษกาญจนาภิเษก(บางพลี-สุขสวัสดิ์)</t>
        </is>
      </c>
      <c r="H53" t="inlineStr">
        <is>
          <t>กทพ. ยอดผ่านด่านทั้งสาย ÷ 365</t>
        </is>
      </c>
      <c r="I53" t="n">
        <v>13</v>
      </c>
      <c r="J53" t="n">
        <v>1</v>
      </c>
      <c r="K53" t="n">
        <v>12</v>
      </c>
      <c r="L53" s="5" t="n">
        <v>1</v>
      </c>
      <c r="M53" t="inlineStr">
        <is>
          <t>medium</t>
        </is>
      </c>
      <c r="N53" s="6" t="n">
        <v>233037.0054794521</v>
      </c>
      <c r="O53" s="6" t="n">
        <v>233284.9890410959</v>
      </c>
      <c r="P53" s="6" t="n">
        <v>228365.901369863</v>
      </c>
      <c r="Q53" s="6">
        <f>AVERAGE(N53:P53)</f>
        <v/>
      </c>
      <c r="R53" t="n">
        <v>3</v>
      </c>
      <c r="S53" t="n">
        <v>1</v>
      </c>
      <c r="T53" s="7">
        <f>365*R53*Q53*S53/1000000</f>
        <v/>
      </c>
      <c r="U53" s="8">
        <f>I53/T53</f>
        <v/>
      </c>
      <c r="V53" s="8">
        <f>SUMIF($E$2:$E$599,E53,$I$2:$I$599)/SUMIF($E$2:$E$599,E53,$T$2:$T$599)</f>
        <v/>
      </c>
      <c r="W53" s="8">
        <f>V53+1.645*SQRT(V53/T53)+1/(2*T53)</f>
        <v/>
      </c>
      <c r="X53" s="5">
        <f>U53/W53</f>
        <v/>
      </c>
      <c r="Y53">
        <f>IF(U53&gt;W53,"high",IF(U53&gt;V53,"medium","low"))</f>
        <v/>
      </c>
      <c r="Z53">
        <f>CHOOSE(MAX(IF(M53="high",2,IF(M53="medium",1,0)),IF(Y53="high",2,IF(Y53="medium",1,0)))+1,"low","medium","high")</f>
        <v/>
      </c>
      <c r="AA53">
        <f>IF(IF(M53="high",2,IF(M53="medium",1,0))=IF(Y53="high",2,IF(Y53="medium",1,0)),"SI และ Rate เท่ากัน",IF(IF(M53="high",2,IF(M53="medium",1,0))&gt;IF(Y53="high",2,IF(Y53="medium",1,0)),"SI","Rate"))</f>
        <v/>
      </c>
    </row>
    <row r="54">
      <c r="A54" t="inlineStr">
        <is>
          <t>zone_402</t>
        </is>
      </c>
      <c r="B54" t="inlineStr">
        <is>
          <t>บางปะอิน - แขวงรามอินทรา</t>
        </is>
      </c>
      <c r="C54" t="inlineStr">
        <is>
          <t>ปทุมธานี</t>
        </is>
      </c>
      <c r="D54" t="inlineStr">
        <is>
          <t>9</t>
        </is>
      </c>
      <c r="E54" t="inlineStr">
        <is>
          <t>ทล.</t>
        </is>
      </c>
      <c r="F54" t="inlineStr">
        <is>
          <t>4.86–7.8</t>
        </is>
      </c>
      <c r="G54" t="inlineStr">
        <is>
          <t>station_id 347 (ทล.9 กม.1+500)</t>
        </is>
      </c>
      <c r="H54" t="inlineStr">
        <is>
          <t>ทล. สถานีตัวแทนตอนควบคุม</t>
        </is>
      </c>
      <c r="I54" t="n">
        <v>45</v>
      </c>
      <c r="J54" t="n">
        <v>0</v>
      </c>
      <c r="K54" t="n">
        <v>36</v>
      </c>
      <c r="L54" s="5" t="n">
        <v>0.8</v>
      </c>
      <c r="M54" t="inlineStr">
        <is>
          <t>low</t>
        </is>
      </c>
      <c r="N54" s="6" t="n">
        <v>146870</v>
      </c>
      <c r="O54" s="6" t="n">
        <v>165212</v>
      </c>
      <c r="P54" s="6" t="n">
        <v>160792</v>
      </c>
      <c r="Q54" s="6">
        <f>AVERAGE(N54:P54)</f>
        <v/>
      </c>
      <c r="R54" t="n">
        <v>3</v>
      </c>
      <c r="S54" t="n">
        <v>1</v>
      </c>
      <c r="T54" s="7">
        <f>365*R54*Q54*S54/1000000</f>
        <v/>
      </c>
      <c r="U54" s="8">
        <f>I54/T54</f>
        <v/>
      </c>
      <c r="V54" s="8">
        <f>SUMIF($E$2:$E$599,E54,$I$2:$I$599)/SUMIF($E$2:$E$599,E54,$T$2:$T$599)</f>
        <v/>
      </c>
      <c r="W54" s="8">
        <f>V54+1.645*SQRT(V54/T54)+1/(2*T54)</f>
        <v/>
      </c>
      <c r="X54" s="5">
        <f>U54/W54</f>
        <v/>
      </c>
      <c r="Y54">
        <f>IF(U54&gt;W54,"high",IF(U54&gt;V54,"medium","low"))</f>
        <v/>
      </c>
      <c r="Z54">
        <f>CHOOSE(MAX(IF(M54="high",2,IF(M54="medium",1,0)),IF(Y54="high",2,IF(Y54="medium",1,0)))+1,"low","medium","high")</f>
        <v/>
      </c>
      <c r="AA54">
        <f>IF(IF(M54="high",2,IF(M54="medium",1,0))=IF(Y54="high",2,IF(Y54="medium",1,0)),"SI และ Rate เท่ากัน",IF(IF(M54="high",2,IF(M54="medium",1,0))&gt;IF(Y54="high",2,IF(Y54="medium",1,0)),"SI","Rate"))</f>
        <v/>
      </c>
    </row>
    <row r="55">
      <c r="A55" t="inlineStr">
        <is>
          <t>zone_483</t>
        </is>
      </c>
      <c r="B55" t="inlineStr">
        <is>
          <t>บางนา-ชลบุรี</t>
        </is>
      </c>
      <c r="C55" t="inlineStr">
        <is>
          <t>สมุทรปราการ</t>
        </is>
      </c>
      <c r="D55" t="inlineStr">
        <is>
          <t>E004S009|I</t>
        </is>
      </c>
      <c r="E55" t="inlineStr">
        <is>
          <t>กทพ.</t>
        </is>
      </c>
      <c r="F55" t="inlineStr">
        <is>
          <t>18–18.6</t>
        </is>
      </c>
      <c r="G55" t="inlineStr">
        <is>
          <t>บูรพาวิถี</t>
        </is>
      </c>
      <c r="H55" t="inlineStr">
        <is>
          <t>กทพ. ยอดผ่านด่านทั้งสาย ÷ 365</t>
        </is>
      </c>
      <c r="I55" t="n">
        <v>9</v>
      </c>
      <c r="J55" t="n">
        <v>0</v>
      </c>
      <c r="K55" t="n">
        <v>3</v>
      </c>
      <c r="L55" s="5" t="n">
        <v>0.3333</v>
      </c>
      <c r="M55" t="inlineStr">
        <is>
          <t>low</t>
        </is>
      </c>
      <c r="N55" s="6" t="n">
        <v>143309.3260273973</v>
      </c>
      <c r="O55" s="6" t="n">
        <v>145474.1863013699</v>
      </c>
      <c r="P55" s="6" t="n">
        <v>147094.4356164384</v>
      </c>
      <c r="Q55" s="6">
        <f>AVERAGE(N55:P55)</f>
        <v/>
      </c>
      <c r="R55" t="n">
        <v>3</v>
      </c>
      <c r="S55" t="n">
        <v>1</v>
      </c>
      <c r="T55" s="7">
        <f>365*R55*Q55*S55/1000000</f>
        <v/>
      </c>
      <c r="U55" s="8">
        <f>I55/T55</f>
        <v/>
      </c>
      <c r="V55" s="8">
        <f>SUMIF($E$2:$E$599,E55,$I$2:$I$599)/SUMIF($E$2:$E$599,E55,$T$2:$T$599)</f>
        <v/>
      </c>
      <c r="W55" s="8">
        <f>V55+1.645*SQRT(V55/T55)+1/(2*T55)</f>
        <v/>
      </c>
      <c r="X55" s="5">
        <f>U55/W55</f>
        <v/>
      </c>
      <c r="Y55">
        <f>IF(U55&gt;W55,"high",IF(U55&gt;V55,"medium","low"))</f>
        <v/>
      </c>
      <c r="Z55">
        <f>CHOOSE(MAX(IF(M55="high",2,IF(M55="medium",1,0)),IF(Y55="high",2,IF(Y55="medium",1,0)))+1,"low","medium","high")</f>
        <v/>
      </c>
      <c r="AA55">
        <f>IF(IF(M55="high",2,IF(M55="medium",1,0))=IF(Y55="high",2,IF(Y55="medium",1,0)),"SI และ Rate เท่ากัน",IF(IF(M55="high",2,IF(M55="medium",1,0))&gt;IF(Y55="high",2,IF(Y55="medium",1,0)),"SI","Rate"))</f>
        <v/>
      </c>
    </row>
    <row r="56">
      <c r="A56" t="inlineStr">
        <is>
          <t>zone_513</t>
        </is>
      </c>
      <c r="B56" t="inlineStr">
        <is>
          <t>บางนา-ชลบุรี</t>
        </is>
      </c>
      <c r="C56" t="inlineStr">
        <is>
          <t>สมุทรปราการ</t>
        </is>
      </c>
      <c r="D56" t="inlineStr">
        <is>
          <t>E004S009|U</t>
        </is>
      </c>
      <c r="E56" t="inlineStr">
        <is>
          <t>กทพ.</t>
        </is>
      </c>
      <c r="F56" t="inlineStr">
        <is>
          <t>10.2–10.5</t>
        </is>
      </c>
      <c r="G56" t="inlineStr">
        <is>
          <t>บูรพาวิถี</t>
        </is>
      </c>
      <c r="H56" t="inlineStr">
        <is>
          <t>กทพ. ยอดผ่านด่านทั้งสาย ÷ 365</t>
        </is>
      </c>
      <c r="I56" t="n">
        <v>9</v>
      </c>
      <c r="J56" t="n">
        <v>0</v>
      </c>
      <c r="K56" t="n">
        <v>0</v>
      </c>
      <c r="L56" s="5" t="n">
        <v>0</v>
      </c>
      <c r="M56" t="inlineStr">
        <is>
          <t>low</t>
        </is>
      </c>
      <c r="N56" s="6" t="n">
        <v>143309.3260273973</v>
      </c>
      <c r="O56" s="6" t="n">
        <v>145474.1863013699</v>
      </c>
      <c r="P56" s="6" t="n">
        <v>147094.4356164384</v>
      </c>
      <c r="Q56" s="6">
        <f>AVERAGE(N56:P56)</f>
        <v/>
      </c>
      <c r="R56" t="n">
        <v>3</v>
      </c>
      <c r="S56" t="n">
        <v>1</v>
      </c>
      <c r="T56" s="7">
        <f>365*R56*Q56*S56/1000000</f>
        <v/>
      </c>
      <c r="U56" s="8">
        <f>I56/T56</f>
        <v/>
      </c>
      <c r="V56" s="8">
        <f>SUMIF($E$2:$E$599,E56,$I$2:$I$599)/SUMIF($E$2:$E$599,E56,$T$2:$T$599)</f>
        <v/>
      </c>
      <c r="W56" s="8">
        <f>V56+1.645*SQRT(V56/T56)+1/(2*T56)</f>
        <v/>
      </c>
      <c r="X56" s="5">
        <f>U56/W56</f>
        <v/>
      </c>
      <c r="Y56">
        <f>IF(U56&gt;W56,"high",IF(U56&gt;V56,"medium","low"))</f>
        <v/>
      </c>
      <c r="Z56">
        <f>CHOOSE(MAX(IF(M56="high",2,IF(M56="medium",1,0)),IF(Y56="high",2,IF(Y56="medium",1,0)))+1,"low","medium","high")</f>
        <v/>
      </c>
      <c r="AA56">
        <f>IF(IF(M56="high",2,IF(M56="medium",1,0))=IF(Y56="high",2,IF(Y56="medium",1,0)),"SI และ Rate เท่ากัน",IF(IF(M56="high",2,IF(M56="medium",1,0))&gt;IF(Y56="high",2,IF(Y56="medium",1,0)),"SI","Rate"))</f>
        <v/>
      </c>
    </row>
    <row r="57">
      <c r="A57" t="inlineStr">
        <is>
          <t>zone_524</t>
        </is>
      </c>
      <c r="B57" t="inlineStr">
        <is>
          <t>บางนา-ชลบุรี</t>
        </is>
      </c>
      <c r="C57" t="inlineStr">
        <is>
          <t>สมุทรปราการ</t>
        </is>
      </c>
      <c r="D57" t="inlineStr">
        <is>
          <t>E004S009|U</t>
        </is>
      </c>
      <c r="E57" t="inlineStr">
        <is>
          <t>กทพ.</t>
        </is>
      </c>
      <c r="F57" t="inlineStr">
        <is>
          <t>11.5–12</t>
        </is>
      </c>
      <c r="G57" t="inlineStr">
        <is>
          <t>บูรพาวิถี</t>
        </is>
      </c>
      <c r="H57" t="inlineStr">
        <is>
          <t>กทพ. ยอดผ่านด่านทั้งสาย ÷ 365</t>
        </is>
      </c>
      <c r="I57" t="n">
        <v>9</v>
      </c>
      <c r="J57" t="n">
        <v>0</v>
      </c>
      <c r="K57" t="n">
        <v>0</v>
      </c>
      <c r="L57" s="5" t="n">
        <v>0</v>
      </c>
      <c r="M57" t="inlineStr">
        <is>
          <t>low</t>
        </is>
      </c>
      <c r="N57" s="6" t="n">
        <v>143309.3260273973</v>
      </c>
      <c r="O57" s="6" t="n">
        <v>145474.1863013699</v>
      </c>
      <c r="P57" s="6" t="n">
        <v>147094.4356164384</v>
      </c>
      <c r="Q57" s="6">
        <f>AVERAGE(N57:P57)</f>
        <v/>
      </c>
      <c r="R57" t="n">
        <v>3</v>
      </c>
      <c r="S57" t="n">
        <v>1</v>
      </c>
      <c r="T57" s="7">
        <f>365*R57*Q57*S57/1000000</f>
        <v/>
      </c>
      <c r="U57" s="8">
        <f>I57/T57</f>
        <v/>
      </c>
      <c r="V57" s="8">
        <f>SUMIF($E$2:$E$599,E57,$I$2:$I$599)/SUMIF($E$2:$E$599,E57,$T$2:$T$599)</f>
        <v/>
      </c>
      <c r="W57" s="8">
        <f>V57+1.645*SQRT(V57/T57)+1/(2*T57)</f>
        <v/>
      </c>
      <c r="X57" s="5">
        <f>U57/W57</f>
        <v/>
      </c>
      <c r="Y57">
        <f>IF(U57&gt;W57,"high",IF(U57&gt;V57,"medium","low"))</f>
        <v/>
      </c>
      <c r="Z57">
        <f>CHOOSE(MAX(IF(M57="high",2,IF(M57="medium",1,0)),IF(Y57="high",2,IF(Y57="medium",1,0)))+1,"low","medium","high")</f>
        <v/>
      </c>
      <c r="AA57">
        <f>IF(IF(M57="high",2,IF(M57="medium",1,0))=IF(Y57="high",2,IF(Y57="medium",1,0)),"SI และ Rate เท่ากัน",IF(IF(M57="high",2,IF(M57="medium",1,0))&gt;IF(Y57="high",2,IF(Y57="medium",1,0)),"SI","Rate"))</f>
        <v/>
      </c>
    </row>
    <row r="58">
      <c r="A58" t="inlineStr">
        <is>
          <t>zone_316</t>
        </is>
      </c>
      <c r="B58" t="inlineStr">
        <is>
          <t>หมอชิต-กาญจนาฯ</t>
        </is>
      </c>
      <c r="C58" t="inlineStr">
        <is>
          <t>กรุงเทพมหานคร</t>
        </is>
      </c>
      <c r="D58" t="inlineStr">
        <is>
          <t>E002S018|I</t>
        </is>
      </c>
      <c r="E58" t="inlineStr">
        <is>
          <t>กทพ.</t>
        </is>
      </c>
      <c r="F58" t="inlineStr">
        <is>
          <t>11.7–12</t>
        </is>
      </c>
      <c r="G58" t="inlineStr">
        <is>
          <t>ศรีรัช-วงแหวนรอบนอกกรุงเทพมหานคร</t>
        </is>
      </c>
      <c r="H58" t="inlineStr">
        <is>
          <t>กทพ. ยอดผ่านด่านทั้งสาย ÷ 365</t>
        </is>
      </c>
      <c r="I58" t="n">
        <v>5</v>
      </c>
      <c r="J58" t="n">
        <v>0</v>
      </c>
      <c r="K58" t="n">
        <v>1</v>
      </c>
      <c r="L58" s="5" t="n">
        <v>0.2</v>
      </c>
      <c r="M58" t="inlineStr">
        <is>
          <t>low</t>
        </is>
      </c>
      <c r="N58" s="6" t="n">
        <v>61181.64109589041</v>
      </c>
      <c r="O58" s="6" t="n">
        <v>63324.26301369863</v>
      </c>
      <c r="P58" s="6" t="n">
        <v>62546.53424657534</v>
      </c>
      <c r="Q58" s="6">
        <f>AVERAGE(N58:P58)</f>
        <v/>
      </c>
      <c r="R58" t="n">
        <v>3</v>
      </c>
      <c r="S58" t="n">
        <v>1</v>
      </c>
      <c r="T58" s="7">
        <f>365*R58*Q58*S58/1000000</f>
        <v/>
      </c>
      <c r="U58" s="8">
        <f>I58/T58</f>
        <v/>
      </c>
      <c r="V58" s="8">
        <f>SUMIF($E$2:$E$599,E58,$I$2:$I$599)/SUMIF($E$2:$E$599,E58,$T$2:$T$599)</f>
        <v/>
      </c>
      <c r="W58" s="8">
        <f>V58+1.645*SQRT(V58/T58)+1/(2*T58)</f>
        <v/>
      </c>
      <c r="X58" s="5">
        <f>U58/W58</f>
        <v/>
      </c>
      <c r="Y58">
        <f>IF(U58&gt;W58,"high",IF(U58&gt;V58,"medium","low"))</f>
        <v/>
      </c>
      <c r="Z58">
        <f>CHOOSE(MAX(IF(M58="high",2,IF(M58="medium",1,0)),IF(Y58="high",2,IF(Y58="medium",1,0)))+1,"low","medium","high")</f>
        <v/>
      </c>
      <c r="AA58">
        <f>IF(IF(M58="high",2,IF(M58="medium",1,0))=IF(Y58="high",2,IF(Y58="medium",1,0)),"SI และ Rate เท่ากัน",IF(IF(M58="high",2,IF(M58="medium",1,0))&gt;IF(Y58="high",2,IF(Y58="medium",1,0)),"SI","Rate"))</f>
        <v/>
      </c>
    </row>
    <row r="59">
      <c r="A59" t="inlineStr">
        <is>
          <t>zone_248</t>
        </is>
      </c>
      <c r="B59" t="inlineStr">
        <is>
          <t>พระประแดง - บางแค</t>
        </is>
      </c>
      <c r="C59" t="inlineStr">
        <is>
          <t>กรุงเทพมหานคร</t>
        </is>
      </c>
      <c r="D59" t="inlineStr">
        <is>
          <t>3902</t>
        </is>
      </c>
      <c r="E59" t="inlineStr">
        <is>
          <t>ทล.</t>
        </is>
      </c>
      <c r="F59" t="inlineStr">
        <is>
          <t>4.9–5.3</t>
        </is>
      </c>
      <c r="G59" t="inlineStr">
        <is>
          <t>station_id 130 (ทล.3902 กม.20+430)</t>
        </is>
      </c>
      <c r="H59" t="inlineStr">
        <is>
          <t>ทล. สถานีตัวแทนตอนควบคุม</t>
        </is>
      </c>
      <c r="I59" t="n">
        <v>12</v>
      </c>
      <c r="J59" t="n">
        <v>0</v>
      </c>
      <c r="K59" t="n">
        <v>18</v>
      </c>
      <c r="L59" s="5" t="n">
        <v>1.5</v>
      </c>
      <c r="M59" t="inlineStr">
        <is>
          <t>medium</t>
        </is>
      </c>
      <c r="N59" s="6" t="n">
        <v>27004</v>
      </c>
      <c r="O59" s="6" t="n">
        <v>33591</v>
      </c>
      <c r="P59" s="6" t="n">
        <v>38106</v>
      </c>
      <c r="Q59" s="6">
        <f>AVERAGE(N59:P59)</f>
        <v/>
      </c>
      <c r="R59" t="n">
        <v>3</v>
      </c>
      <c r="S59" t="n">
        <v>1</v>
      </c>
      <c r="T59" s="7">
        <f>365*R59*Q59*S59/1000000</f>
        <v/>
      </c>
      <c r="U59" s="8">
        <f>I59/T59</f>
        <v/>
      </c>
      <c r="V59" s="8">
        <f>SUMIF($E$2:$E$599,E59,$I$2:$I$599)/SUMIF($E$2:$E$599,E59,$T$2:$T$599)</f>
        <v/>
      </c>
      <c r="W59" s="8">
        <f>V59+1.645*SQRT(V59/T59)+1/(2*T59)</f>
        <v/>
      </c>
      <c r="X59" s="5">
        <f>U59/W59</f>
        <v/>
      </c>
      <c r="Y59">
        <f>IF(U59&gt;W59,"high",IF(U59&gt;V59,"medium","low"))</f>
        <v/>
      </c>
      <c r="Z59">
        <f>CHOOSE(MAX(IF(M59="high",2,IF(M59="medium",1,0)),IF(Y59="high",2,IF(Y59="medium",1,0)))+1,"low","medium","high")</f>
        <v/>
      </c>
      <c r="AA59">
        <f>IF(IF(M59="high",2,IF(M59="medium",1,0))=IF(Y59="high",2,IF(Y59="medium",1,0)),"SI และ Rate เท่ากัน",IF(IF(M59="high",2,IF(M59="medium",1,0))&gt;IF(Y59="high",2,IF(Y59="medium",1,0)),"SI","Rate"))</f>
        <v/>
      </c>
    </row>
    <row r="60">
      <c r="A60" t="inlineStr">
        <is>
          <t>zone_224</t>
        </is>
      </c>
      <c r="B60" t="inlineStr">
        <is>
          <t>พญาไท-บางโคล่</t>
        </is>
      </c>
      <c r="C60" t="inlineStr">
        <is>
          <t>กรุงเทพมหานคร</t>
        </is>
      </c>
      <c r="D60" t="inlineStr">
        <is>
          <t>E002S007|U</t>
        </is>
      </c>
      <c r="E60" t="inlineStr">
        <is>
          <t>กทพ.</t>
        </is>
      </c>
      <c r="F60" t="inlineStr">
        <is>
          <t>8.3–8.9</t>
        </is>
      </c>
      <c r="G60" t="inlineStr">
        <is>
          <t>ศรีรัช</t>
        </is>
      </c>
      <c r="H60" t="inlineStr">
        <is>
          <t>กทพ. ยอดผ่านด่านทั้งสาย ÷ 365</t>
        </is>
      </c>
      <c r="I60" t="n">
        <v>25</v>
      </c>
      <c r="J60" t="n">
        <v>0</v>
      </c>
      <c r="K60" t="n">
        <v>24</v>
      </c>
      <c r="L60" s="5" t="n">
        <v>0.96</v>
      </c>
      <c r="M60" t="inlineStr">
        <is>
          <t>low</t>
        </is>
      </c>
      <c r="N60" s="6" t="n">
        <v>613083.1506849315</v>
      </c>
      <c r="O60" s="6" t="n">
        <v>601127.7068493151</v>
      </c>
      <c r="P60" s="6" t="n">
        <v>607857.5287671232</v>
      </c>
      <c r="Q60" s="6">
        <f>AVERAGE(N60:P60)</f>
        <v/>
      </c>
      <c r="R60" t="n">
        <v>3</v>
      </c>
      <c r="S60" t="n">
        <v>1</v>
      </c>
      <c r="T60" s="7">
        <f>365*R60*Q60*S60/1000000</f>
        <v/>
      </c>
      <c r="U60" s="8">
        <f>I60/T60</f>
        <v/>
      </c>
      <c r="V60" s="8">
        <f>SUMIF($E$2:$E$599,E60,$I$2:$I$599)/SUMIF($E$2:$E$599,E60,$T$2:$T$599)</f>
        <v/>
      </c>
      <c r="W60" s="8">
        <f>V60+1.645*SQRT(V60/T60)+1/(2*T60)</f>
        <v/>
      </c>
      <c r="X60" s="5">
        <f>U60/W60</f>
        <v/>
      </c>
      <c r="Y60">
        <f>IF(U60&gt;W60,"high",IF(U60&gt;V60,"medium","low"))</f>
        <v/>
      </c>
      <c r="Z60">
        <f>CHOOSE(MAX(IF(M60="high",2,IF(M60="medium",1,0)),IF(Y60="high",2,IF(Y60="medium",1,0)))+1,"low","medium","high")</f>
        <v/>
      </c>
      <c r="AA60">
        <f>IF(IF(M60="high",2,IF(M60="medium",1,0))=IF(Y60="high",2,IF(Y60="medium",1,0)),"SI และ Rate เท่ากัน",IF(IF(M60="high",2,IF(M60="medium",1,0))&gt;IF(Y60="high",2,IF(Y60="medium",1,0)),"SI","Rate"))</f>
        <v/>
      </c>
    </row>
    <row r="61">
      <c r="A61" t="inlineStr">
        <is>
          <t>zone_571</t>
        </is>
      </c>
      <c r="B61" t="inlineStr">
        <is>
          <t>แสมดำ - สะพานข้ามแม่น้ำท่าจีนฝั่งตะวันตก</t>
        </is>
      </c>
      <c r="C61" t="inlineStr">
        <is>
          <t>สมุทรสาคร</t>
        </is>
      </c>
      <c r="D61" t="inlineStr">
        <is>
          <t>35</t>
        </is>
      </c>
      <c r="E61" t="inlineStr">
        <is>
          <t>ทล.</t>
        </is>
      </c>
      <c r="F61" t="inlineStr">
        <is>
          <t>29.5–30.25</t>
        </is>
      </c>
      <c r="G61" t="inlineStr">
        <is>
          <t>station_id 57 (ทล.35 กม.24+550)</t>
        </is>
      </c>
      <c r="H61" t="inlineStr">
        <is>
          <t>ทล. สถานีตัวแทนตอนควบคุม</t>
        </is>
      </c>
      <c r="I61" t="n">
        <v>37</v>
      </c>
      <c r="J61" t="n">
        <v>1</v>
      </c>
      <c r="K61" t="n">
        <v>17</v>
      </c>
      <c r="L61" s="5" t="n">
        <v>0.4865</v>
      </c>
      <c r="M61" t="inlineStr">
        <is>
          <t>low</t>
        </is>
      </c>
      <c r="N61" s="6" t="n">
        <v>129063</v>
      </c>
      <c r="O61" s="6" t="n">
        <v>149020</v>
      </c>
      <c r="P61" s="6" t="n">
        <v>143116</v>
      </c>
      <c r="Q61" s="6">
        <f>AVERAGE(N61:P61)</f>
        <v/>
      </c>
      <c r="R61" t="n">
        <v>3</v>
      </c>
      <c r="S61" t="n">
        <v>1</v>
      </c>
      <c r="T61" s="7">
        <f>365*R61*Q61*S61/1000000</f>
        <v/>
      </c>
      <c r="U61" s="8">
        <f>I61/T61</f>
        <v/>
      </c>
      <c r="V61" s="8">
        <f>SUMIF($E$2:$E$599,E61,$I$2:$I$599)/SUMIF($E$2:$E$599,E61,$T$2:$T$599)</f>
        <v/>
      </c>
      <c r="W61" s="8">
        <f>V61+1.645*SQRT(V61/T61)+1/(2*T61)</f>
        <v/>
      </c>
      <c r="X61" s="5">
        <f>U61/W61</f>
        <v/>
      </c>
      <c r="Y61">
        <f>IF(U61&gt;W61,"high",IF(U61&gt;V61,"medium","low"))</f>
        <v/>
      </c>
      <c r="Z61">
        <f>CHOOSE(MAX(IF(M61="high",2,IF(M61="medium",1,0)),IF(Y61="high",2,IF(Y61="medium",1,0)))+1,"low","medium","high")</f>
        <v/>
      </c>
      <c r="AA61">
        <f>IF(IF(M61="high",2,IF(M61="medium",1,0))=IF(Y61="high",2,IF(Y61="medium",1,0)),"SI และ Rate เท่ากัน",IF(IF(M61="high",2,IF(M61="medium",1,0))&gt;IF(Y61="high",2,IF(Y61="medium",1,0)),"SI","Rate"))</f>
        <v/>
      </c>
    </row>
    <row r="62">
      <c r="A62" t="inlineStr">
        <is>
          <t>zone_151</t>
        </is>
      </c>
      <c r="B62" t="inlineStr">
        <is>
          <t>แขวงรามอินทรา - บางพลี</t>
        </is>
      </c>
      <c r="C62" t="inlineStr">
        <is>
          <t>สมุทรปราการ</t>
        </is>
      </c>
      <c r="D62" t="inlineStr">
        <is>
          <t>9</t>
        </is>
      </c>
      <c r="E62" t="inlineStr">
        <is>
          <t>ทล.</t>
        </is>
      </c>
      <c r="F62" t="inlineStr">
        <is>
          <t>62–63.5</t>
        </is>
      </c>
      <c r="G62" t="inlineStr">
        <is>
          <t>station_id 348 (ทล.9 กม.59+500)</t>
        </is>
      </c>
      <c r="H62" t="inlineStr">
        <is>
          <t>ทล. สถานีตัวแทนตอนควบคุม</t>
        </is>
      </c>
      <c r="I62" t="n">
        <v>31</v>
      </c>
      <c r="J62" t="n">
        <v>0</v>
      </c>
      <c r="K62" t="n">
        <v>13</v>
      </c>
      <c r="L62" s="5" t="n">
        <v>0.4194</v>
      </c>
      <c r="M62" t="inlineStr">
        <is>
          <t>low</t>
        </is>
      </c>
      <c r="N62" s="6" t="n">
        <v>110915</v>
      </c>
      <c r="O62" s="6" t="n">
        <v>117953</v>
      </c>
      <c r="P62" s="6" t="n">
        <v>117813</v>
      </c>
      <c r="Q62" s="6">
        <f>AVERAGE(N62:P62)</f>
        <v/>
      </c>
      <c r="R62" t="n">
        <v>3</v>
      </c>
      <c r="S62" t="n">
        <v>1</v>
      </c>
      <c r="T62" s="7">
        <f>365*R62*Q62*S62/1000000</f>
        <v/>
      </c>
      <c r="U62" s="8">
        <f>I62/T62</f>
        <v/>
      </c>
      <c r="V62" s="8">
        <f>SUMIF($E$2:$E$599,E62,$I$2:$I$599)/SUMIF($E$2:$E$599,E62,$T$2:$T$599)</f>
        <v/>
      </c>
      <c r="W62" s="8">
        <f>V62+1.645*SQRT(V62/T62)+1/(2*T62)</f>
        <v/>
      </c>
      <c r="X62" s="5">
        <f>U62/W62</f>
        <v/>
      </c>
      <c r="Y62">
        <f>IF(U62&gt;W62,"high",IF(U62&gt;V62,"medium","low"))</f>
        <v/>
      </c>
      <c r="Z62">
        <f>CHOOSE(MAX(IF(M62="high",2,IF(M62="medium",1,0)),IF(Y62="high",2,IF(Y62="medium",1,0)))+1,"low","medium","high")</f>
        <v/>
      </c>
      <c r="AA62">
        <f>IF(IF(M62="high",2,IF(M62="medium",1,0))=IF(Y62="high",2,IF(Y62="medium",1,0)),"SI และ Rate เท่ากัน",IF(IF(M62="high",2,IF(M62="medium",1,0))&gt;IF(Y62="high",2,IF(Y62="medium",1,0)),"SI","Rate"))</f>
        <v/>
      </c>
    </row>
    <row r="63">
      <c r="A63" t="inlineStr">
        <is>
          <t>zone_570</t>
        </is>
      </c>
      <c r="B63" t="inlineStr">
        <is>
          <t>สะพานข้ามแม่น้ำท่าจีนฝั่งตะวันตก - นาโคก</t>
        </is>
      </c>
      <c r="C63" t="inlineStr">
        <is>
          <t>สมุทรสาคร</t>
        </is>
      </c>
      <c r="D63" t="inlineStr">
        <is>
          <t>35</t>
        </is>
      </c>
      <c r="E63" t="inlineStr">
        <is>
          <t>ทล.</t>
        </is>
      </c>
      <c r="F63" t="inlineStr">
        <is>
          <t>30.4–31.7</t>
        </is>
      </c>
      <c r="G63" t="inlineStr">
        <is>
          <t>station_id 59 (ทล.35 กม.30+700)</t>
        </is>
      </c>
      <c r="H63" t="inlineStr">
        <is>
          <t>ทล. สถานีตัวแทนตอนควบคุม</t>
        </is>
      </c>
      <c r="I63" t="n">
        <v>37</v>
      </c>
      <c r="J63" t="n">
        <v>1</v>
      </c>
      <c r="K63" t="n">
        <v>7</v>
      </c>
      <c r="L63" s="5" t="n">
        <v>0.2162</v>
      </c>
      <c r="M63" t="inlineStr">
        <is>
          <t>low</t>
        </is>
      </c>
      <c r="N63" s="6" t="n">
        <v>134343</v>
      </c>
      <c r="O63" s="6" t="n">
        <v>149180</v>
      </c>
      <c r="P63" s="6" t="n">
        <v>149785</v>
      </c>
      <c r="Q63" s="6">
        <f>AVERAGE(N63:P63)</f>
        <v/>
      </c>
      <c r="R63" t="n">
        <v>3</v>
      </c>
      <c r="S63" t="n">
        <v>1</v>
      </c>
      <c r="T63" s="7">
        <f>365*R63*Q63*S63/1000000</f>
        <v/>
      </c>
      <c r="U63" s="8">
        <f>I63/T63</f>
        <v/>
      </c>
      <c r="V63" s="8">
        <f>SUMIF($E$2:$E$599,E63,$I$2:$I$599)/SUMIF($E$2:$E$599,E63,$T$2:$T$599)</f>
        <v/>
      </c>
      <c r="W63" s="8">
        <f>V63+1.645*SQRT(V63/T63)+1/(2*T63)</f>
        <v/>
      </c>
      <c r="X63" s="5">
        <f>U63/W63</f>
        <v/>
      </c>
      <c r="Y63">
        <f>IF(U63&gt;W63,"high",IF(U63&gt;V63,"medium","low"))</f>
        <v/>
      </c>
      <c r="Z63">
        <f>CHOOSE(MAX(IF(M63="high",2,IF(M63="medium",1,0)),IF(Y63="high",2,IF(Y63="medium",1,0)))+1,"low","medium","high")</f>
        <v/>
      </c>
      <c r="AA63">
        <f>IF(IF(M63="high",2,IF(M63="medium",1,0))=IF(Y63="high",2,IF(Y63="medium",1,0)),"SI และ Rate เท่ากัน",IF(IF(M63="high",2,IF(M63="medium",1,0))&gt;IF(Y63="high",2,IF(Y63="medium",1,0)),"SI","Rate"))</f>
        <v/>
      </c>
    </row>
    <row r="64">
      <c r="A64" t="inlineStr">
        <is>
          <t>zone_568</t>
        </is>
      </c>
      <c r="B64" t="inlineStr">
        <is>
          <t>สะพานข้ามแม่น้ำท่าจีนฝั่งตะวันตก - นาโคก</t>
        </is>
      </c>
      <c r="C64" t="inlineStr">
        <is>
          <t>สมุทรสาคร</t>
        </is>
      </c>
      <c r="D64" t="inlineStr">
        <is>
          <t>35</t>
        </is>
      </c>
      <c r="E64" t="inlineStr">
        <is>
          <t>ทล.</t>
        </is>
      </c>
      <c r="F64" t="inlineStr">
        <is>
          <t>0.23–39.46</t>
        </is>
      </c>
      <c r="G64" t="inlineStr">
        <is>
          <t>station_id 57 (ทล.35 กม.24+550)</t>
        </is>
      </c>
      <c r="H64" t="inlineStr">
        <is>
          <t>ทล. สถานีตัวแทนตอนควบคุม</t>
        </is>
      </c>
      <c r="I64" t="n">
        <v>36</v>
      </c>
      <c r="J64" t="n">
        <v>1</v>
      </c>
      <c r="K64" t="n">
        <v>8</v>
      </c>
      <c r="L64" s="5" t="n">
        <v>0.25</v>
      </c>
      <c r="M64" t="inlineStr">
        <is>
          <t>low</t>
        </is>
      </c>
      <c r="N64" s="6" t="n">
        <v>129063</v>
      </c>
      <c r="O64" s="6" t="n">
        <v>149020</v>
      </c>
      <c r="P64" s="6" t="n">
        <v>143116</v>
      </c>
      <c r="Q64" s="6">
        <f>AVERAGE(N64:P64)</f>
        <v/>
      </c>
      <c r="R64" t="n">
        <v>3</v>
      </c>
      <c r="S64" t="n">
        <v>1</v>
      </c>
      <c r="T64" s="7">
        <f>365*R64*Q64*S64/1000000</f>
        <v/>
      </c>
      <c r="U64" s="8">
        <f>I64/T64</f>
        <v/>
      </c>
      <c r="V64" s="8">
        <f>SUMIF($E$2:$E$599,E64,$I$2:$I$599)/SUMIF($E$2:$E$599,E64,$T$2:$T$599)</f>
        <v/>
      </c>
      <c r="W64" s="8">
        <f>V64+1.645*SQRT(V64/T64)+1/(2*T64)</f>
        <v/>
      </c>
      <c r="X64" s="5">
        <f>U64/W64</f>
        <v/>
      </c>
      <c r="Y64">
        <f>IF(U64&gt;W64,"high",IF(U64&gt;V64,"medium","low"))</f>
        <v/>
      </c>
      <c r="Z64">
        <f>CHOOSE(MAX(IF(M64="high",2,IF(M64="medium",1,0)),IF(Y64="high",2,IF(Y64="medium",1,0)))+1,"low","medium","high")</f>
        <v/>
      </c>
      <c r="AA64">
        <f>IF(IF(M64="high",2,IF(M64="medium",1,0))=IF(Y64="high",2,IF(Y64="medium",1,0)),"SI และ Rate เท่ากัน",IF(IF(M64="high",2,IF(M64="medium",1,0))&gt;IF(Y64="high",2,IF(Y64="medium",1,0)),"SI","Rate"))</f>
        <v/>
      </c>
    </row>
    <row r="65">
      <c r="A65" t="inlineStr">
        <is>
          <t>zone_118</t>
        </is>
      </c>
      <c r="B65" t="inlineStr">
        <is>
          <t>ดินแดง-ท่าเรือ</t>
        </is>
      </c>
      <c r="C65" t="inlineStr">
        <is>
          <t>กรุงเทพมหานคร</t>
        </is>
      </c>
      <c r="D65" t="inlineStr">
        <is>
          <t>E001S001|I</t>
        </is>
      </c>
      <c r="E65" t="inlineStr">
        <is>
          <t>กทพ.</t>
        </is>
      </c>
      <c r="F65" t="inlineStr">
        <is>
          <t>5.8–6.7</t>
        </is>
      </c>
      <c r="G65" t="inlineStr">
        <is>
          <t>เฉลิมมหานคร</t>
        </is>
      </c>
      <c r="H65" t="inlineStr">
        <is>
          <t>กทพ. ยอดผ่านด่านทั้งสาย ÷ 365</t>
        </is>
      </c>
      <c r="I65" t="n">
        <v>14</v>
      </c>
      <c r="J65" t="n">
        <v>0</v>
      </c>
      <c r="K65" t="n">
        <v>7</v>
      </c>
      <c r="L65" s="5" t="n">
        <v>0.5</v>
      </c>
      <c r="M65" t="inlineStr">
        <is>
          <t>low</t>
        </is>
      </c>
      <c r="N65" s="6" t="n">
        <v>307323.093150685</v>
      </c>
      <c r="O65" s="6" t="n">
        <v>305804.9945205479</v>
      </c>
      <c r="P65" s="6" t="n">
        <v>304213.8739726027</v>
      </c>
      <c r="Q65" s="6">
        <f>AVERAGE(N65:P65)</f>
        <v/>
      </c>
      <c r="R65" t="n">
        <v>3</v>
      </c>
      <c r="S65" t="n">
        <v>1</v>
      </c>
      <c r="T65" s="7">
        <f>365*R65*Q65*S65/1000000</f>
        <v/>
      </c>
      <c r="U65" s="8">
        <f>I65/T65</f>
        <v/>
      </c>
      <c r="V65" s="8">
        <f>SUMIF($E$2:$E$599,E65,$I$2:$I$599)/SUMIF($E$2:$E$599,E65,$T$2:$T$599)</f>
        <v/>
      </c>
      <c r="W65" s="8">
        <f>V65+1.645*SQRT(V65/T65)+1/(2*T65)</f>
        <v/>
      </c>
      <c r="X65" s="5">
        <f>U65/W65</f>
        <v/>
      </c>
      <c r="Y65">
        <f>IF(U65&gt;W65,"high",IF(U65&gt;V65,"medium","low"))</f>
        <v/>
      </c>
      <c r="Z65">
        <f>CHOOSE(MAX(IF(M65="high",2,IF(M65="medium",1,0)),IF(Y65="high",2,IF(Y65="medium",1,0)))+1,"low","medium","high")</f>
        <v/>
      </c>
      <c r="AA65">
        <f>IF(IF(M65="high",2,IF(M65="medium",1,0))=IF(Y65="high",2,IF(Y65="medium",1,0)),"SI และ Rate เท่ากัน",IF(IF(M65="high",2,IF(M65="medium",1,0))&gt;IF(Y65="high",2,IF(Y65="medium",1,0)),"SI","Rate"))</f>
        <v/>
      </c>
    </row>
    <row r="66">
      <c r="A66" t="inlineStr">
        <is>
          <t>zone_94</t>
        </is>
      </c>
      <c r="B66" t="inlineStr">
        <is>
          <t>แขวงรามอินทรา - บางพลี</t>
        </is>
      </c>
      <c r="C66" t="inlineStr">
        <is>
          <t>กรุงเทพมหานคร</t>
        </is>
      </c>
      <c r="D66" t="inlineStr">
        <is>
          <t>9</t>
        </is>
      </c>
      <c r="E66" t="inlineStr">
        <is>
          <t>ทล.</t>
        </is>
      </c>
      <c r="F66" t="inlineStr">
        <is>
          <t>46.8–48.1</t>
        </is>
      </c>
      <c r="G66" t="inlineStr">
        <is>
          <t>station_id 348 (ทล.9 กม.59+500)</t>
        </is>
      </c>
      <c r="H66" t="inlineStr">
        <is>
          <t>ทล. สถานีตัวแทนตอนควบคุม</t>
        </is>
      </c>
      <c r="I66" t="n">
        <v>30</v>
      </c>
      <c r="J66" t="n">
        <v>0</v>
      </c>
      <c r="K66" t="n">
        <v>38</v>
      </c>
      <c r="L66" s="5" t="n">
        <v>1.2667</v>
      </c>
      <c r="M66" t="inlineStr">
        <is>
          <t>medium</t>
        </is>
      </c>
      <c r="N66" s="6" t="n">
        <v>110915</v>
      </c>
      <c r="O66" s="6" t="n">
        <v>117953</v>
      </c>
      <c r="P66" s="6" t="n">
        <v>117813</v>
      </c>
      <c r="Q66" s="6">
        <f>AVERAGE(N66:P66)</f>
        <v/>
      </c>
      <c r="R66" t="n">
        <v>3</v>
      </c>
      <c r="S66" t="n">
        <v>1</v>
      </c>
      <c r="T66" s="7">
        <f>365*R66*Q66*S66/1000000</f>
        <v/>
      </c>
      <c r="U66" s="8">
        <f>I66/T66</f>
        <v/>
      </c>
      <c r="V66" s="8">
        <f>SUMIF($E$2:$E$599,E66,$I$2:$I$599)/SUMIF($E$2:$E$599,E66,$T$2:$T$599)</f>
        <v/>
      </c>
      <c r="W66" s="8">
        <f>V66+1.645*SQRT(V66/T66)+1/(2*T66)</f>
        <v/>
      </c>
      <c r="X66" s="5">
        <f>U66/W66</f>
        <v/>
      </c>
      <c r="Y66">
        <f>IF(U66&gt;W66,"high",IF(U66&gt;V66,"medium","low"))</f>
        <v/>
      </c>
      <c r="Z66">
        <f>CHOOSE(MAX(IF(M66="high",2,IF(M66="medium",1,0)),IF(Y66="high",2,IF(Y66="medium",1,0)))+1,"low","medium","high")</f>
        <v/>
      </c>
      <c r="AA66">
        <f>IF(IF(M66="high",2,IF(M66="medium",1,0))=IF(Y66="high",2,IF(Y66="medium",1,0)),"SI และ Rate เท่ากัน",IF(IF(M66="high",2,IF(M66="medium",1,0))&gt;IF(Y66="high",2,IF(Y66="medium",1,0)),"SI","Rate"))</f>
        <v/>
      </c>
    </row>
    <row r="67">
      <c r="A67" t="inlineStr">
        <is>
          <t>zone_404</t>
        </is>
      </c>
      <c r="B67" t="inlineStr">
        <is>
          <t>บางปะอิน - แขวงรามอินทรา</t>
        </is>
      </c>
      <c r="C67" t="inlineStr">
        <is>
          <t>ปทุมธานี</t>
        </is>
      </c>
      <c r="D67" t="inlineStr">
        <is>
          <t>9</t>
        </is>
      </c>
      <c r="E67" t="inlineStr">
        <is>
          <t>ทล.</t>
        </is>
      </c>
      <c r="F67" t="inlineStr">
        <is>
          <t>18.1–20.1</t>
        </is>
      </c>
      <c r="G67" t="inlineStr">
        <is>
          <t>station_id 347 (ทล.9 กม.1+500)</t>
        </is>
      </c>
      <c r="H67" t="inlineStr">
        <is>
          <t>ทล. สถานีตัวแทนตอนควบคุม</t>
        </is>
      </c>
      <c r="I67" t="n">
        <v>39</v>
      </c>
      <c r="J67" t="n">
        <v>0</v>
      </c>
      <c r="K67" t="n">
        <v>12</v>
      </c>
      <c r="L67" s="5" t="n">
        <v>0.3077</v>
      </c>
      <c r="M67" t="inlineStr">
        <is>
          <t>low</t>
        </is>
      </c>
      <c r="N67" s="6" t="n">
        <v>146870</v>
      </c>
      <c r="O67" s="6" t="n">
        <v>165212</v>
      </c>
      <c r="P67" s="6" t="n">
        <v>160792</v>
      </c>
      <c r="Q67" s="6">
        <f>AVERAGE(N67:P67)</f>
        <v/>
      </c>
      <c r="R67" t="n">
        <v>3</v>
      </c>
      <c r="S67" t="n">
        <v>1</v>
      </c>
      <c r="T67" s="7">
        <f>365*R67*Q67*S67/1000000</f>
        <v/>
      </c>
      <c r="U67" s="8">
        <f>I67/T67</f>
        <v/>
      </c>
      <c r="V67" s="8">
        <f>SUMIF($E$2:$E$599,E67,$I$2:$I$599)/SUMIF($E$2:$E$599,E67,$T$2:$T$599)</f>
        <v/>
      </c>
      <c r="W67" s="8">
        <f>V67+1.645*SQRT(V67/T67)+1/(2*T67)</f>
        <v/>
      </c>
      <c r="X67" s="5">
        <f>U67/W67</f>
        <v/>
      </c>
      <c r="Y67">
        <f>IF(U67&gt;W67,"high",IF(U67&gt;V67,"medium","low"))</f>
        <v/>
      </c>
      <c r="Z67">
        <f>CHOOSE(MAX(IF(M67="high",2,IF(M67="medium",1,0)),IF(Y67="high",2,IF(Y67="medium",1,0)))+1,"low","medium","high")</f>
        <v/>
      </c>
      <c r="AA67">
        <f>IF(IF(M67="high",2,IF(M67="medium",1,0))=IF(Y67="high",2,IF(Y67="medium",1,0)),"SI และ Rate เท่ากัน",IF(IF(M67="high",2,IF(M67="medium",1,0))&gt;IF(Y67="high",2,IF(Y67="medium",1,0)),"SI","Rate"))</f>
        <v/>
      </c>
    </row>
    <row r="68">
      <c r="A68" t="inlineStr">
        <is>
          <t>zone_21</t>
        </is>
      </c>
      <c r="B68" t="inlineStr">
        <is>
          <t>บางแค - คลองมหาสวัสดิ์</t>
        </is>
      </c>
      <c r="C68" t="inlineStr">
        <is>
          <t>กรุงเทพมหานคร</t>
        </is>
      </c>
      <c r="D68" t="inlineStr">
        <is>
          <t>3902</t>
        </is>
      </c>
      <c r="E68" t="inlineStr">
        <is>
          <t>ทล.</t>
        </is>
      </c>
      <c r="F68" t="inlineStr">
        <is>
          <t>27.4–28.6</t>
        </is>
      </c>
      <c r="G68" t="inlineStr">
        <is>
          <t>station_id 130 (ทล.3902 กม.20+430)</t>
        </is>
      </c>
      <c r="H68" t="inlineStr">
        <is>
          <t>ทล. สถานีตัวแทนตอนควบคุม</t>
        </is>
      </c>
      <c r="I68" t="n">
        <v>11</v>
      </c>
      <c r="J68" t="n">
        <v>0</v>
      </c>
      <c r="K68" t="n">
        <v>7</v>
      </c>
      <c r="L68" s="5" t="n">
        <v>0.6364</v>
      </c>
      <c r="M68" t="inlineStr">
        <is>
          <t>low</t>
        </is>
      </c>
      <c r="N68" s="6" t="n">
        <v>27004</v>
      </c>
      <c r="O68" s="6" t="n">
        <v>33591</v>
      </c>
      <c r="P68" s="6" t="n">
        <v>38106</v>
      </c>
      <c r="Q68" s="6">
        <f>AVERAGE(N68:P68)</f>
        <v/>
      </c>
      <c r="R68" t="n">
        <v>3</v>
      </c>
      <c r="S68" t="n">
        <v>1</v>
      </c>
      <c r="T68" s="7">
        <f>365*R68*Q68*S68/1000000</f>
        <v/>
      </c>
      <c r="U68" s="8">
        <f>I68/T68</f>
        <v/>
      </c>
      <c r="V68" s="8">
        <f>SUMIF($E$2:$E$599,E68,$I$2:$I$599)/SUMIF($E$2:$E$599,E68,$T$2:$T$599)</f>
        <v/>
      </c>
      <c r="W68" s="8">
        <f>V68+1.645*SQRT(V68/T68)+1/(2*T68)</f>
        <v/>
      </c>
      <c r="X68" s="5">
        <f>U68/W68</f>
        <v/>
      </c>
      <c r="Y68">
        <f>IF(U68&gt;W68,"high",IF(U68&gt;V68,"medium","low"))</f>
        <v/>
      </c>
      <c r="Z68">
        <f>CHOOSE(MAX(IF(M68="high",2,IF(M68="medium",1,0)),IF(Y68="high",2,IF(Y68="medium",1,0)))+1,"low","medium","high")</f>
        <v/>
      </c>
      <c r="AA68">
        <f>IF(IF(M68="high",2,IF(M68="medium",1,0))=IF(Y68="high",2,IF(Y68="medium",1,0)),"SI และ Rate เท่ากัน",IF(IF(M68="high",2,IF(M68="medium",1,0))&gt;IF(Y68="high",2,IF(Y68="medium",1,0)),"SI","Rate"))</f>
        <v/>
      </c>
    </row>
    <row r="69">
      <c r="A69" t="inlineStr">
        <is>
          <t>zone_495</t>
        </is>
      </c>
      <c r="B69" t="inlineStr">
        <is>
          <t>บางพลี-สุขสวัสดิ์</t>
        </is>
      </c>
      <c r="C69" t="inlineStr">
        <is>
          <t>สมุทรปราการ</t>
        </is>
      </c>
      <c r="D69" t="inlineStr">
        <is>
          <t>E007S013|U</t>
        </is>
      </c>
      <c r="E69" t="inlineStr">
        <is>
          <t>กทพ.</t>
        </is>
      </c>
      <c r="F69" t="inlineStr">
        <is>
          <t>18.2–19.1</t>
        </is>
      </c>
      <c r="G69" t="inlineStr">
        <is>
          <t>ทางพิเศษกาญจนาภิเษก(บางพลี-สุขสวัสดิ์)</t>
        </is>
      </c>
      <c r="H69" t="inlineStr">
        <is>
          <t>กทพ. ยอดผ่านด่านทั้งสาย ÷ 365</t>
        </is>
      </c>
      <c r="I69" t="n">
        <v>11</v>
      </c>
      <c r="J69" t="n">
        <v>0</v>
      </c>
      <c r="K69" t="n">
        <v>2</v>
      </c>
      <c r="L69" s="5" t="n">
        <v>0.1818</v>
      </c>
      <c r="M69" t="inlineStr">
        <is>
          <t>low</t>
        </is>
      </c>
      <c r="N69" s="6" t="n">
        <v>233037.0054794521</v>
      </c>
      <c r="O69" s="6" t="n">
        <v>233284.9890410959</v>
      </c>
      <c r="P69" s="6" t="n">
        <v>228365.901369863</v>
      </c>
      <c r="Q69" s="6">
        <f>AVERAGE(N69:P69)</f>
        <v/>
      </c>
      <c r="R69" t="n">
        <v>3</v>
      </c>
      <c r="S69" t="n">
        <v>1</v>
      </c>
      <c r="T69" s="7">
        <f>365*R69*Q69*S69/1000000</f>
        <v/>
      </c>
      <c r="U69" s="8">
        <f>I69/T69</f>
        <v/>
      </c>
      <c r="V69" s="8">
        <f>SUMIF($E$2:$E$599,E69,$I$2:$I$599)/SUMIF($E$2:$E$599,E69,$T$2:$T$599)</f>
        <v/>
      </c>
      <c r="W69" s="8">
        <f>V69+1.645*SQRT(V69/T69)+1/(2*T69)</f>
        <v/>
      </c>
      <c r="X69" s="5">
        <f>U69/W69</f>
        <v/>
      </c>
      <c r="Y69">
        <f>IF(U69&gt;W69,"high",IF(U69&gt;V69,"medium","low"))</f>
        <v/>
      </c>
      <c r="Z69">
        <f>CHOOSE(MAX(IF(M69="high",2,IF(M69="medium",1,0)),IF(Y69="high",2,IF(Y69="medium",1,0)))+1,"low","medium","high")</f>
        <v/>
      </c>
      <c r="AA69">
        <f>IF(IF(M69="high",2,IF(M69="medium",1,0))=IF(Y69="high",2,IF(Y69="medium",1,0)),"SI และ Rate เท่ากัน",IF(IF(M69="high",2,IF(M69="medium",1,0))&gt;IF(Y69="high",2,IF(Y69="medium",1,0)),"SI","Rate"))</f>
        <v/>
      </c>
    </row>
    <row r="70">
      <c r="A70" t="inlineStr">
        <is>
          <t>zone_166</t>
        </is>
      </c>
      <c r="B70" t="inlineStr">
        <is>
          <t>แขวงรามอินทรา - บางพลี</t>
        </is>
      </c>
      <c r="C70" t="inlineStr">
        <is>
          <t>กรุงเทพมหานคร</t>
        </is>
      </c>
      <c r="D70" t="inlineStr">
        <is>
          <t>9</t>
        </is>
      </c>
      <c r="E70" t="inlineStr">
        <is>
          <t>ทล.</t>
        </is>
      </c>
      <c r="F70" t="inlineStr">
        <is>
          <t>57.7–59.3</t>
        </is>
      </c>
      <c r="G70" t="inlineStr">
        <is>
          <t>station_id 348 (ทล.9 กม.59+500)</t>
        </is>
      </c>
      <c r="H70" t="inlineStr">
        <is>
          <t>ทล. สถานีตัวแทนตอนควบคุม</t>
        </is>
      </c>
      <c r="I70" t="n">
        <v>29</v>
      </c>
      <c r="J70" t="n">
        <v>4</v>
      </c>
      <c r="K70" t="n">
        <v>21</v>
      </c>
      <c r="L70" s="5" t="n">
        <v>0.8621</v>
      </c>
      <c r="M70" t="inlineStr">
        <is>
          <t>low</t>
        </is>
      </c>
      <c r="N70" s="6" t="n">
        <v>110915</v>
      </c>
      <c r="O70" s="6" t="n">
        <v>117953</v>
      </c>
      <c r="P70" s="6" t="n">
        <v>117813</v>
      </c>
      <c r="Q70" s="6">
        <f>AVERAGE(N70:P70)</f>
        <v/>
      </c>
      <c r="R70" t="n">
        <v>3</v>
      </c>
      <c r="S70" t="n">
        <v>1</v>
      </c>
      <c r="T70" s="7">
        <f>365*R70*Q70*S70/1000000</f>
        <v/>
      </c>
      <c r="U70" s="8">
        <f>I70/T70</f>
        <v/>
      </c>
      <c r="V70" s="8">
        <f>SUMIF($E$2:$E$599,E70,$I$2:$I$599)/SUMIF($E$2:$E$599,E70,$T$2:$T$599)</f>
        <v/>
      </c>
      <c r="W70" s="8">
        <f>V70+1.645*SQRT(V70/T70)+1/(2*T70)</f>
        <v/>
      </c>
      <c r="X70" s="5">
        <f>U70/W70</f>
        <v/>
      </c>
      <c r="Y70">
        <f>IF(U70&gt;W70,"high",IF(U70&gt;V70,"medium","low"))</f>
        <v/>
      </c>
      <c r="Z70">
        <f>CHOOSE(MAX(IF(M70="high",2,IF(M70="medium",1,0)),IF(Y70="high",2,IF(Y70="medium",1,0)))+1,"low","medium","high")</f>
        <v/>
      </c>
      <c r="AA70">
        <f>IF(IF(M70="high",2,IF(M70="medium",1,0))=IF(Y70="high",2,IF(Y70="medium",1,0)),"SI และ Rate เท่ากัน",IF(IF(M70="high",2,IF(M70="medium",1,0))&gt;IF(Y70="high",2,IF(Y70="medium",1,0)),"SI","Rate"))</f>
        <v/>
      </c>
    </row>
    <row r="71">
      <c r="A71" t="inlineStr">
        <is>
          <t>zone_198</t>
        </is>
      </c>
      <c r="B71" t="inlineStr">
        <is>
          <t>รามอินทรา-อาจณรงค์</t>
        </is>
      </c>
      <c r="C71" t="inlineStr">
        <is>
          <t>กรุงเทพมหานคร</t>
        </is>
      </c>
      <c r="D71" t="inlineStr">
        <is>
          <t>E003S008|U</t>
        </is>
      </c>
      <c r="E71" t="inlineStr">
        <is>
          <t>กทพ.</t>
        </is>
      </c>
      <c r="F71" t="inlineStr">
        <is>
          <t>10.3–11</t>
        </is>
      </c>
      <c r="G71" t="inlineStr">
        <is>
          <t>ฉลองรัช</t>
        </is>
      </c>
      <c r="H71" t="inlineStr">
        <is>
          <t>กทพ. ยอดผ่านด่านทั้งสาย ÷ 365</t>
        </is>
      </c>
      <c r="I71" t="n">
        <v>10</v>
      </c>
      <c r="J71" t="n">
        <v>0</v>
      </c>
      <c r="K71" t="n">
        <v>10</v>
      </c>
      <c r="L71" s="5" t="n">
        <v>1</v>
      </c>
      <c r="M71" t="inlineStr">
        <is>
          <t>medium</t>
        </is>
      </c>
      <c r="N71" s="6" t="n">
        <v>213053.802739726</v>
      </c>
      <c r="O71" s="6" t="n">
        <v>207436.4739726027</v>
      </c>
      <c r="P71" s="6" t="n">
        <v>205336.6383561644</v>
      </c>
      <c r="Q71" s="6">
        <f>AVERAGE(N71:P71)</f>
        <v/>
      </c>
      <c r="R71" t="n">
        <v>3</v>
      </c>
      <c r="S71" t="n">
        <v>1</v>
      </c>
      <c r="T71" s="7">
        <f>365*R71*Q71*S71/1000000</f>
        <v/>
      </c>
      <c r="U71" s="8">
        <f>I71/T71</f>
        <v/>
      </c>
      <c r="V71" s="8">
        <f>SUMIF($E$2:$E$599,E71,$I$2:$I$599)/SUMIF($E$2:$E$599,E71,$T$2:$T$599)</f>
        <v/>
      </c>
      <c r="W71" s="8">
        <f>V71+1.645*SQRT(V71/T71)+1/(2*T71)</f>
        <v/>
      </c>
      <c r="X71" s="5">
        <f>U71/W71</f>
        <v/>
      </c>
      <c r="Y71">
        <f>IF(U71&gt;W71,"high",IF(U71&gt;V71,"medium","low"))</f>
        <v/>
      </c>
      <c r="Z71">
        <f>CHOOSE(MAX(IF(M71="high",2,IF(M71="medium",1,0)),IF(Y71="high",2,IF(Y71="medium",1,0)))+1,"low","medium","high")</f>
        <v/>
      </c>
      <c r="AA71">
        <f>IF(IF(M71="high",2,IF(M71="medium",1,0))=IF(Y71="high",2,IF(Y71="medium",1,0)),"SI และ Rate เท่ากัน",IF(IF(M71="high",2,IF(M71="medium",1,0))&gt;IF(Y71="high",2,IF(Y71="medium",1,0)),"SI","Rate"))</f>
        <v/>
      </c>
    </row>
    <row r="72">
      <c r="A72" t="inlineStr">
        <is>
          <t>zone_353</t>
        </is>
      </c>
      <c r="B72" t="inlineStr">
        <is>
          <t>บางปะอิน-แจ้งวัฒนะ</t>
        </is>
      </c>
      <c r="C72" t="inlineStr">
        <is>
          <t>นนทบุรี</t>
        </is>
      </c>
      <c r="D72" t="inlineStr">
        <is>
          <t>E005S012|I</t>
        </is>
      </c>
      <c r="E72" t="inlineStr">
        <is>
          <t>กทพ.</t>
        </is>
      </c>
      <c r="F72" t="inlineStr">
        <is>
          <t>3.8–3.9</t>
        </is>
      </c>
      <c r="G72" t="inlineStr">
        <is>
          <t>อุดรรัถยา</t>
        </is>
      </c>
      <c r="H72" t="inlineStr">
        <is>
          <t>กทพ. ยอดผ่านด่านทั้งสาย ÷ 365</t>
        </is>
      </c>
      <c r="I72" t="n">
        <v>5</v>
      </c>
      <c r="J72" t="n">
        <v>0</v>
      </c>
      <c r="K72" t="n">
        <v>4</v>
      </c>
      <c r="L72" s="5" t="n">
        <v>0.8</v>
      </c>
      <c r="M72" t="inlineStr">
        <is>
          <t>low</t>
        </is>
      </c>
      <c r="N72" s="6" t="n">
        <v>77540.51780821919</v>
      </c>
      <c r="O72" s="6" t="n">
        <v>78380.57808219179</v>
      </c>
      <c r="P72" s="6" t="n">
        <v>76850.58356164384</v>
      </c>
      <c r="Q72" s="6">
        <f>AVERAGE(N72:P72)</f>
        <v/>
      </c>
      <c r="R72" t="n">
        <v>3</v>
      </c>
      <c r="S72" t="n">
        <v>1</v>
      </c>
      <c r="T72" s="7">
        <f>365*R72*Q72*S72/1000000</f>
        <v/>
      </c>
      <c r="U72" s="8">
        <f>I72/T72</f>
        <v/>
      </c>
      <c r="V72" s="8">
        <f>SUMIF($E$2:$E$599,E72,$I$2:$I$599)/SUMIF($E$2:$E$599,E72,$T$2:$T$599)</f>
        <v/>
      </c>
      <c r="W72" s="8">
        <f>V72+1.645*SQRT(V72/T72)+1/(2*T72)</f>
        <v/>
      </c>
      <c r="X72" s="5">
        <f>U72/W72</f>
        <v/>
      </c>
      <c r="Y72">
        <f>IF(U72&gt;W72,"high",IF(U72&gt;V72,"medium","low"))</f>
        <v/>
      </c>
      <c r="Z72">
        <f>CHOOSE(MAX(IF(M72="high",2,IF(M72="medium",1,0)),IF(Y72="high",2,IF(Y72="medium",1,0)))+1,"low","medium","high")</f>
        <v/>
      </c>
      <c r="AA72">
        <f>IF(IF(M72="high",2,IF(M72="medium",1,0))=IF(Y72="high",2,IF(Y72="medium",1,0)),"SI และ Rate เท่ากัน",IF(IF(M72="high",2,IF(M72="medium",1,0))&gt;IF(Y72="high",2,IF(Y72="medium",1,0)),"SI","Rate"))</f>
        <v/>
      </c>
    </row>
    <row r="73">
      <c r="A73" t="inlineStr">
        <is>
          <t>zone_133</t>
        </is>
      </c>
      <c r="B73" t="inlineStr">
        <is>
          <t>ดาวคะนอง-ท่าเรือ</t>
        </is>
      </c>
      <c r="C73" t="inlineStr">
        <is>
          <t>กรุงเทพมหานคร</t>
        </is>
      </c>
      <c r="D73" t="inlineStr">
        <is>
          <t>E001S003|I</t>
        </is>
      </c>
      <c r="E73" t="inlineStr">
        <is>
          <t>กทพ.</t>
        </is>
      </c>
      <c r="F73" t="inlineStr">
        <is>
          <t>24.9–25.4</t>
        </is>
      </c>
      <c r="G73" t="inlineStr">
        <is>
          <t>เฉลิมมหานคร</t>
        </is>
      </c>
      <c r="H73" t="inlineStr">
        <is>
          <t>กทพ. ยอดผ่านด่านทั้งสาย ÷ 365</t>
        </is>
      </c>
      <c r="I73" t="n">
        <v>13</v>
      </c>
      <c r="J73" t="n">
        <v>0</v>
      </c>
      <c r="K73" t="n">
        <v>9</v>
      </c>
      <c r="L73" s="5" t="n">
        <v>0.6923</v>
      </c>
      <c r="M73" t="inlineStr">
        <is>
          <t>low</t>
        </is>
      </c>
      <c r="N73" s="6" t="n">
        <v>307323.093150685</v>
      </c>
      <c r="O73" s="6" t="n">
        <v>305804.9945205479</v>
      </c>
      <c r="P73" s="6" t="n">
        <v>304213.8739726027</v>
      </c>
      <c r="Q73" s="6">
        <f>AVERAGE(N73:P73)</f>
        <v/>
      </c>
      <c r="R73" t="n">
        <v>3</v>
      </c>
      <c r="S73" t="n">
        <v>1</v>
      </c>
      <c r="T73" s="7">
        <f>365*R73*Q73*S73/1000000</f>
        <v/>
      </c>
      <c r="U73" s="8">
        <f>I73/T73</f>
        <v/>
      </c>
      <c r="V73" s="8">
        <f>SUMIF($E$2:$E$599,E73,$I$2:$I$599)/SUMIF($E$2:$E$599,E73,$T$2:$T$599)</f>
        <v/>
      </c>
      <c r="W73" s="8">
        <f>V73+1.645*SQRT(V73/T73)+1/(2*T73)</f>
        <v/>
      </c>
      <c r="X73" s="5">
        <f>U73/W73</f>
        <v/>
      </c>
      <c r="Y73">
        <f>IF(U73&gt;W73,"high",IF(U73&gt;V73,"medium","low"))</f>
        <v/>
      </c>
      <c r="Z73">
        <f>CHOOSE(MAX(IF(M73="high",2,IF(M73="medium",1,0)),IF(Y73="high",2,IF(Y73="medium",1,0)))+1,"low","medium","high")</f>
        <v/>
      </c>
      <c r="AA73">
        <f>IF(IF(M73="high",2,IF(M73="medium",1,0))=IF(Y73="high",2,IF(Y73="medium",1,0)),"SI และ Rate เท่ากัน",IF(IF(M73="high",2,IF(M73="medium",1,0))&gt;IF(Y73="high",2,IF(Y73="medium",1,0)),"SI","Rate"))</f>
        <v/>
      </c>
    </row>
    <row r="74">
      <c r="A74" t="inlineStr">
        <is>
          <t>zone_363</t>
        </is>
      </c>
      <c r="B74" t="inlineStr">
        <is>
          <t>ดอนตูม - ลำลูกบัว</t>
        </is>
      </c>
      <c r="C74" t="inlineStr">
        <is>
          <t>นครปฐม</t>
        </is>
      </c>
      <c r="D74" t="inlineStr">
        <is>
          <t>375</t>
        </is>
      </c>
      <c r="E74" t="inlineStr">
        <is>
          <t>ทล.</t>
        </is>
      </c>
      <c r="F74" t="inlineStr">
        <is>
          <t>60–60.4</t>
        </is>
      </c>
      <c r="G74" t="inlineStr">
        <is>
          <t>station_id 2874 (ทล.375 กม.65+000)</t>
        </is>
      </c>
      <c r="H74" t="inlineStr">
        <is>
          <t>ทล. สถานีตัวแทนตอนควบคุม</t>
        </is>
      </c>
      <c r="I74" t="n">
        <v>5</v>
      </c>
      <c r="J74" t="n">
        <v>0</v>
      </c>
      <c r="K74" t="n">
        <v>0</v>
      </c>
      <c r="L74" s="5" t="n">
        <v>0</v>
      </c>
      <c r="M74" t="inlineStr">
        <is>
          <t>low</t>
        </is>
      </c>
      <c r="N74" s="6" t="n">
        <v>12532</v>
      </c>
      <c r="O74" s="6" t="n">
        <v>11463</v>
      </c>
      <c r="P74" s="6" t="n">
        <v>12675</v>
      </c>
      <c r="Q74" s="6">
        <f>AVERAGE(N74:P74)</f>
        <v/>
      </c>
      <c r="R74" t="n">
        <v>3</v>
      </c>
      <c r="S74" t="n">
        <v>1</v>
      </c>
      <c r="T74" s="7">
        <f>365*R74*Q74*S74/1000000</f>
        <v/>
      </c>
      <c r="U74" s="8">
        <f>I74/T74</f>
        <v/>
      </c>
      <c r="V74" s="8">
        <f>SUMIF($E$2:$E$599,E74,$I$2:$I$599)/SUMIF($E$2:$E$599,E74,$T$2:$T$599)</f>
        <v/>
      </c>
      <c r="W74" s="8">
        <f>V74+1.645*SQRT(V74/T74)+1/(2*T74)</f>
        <v/>
      </c>
      <c r="X74" s="5">
        <f>U74/W74</f>
        <v/>
      </c>
      <c r="Y74">
        <f>IF(U74&gt;W74,"high",IF(U74&gt;V74,"medium","low"))</f>
        <v/>
      </c>
      <c r="Z74">
        <f>CHOOSE(MAX(IF(M74="high",2,IF(M74="medium",1,0)),IF(Y74="high",2,IF(Y74="medium",1,0)))+1,"low","medium","high")</f>
        <v/>
      </c>
      <c r="AA74">
        <f>IF(IF(M74="high",2,IF(M74="medium",1,0))=IF(Y74="high",2,IF(Y74="medium",1,0)),"SI และ Rate เท่ากัน",IF(IF(M74="high",2,IF(M74="medium",1,0))&gt;IF(Y74="high",2,IF(Y74="medium",1,0)),"SI","Rate"))</f>
        <v/>
      </c>
    </row>
    <row r="75">
      <c r="A75" t="inlineStr">
        <is>
          <t>zone_385</t>
        </is>
      </c>
      <c r="B75" t="inlineStr">
        <is>
          <t>บางปะอิน - แขวงรามอินทรา</t>
        </is>
      </c>
      <c r="C75" t="inlineStr">
        <is>
          <t>ปทุมธานี</t>
        </is>
      </c>
      <c r="D75" t="inlineStr">
        <is>
          <t>9</t>
        </is>
      </c>
      <c r="E75" t="inlineStr">
        <is>
          <t>ทล.</t>
        </is>
      </c>
      <c r="F75" t="inlineStr">
        <is>
          <t>9.25–23.1</t>
        </is>
      </c>
      <c r="G75" t="inlineStr">
        <is>
          <t>station_id 347 (ทล.9 กม.1+500)</t>
        </is>
      </c>
      <c r="H75" t="inlineStr">
        <is>
          <t>ทล. สถานีตัวแทนตอนควบคุม</t>
        </is>
      </c>
      <c r="I75" t="n">
        <v>35</v>
      </c>
      <c r="J75" t="n">
        <v>1</v>
      </c>
      <c r="K75" t="n">
        <v>13</v>
      </c>
      <c r="L75" s="5" t="n">
        <v>0.4</v>
      </c>
      <c r="M75" t="inlineStr">
        <is>
          <t>low</t>
        </is>
      </c>
      <c r="N75" s="6" t="n">
        <v>146870</v>
      </c>
      <c r="O75" s="6" t="n">
        <v>165212</v>
      </c>
      <c r="P75" s="6" t="n">
        <v>160792</v>
      </c>
      <c r="Q75" s="6">
        <f>AVERAGE(N75:P75)</f>
        <v/>
      </c>
      <c r="R75" t="n">
        <v>3</v>
      </c>
      <c r="S75" t="n">
        <v>1</v>
      </c>
      <c r="T75" s="7">
        <f>365*R75*Q75*S75/1000000</f>
        <v/>
      </c>
      <c r="U75" s="8">
        <f>I75/T75</f>
        <v/>
      </c>
      <c r="V75" s="8">
        <f>SUMIF($E$2:$E$599,E75,$I$2:$I$599)/SUMIF($E$2:$E$599,E75,$T$2:$T$599)</f>
        <v/>
      </c>
      <c r="W75" s="8">
        <f>V75+1.645*SQRT(V75/T75)+1/(2*T75)</f>
        <v/>
      </c>
      <c r="X75" s="5">
        <f>U75/W75</f>
        <v/>
      </c>
      <c r="Y75">
        <f>IF(U75&gt;W75,"high",IF(U75&gt;V75,"medium","low"))</f>
        <v/>
      </c>
      <c r="Z75">
        <f>CHOOSE(MAX(IF(M75="high",2,IF(M75="medium",1,0)),IF(Y75="high",2,IF(Y75="medium",1,0)))+1,"low","medium","high")</f>
        <v/>
      </c>
      <c r="AA75">
        <f>IF(IF(M75="high",2,IF(M75="medium",1,0))=IF(Y75="high",2,IF(Y75="medium",1,0)),"SI และ Rate เท่ากัน",IF(IF(M75="high",2,IF(M75="medium",1,0))&gt;IF(Y75="high",2,IF(Y75="medium",1,0)),"SI","Rate"))</f>
        <v/>
      </c>
    </row>
    <row r="76">
      <c r="A76" t="inlineStr">
        <is>
          <t>zone_365</t>
        </is>
      </c>
      <c r="B76" t="inlineStr">
        <is>
          <t>ถนนศูนย์ราชการ</t>
        </is>
      </c>
      <c r="C76" t="inlineStr">
        <is>
          <t>นครปฐม</t>
        </is>
      </c>
      <c r="D76" t="inlineStr">
        <is>
          <t>นฐ.5022</t>
        </is>
      </c>
      <c r="E76" t="inlineStr">
        <is>
          <t>ทช.</t>
        </is>
      </c>
      <c r="F76" t="inlineStr">
        <is>
          <t>1.4–1.55</t>
        </is>
      </c>
      <c r="G76" t="inlineStr">
        <is>
          <t>นฐ.5022</t>
        </is>
      </c>
      <c r="H76" t="inlineStr">
        <is>
          <t>ทช. AADT รายสายทาง</t>
        </is>
      </c>
      <c r="I76" t="n">
        <v>3</v>
      </c>
      <c r="J76" t="n">
        <v>2</v>
      </c>
      <c r="K76" t="n">
        <v>1</v>
      </c>
      <c r="L76" s="5" t="n">
        <v>1</v>
      </c>
      <c r="M76" t="inlineStr">
        <is>
          <t>medium</t>
        </is>
      </c>
      <c r="N76" s="6" t="n">
        <v>3492</v>
      </c>
      <c r="O76" s="6" t="n">
        <v>3602</v>
      </c>
      <c r="P76" s="6" t="n">
        <v>3385</v>
      </c>
      <c r="Q76" s="6">
        <f>AVERAGE(N76:P76)</f>
        <v/>
      </c>
      <c r="R76" t="n">
        <v>3</v>
      </c>
      <c r="S76" t="n">
        <v>1</v>
      </c>
      <c r="T76" s="7">
        <f>365*R76*Q76*S76/1000000</f>
        <v/>
      </c>
      <c r="U76" s="8">
        <f>I76/T76</f>
        <v/>
      </c>
      <c r="V76" s="8">
        <f>SUMIF($E$2:$E$599,E76,$I$2:$I$599)/SUMIF($E$2:$E$599,E76,$T$2:$T$599)</f>
        <v/>
      </c>
      <c r="W76" s="8">
        <f>V76+1.645*SQRT(V76/T76)+1/(2*T76)</f>
        <v/>
      </c>
      <c r="X76" s="5">
        <f>U76/W76</f>
        <v/>
      </c>
      <c r="Y76">
        <f>IF(U76&gt;W76,"high",IF(U76&gt;V76,"medium","low"))</f>
        <v/>
      </c>
      <c r="Z76">
        <f>CHOOSE(MAX(IF(M76="high",2,IF(M76="medium",1,0)),IF(Y76="high",2,IF(Y76="medium",1,0)))+1,"low","medium","high")</f>
        <v/>
      </c>
      <c r="AA76">
        <f>IF(IF(M76="high",2,IF(M76="medium",1,0))=IF(Y76="high",2,IF(Y76="medium",1,0)),"SI และ Rate เท่ากัน",IF(IF(M76="high",2,IF(M76="medium",1,0))&gt;IF(Y76="high",2,IF(Y76="medium",1,0)),"SI","Rate"))</f>
        <v/>
      </c>
    </row>
    <row r="77">
      <c r="A77" t="inlineStr">
        <is>
          <t>zone_215</t>
        </is>
      </c>
      <c r="B77" t="inlineStr">
        <is>
          <t>แจ้งวัฒนะ-พญาไท</t>
        </is>
      </c>
      <c r="C77" t="inlineStr">
        <is>
          <t>กรุงเทพมหานคร</t>
        </is>
      </c>
      <c r="D77" t="inlineStr">
        <is>
          <t>E002S014|U</t>
        </is>
      </c>
      <c r="E77" t="inlineStr">
        <is>
          <t>กทพ.</t>
        </is>
      </c>
      <c r="F77" t="inlineStr">
        <is>
          <t>16.3–17.1</t>
        </is>
      </c>
      <c r="G77" t="inlineStr">
        <is>
          <t>ศรีรัช</t>
        </is>
      </c>
      <c r="H77" t="inlineStr">
        <is>
          <t>กทพ. ยอดผ่านด่านทั้งสาย ÷ 365</t>
        </is>
      </c>
      <c r="I77" t="n">
        <v>21</v>
      </c>
      <c r="J77" t="n">
        <v>1</v>
      </c>
      <c r="K77" t="n">
        <v>0</v>
      </c>
      <c r="L77" s="5" t="n">
        <v>0.0476</v>
      </c>
      <c r="M77" t="inlineStr">
        <is>
          <t>low</t>
        </is>
      </c>
      <c r="N77" s="6" t="n">
        <v>613083.1506849315</v>
      </c>
      <c r="O77" s="6" t="n">
        <v>601127.7068493151</v>
      </c>
      <c r="P77" s="6" t="n">
        <v>607857.5287671232</v>
      </c>
      <c r="Q77" s="6">
        <f>AVERAGE(N77:P77)</f>
        <v/>
      </c>
      <c r="R77" t="n">
        <v>3</v>
      </c>
      <c r="S77" t="n">
        <v>1</v>
      </c>
      <c r="T77" s="7">
        <f>365*R77*Q77*S77/1000000</f>
        <v/>
      </c>
      <c r="U77" s="8">
        <f>I77/T77</f>
        <v/>
      </c>
      <c r="V77" s="8">
        <f>SUMIF($E$2:$E$599,E77,$I$2:$I$599)/SUMIF($E$2:$E$599,E77,$T$2:$T$599)</f>
        <v/>
      </c>
      <c r="W77" s="8">
        <f>V77+1.645*SQRT(V77/T77)+1/(2*T77)</f>
        <v/>
      </c>
      <c r="X77" s="5">
        <f>U77/W77</f>
        <v/>
      </c>
      <c r="Y77">
        <f>IF(U77&gt;W77,"high",IF(U77&gt;V77,"medium","low"))</f>
        <v/>
      </c>
      <c r="Z77">
        <f>CHOOSE(MAX(IF(M77="high",2,IF(M77="medium",1,0)),IF(Y77="high",2,IF(Y77="medium",1,0)))+1,"low","medium","high")</f>
        <v/>
      </c>
      <c r="AA77">
        <f>IF(IF(M77="high",2,IF(M77="medium",1,0))=IF(Y77="high",2,IF(Y77="medium",1,0)),"SI และ Rate เท่ากัน",IF(IF(M77="high",2,IF(M77="medium",1,0))&gt;IF(Y77="high",2,IF(Y77="medium",1,0)),"SI","Rate"))</f>
        <v/>
      </c>
    </row>
    <row r="78">
      <c r="A78" t="inlineStr">
        <is>
          <t>zone_144</t>
        </is>
      </c>
      <c r="B78" t="inlineStr">
        <is>
          <t>แขวงคลองสองต้นนุ่น - พิมพา</t>
        </is>
      </c>
      <c r="C78" t="inlineStr">
        <is>
          <t>กรุงเทพมหานคร</t>
        </is>
      </c>
      <c r="D78" t="inlineStr">
        <is>
          <t>7</t>
        </is>
      </c>
      <c r="E78" t="inlineStr">
        <is>
          <t>ทล.</t>
        </is>
      </c>
      <c r="F78" t="inlineStr">
        <is>
          <t>20–21.8</t>
        </is>
      </c>
      <c r="G78" t="inlineStr">
        <is>
          <t>station_id 345 (ทล.7 กม.17+000)</t>
        </is>
      </c>
      <c r="H78" t="inlineStr">
        <is>
          <t>ทล. สถานีตัวแทนตอนควบคุม</t>
        </is>
      </c>
      <c r="I78" t="n">
        <v>50</v>
      </c>
      <c r="J78" t="n">
        <v>1</v>
      </c>
      <c r="K78" t="n">
        <v>26</v>
      </c>
      <c r="L78" s="5" t="n">
        <v>0.54</v>
      </c>
      <c r="M78" t="inlineStr">
        <is>
          <t>low</t>
        </is>
      </c>
      <c r="N78" s="6" t="n">
        <v>220901</v>
      </c>
      <c r="O78" s="6" t="n">
        <v>242192</v>
      </c>
      <c r="P78" s="6" t="n">
        <v>262343</v>
      </c>
      <c r="Q78" s="6">
        <f>AVERAGE(N78:P78)</f>
        <v/>
      </c>
      <c r="R78" t="n">
        <v>3</v>
      </c>
      <c r="S78" t="n">
        <v>1</v>
      </c>
      <c r="T78" s="7">
        <f>365*R78*Q78*S78/1000000</f>
        <v/>
      </c>
      <c r="U78" s="8">
        <f>I78/T78</f>
        <v/>
      </c>
      <c r="V78" s="8">
        <f>SUMIF($E$2:$E$599,E78,$I$2:$I$599)/SUMIF($E$2:$E$599,E78,$T$2:$T$599)</f>
        <v/>
      </c>
      <c r="W78" s="8">
        <f>V78+1.645*SQRT(V78/T78)+1/(2*T78)</f>
        <v/>
      </c>
      <c r="X78" s="5">
        <f>U78/W78</f>
        <v/>
      </c>
      <c r="Y78">
        <f>IF(U78&gt;W78,"high",IF(U78&gt;V78,"medium","low"))</f>
        <v/>
      </c>
      <c r="Z78">
        <f>CHOOSE(MAX(IF(M78="high",2,IF(M78="medium",1,0)),IF(Y78="high",2,IF(Y78="medium",1,0)))+1,"low","medium","high")</f>
        <v/>
      </c>
      <c r="AA78">
        <f>IF(IF(M78="high",2,IF(M78="medium",1,0))=IF(Y78="high",2,IF(Y78="medium",1,0)),"SI และ Rate เท่ากัน",IF(IF(M78="high",2,IF(M78="medium",1,0))&gt;IF(Y78="high",2,IF(Y78="medium",1,0)),"SI","Rate"))</f>
        <v/>
      </c>
    </row>
    <row r="79">
      <c r="A79" t="inlineStr">
        <is>
          <t>zone_528</t>
        </is>
      </c>
      <c r="B79" t="inlineStr">
        <is>
          <t>บางนา-ชลบุรี</t>
        </is>
      </c>
      <c r="C79" t="inlineStr">
        <is>
          <t>สมุทรปราการ</t>
        </is>
      </c>
      <c r="D79" t="inlineStr">
        <is>
          <t>E004S009|U</t>
        </is>
      </c>
      <c r="E79" t="inlineStr">
        <is>
          <t>กทพ.</t>
        </is>
      </c>
      <c r="F79" t="inlineStr">
        <is>
          <t>28.2–28.3</t>
        </is>
      </c>
      <c r="G79" t="inlineStr">
        <is>
          <t>บูรพาวิถี</t>
        </is>
      </c>
      <c r="H79" t="inlineStr">
        <is>
          <t>กทพ. ยอดผ่านด่านทั้งสาย ÷ 365</t>
        </is>
      </c>
      <c r="I79" t="n">
        <v>7</v>
      </c>
      <c r="J79" t="n">
        <v>0</v>
      </c>
      <c r="K79" t="n">
        <v>0</v>
      </c>
      <c r="L79" s="5" t="n">
        <v>0</v>
      </c>
      <c r="M79" t="inlineStr">
        <is>
          <t>low</t>
        </is>
      </c>
      <c r="N79" s="6" t="n">
        <v>143309.3260273973</v>
      </c>
      <c r="O79" s="6" t="n">
        <v>145474.1863013699</v>
      </c>
      <c r="P79" s="6" t="n">
        <v>147094.4356164384</v>
      </c>
      <c r="Q79" s="6">
        <f>AVERAGE(N79:P79)</f>
        <v/>
      </c>
      <c r="R79" t="n">
        <v>3</v>
      </c>
      <c r="S79" t="n">
        <v>1</v>
      </c>
      <c r="T79" s="7">
        <f>365*R79*Q79*S79/1000000</f>
        <v/>
      </c>
      <c r="U79" s="8">
        <f>I79/T79</f>
        <v/>
      </c>
      <c r="V79" s="8">
        <f>SUMIF($E$2:$E$599,E79,$I$2:$I$599)/SUMIF($E$2:$E$599,E79,$T$2:$T$599)</f>
        <v/>
      </c>
      <c r="W79" s="8">
        <f>V79+1.645*SQRT(V79/T79)+1/(2*T79)</f>
        <v/>
      </c>
      <c r="X79" s="5">
        <f>U79/W79</f>
        <v/>
      </c>
      <c r="Y79">
        <f>IF(U79&gt;W79,"high",IF(U79&gt;V79,"medium","low"))</f>
        <v/>
      </c>
      <c r="Z79">
        <f>CHOOSE(MAX(IF(M79="high",2,IF(M79="medium",1,0)),IF(Y79="high",2,IF(Y79="medium",1,0)))+1,"low","medium","high")</f>
        <v/>
      </c>
      <c r="AA79">
        <f>IF(IF(M79="high",2,IF(M79="medium",1,0))=IF(Y79="high",2,IF(Y79="medium",1,0)),"SI และ Rate เท่ากัน",IF(IF(M79="high",2,IF(M79="medium",1,0))&gt;IF(Y79="high",2,IF(Y79="medium",1,0)),"SI","Rate"))</f>
        <v/>
      </c>
    </row>
    <row r="80">
      <c r="A80" t="inlineStr">
        <is>
          <t>zone_547</t>
        </is>
      </c>
      <c r="B80" t="inlineStr">
        <is>
          <t>บางนา-ชลบุรี</t>
        </is>
      </c>
      <c r="C80" t="inlineStr">
        <is>
          <t>สมุทรปราการ</t>
        </is>
      </c>
      <c r="D80" t="inlineStr">
        <is>
          <t>E004S009|U</t>
        </is>
      </c>
      <c r="E80" t="inlineStr">
        <is>
          <t>กทพ.</t>
        </is>
      </c>
      <c r="F80" t="inlineStr">
        <is>
          <t>30.4–30.5</t>
        </is>
      </c>
      <c r="G80" t="inlineStr">
        <is>
          <t>บูรพาวิถี</t>
        </is>
      </c>
      <c r="H80" t="inlineStr">
        <is>
          <t>กทพ. ยอดผ่านด่านทั้งสาย ÷ 365</t>
        </is>
      </c>
      <c r="I80" t="n">
        <v>7</v>
      </c>
      <c r="J80" t="n">
        <v>0</v>
      </c>
      <c r="K80" t="n">
        <v>3</v>
      </c>
      <c r="L80" s="5" t="n">
        <v>0.4286</v>
      </c>
      <c r="M80" t="inlineStr">
        <is>
          <t>low</t>
        </is>
      </c>
      <c r="N80" s="6" t="n">
        <v>143309.3260273973</v>
      </c>
      <c r="O80" s="6" t="n">
        <v>145474.1863013699</v>
      </c>
      <c r="P80" s="6" t="n">
        <v>147094.4356164384</v>
      </c>
      <c r="Q80" s="6">
        <f>AVERAGE(N80:P80)</f>
        <v/>
      </c>
      <c r="R80" t="n">
        <v>3</v>
      </c>
      <c r="S80" t="n">
        <v>1</v>
      </c>
      <c r="T80" s="7">
        <f>365*R80*Q80*S80/1000000</f>
        <v/>
      </c>
      <c r="U80" s="8">
        <f>I80/T80</f>
        <v/>
      </c>
      <c r="V80" s="8">
        <f>SUMIF($E$2:$E$599,E80,$I$2:$I$599)/SUMIF($E$2:$E$599,E80,$T$2:$T$599)</f>
        <v/>
      </c>
      <c r="W80" s="8">
        <f>V80+1.645*SQRT(V80/T80)+1/(2*T80)</f>
        <v/>
      </c>
      <c r="X80" s="5">
        <f>U80/W80</f>
        <v/>
      </c>
      <c r="Y80">
        <f>IF(U80&gt;W80,"high",IF(U80&gt;V80,"medium","low"))</f>
        <v/>
      </c>
      <c r="Z80">
        <f>CHOOSE(MAX(IF(M80="high",2,IF(M80="medium",1,0)),IF(Y80="high",2,IF(Y80="medium",1,0)))+1,"low","medium","high")</f>
        <v/>
      </c>
      <c r="AA80">
        <f>IF(IF(M80="high",2,IF(M80="medium",1,0))=IF(Y80="high",2,IF(Y80="medium",1,0)),"SI และ Rate เท่ากัน",IF(IF(M80="high",2,IF(M80="medium",1,0))&gt;IF(Y80="high",2,IF(Y80="medium",1,0)),"SI","Rate"))</f>
        <v/>
      </c>
    </row>
    <row r="81">
      <c r="A81" t="inlineStr">
        <is>
          <t>zone_157</t>
        </is>
      </c>
      <c r="B81" t="inlineStr">
        <is>
          <t>บางแค - คลองมหาสวัสดิ์</t>
        </is>
      </c>
      <c r="C81" t="inlineStr">
        <is>
          <t>กรุงเทพมหานคร</t>
        </is>
      </c>
      <c r="D81" t="inlineStr">
        <is>
          <t>9</t>
        </is>
      </c>
      <c r="E81" t="inlineStr">
        <is>
          <t>ทล.</t>
        </is>
      </c>
      <c r="F81" t="inlineStr">
        <is>
          <t>20.6–23.7</t>
        </is>
      </c>
      <c r="G81" t="inlineStr">
        <is>
          <t>station_id 123 (ทล.9 กม.20+430)</t>
        </is>
      </c>
      <c r="H81" t="inlineStr">
        <is>
          <t>ทล. สถานีตัวแทนตอนควบคุม</t>
        </is>
      </c>
      <c r="I81" t="n">
        <v>35</v>
      </c>
      <c r="J81" t="n">
        <v>0</v>
      </c>
      <c r="K81" t="n">
        <v>11</v>
      </c>
      <c r="L81" s="5" t="n">
        <v>0.3143</v>
      </c>
      <c r="M81" t="inlineStr">
        <is>
          <t>low</t>
        </is>
      </c>
      <c r="N81" s="6" t="n">
        <v>161583</v>
      </c>
      <c r="O81" s="6" t="n">
        <v>167210</v>
      </c>
      <c r="P81" s="6" t="n">
        <v>164129</v>
      </c>
      <c r="Q81" s="6">
        <f>AVERAGE(N81:P81)</f>
        <v/>
      </c>
      <c r="R81" t="n">
        <v>3</v>
      </c>
      <c r="S81" t="n">
        <v>1</v>
      </c>
      <c r="T81" s="7">
        <f>365*R81*Q81*S81/1000000</f>
        <v/>
      </c>
      <c r="U81" s="8">
        <f>I81/T81</f>
        <v/>
      </c>
      <c r="V81" s="8">
        <f>SUMIF($E$2:$E$599,E81,$I$2:$I$599)/SUMIF($E$2:$E$599,E81,$T$2:$T$599)</f>
        <v/>
      </c>
      <c r="W81" s="8">
        <f>V81+1.645*SQRT(V81/T81)+1/(2*T81)</f>
        <v/>
      </c>
      <c r="X81" s="5">
        <f>U81/W81</f>
        <v/>
      </c>
      <c r="Y81">
        <f>IF(U81&gt;W81,"high",IF(U81&gt;V81,"medium","low"))</f>
        <v/>
      </c>
      <c r="Z81">
        <f>CHOOSE(MAX(IF(M81="high",2,IF(M81="medium",1,0)),IF(Y81="high",2,IF(Y81="medium",1,0)))+1,"low","medium","high")</f>
        <v/>
      </c>
      <c r="AA81">
        <f>IF(IF(M81="high",2,IF(M81="medium",1,0))=IF(Y81="high",2,IF(Y81="medium",1,0)),"SI และ Rate เท่ากัน",IF(IF(M81="high",2,IF(M81="medium",1,0))&gt;IF(Y81="high",2,IF(Y81="medium",1,0)),"SI","Rate"))</f>
        <v/>
      </c>
    </row>
    <row r="82">
      <c r="A82" t="inlineStr">
        <is>
          <t>zone_575</t>
        </is>
      </c>
      <c r="B82" t="inlineStr">
        <is>
          <t>แสมดำ - สะพานข้ามแม่น้ำท่าจีนฝั่งตะวันตก</t>
        </is>
      </c>
      <c r="C82" t="inlineStr">
        <is>
          <t>สมุทรสาคร</t>
        </is>
      </c>
      <c r="D82" t="inlineStr">
        <is>
          <t>35</t>
        </is>
      </c>
      <c r="E82" t="inlineStr">
        <is>
          <t>ทล.</t>
        </is>
      </c>
      <c r="F82" t="inlineStr">
        <is>
          <t>29–30.275</t>
        </is>
      </c>
      <c r="G82" t="inlineStr">
        <is>
          <t>station_id 57 (ทล.35 กม.24+550)</t>
        </is>
      </c>
      <c r="H82" t="inlineStr">
        <is>
          <t>ทล. สถานีตัวแทนตอนควบคุม</t>
        </is>
      </c>
      <c r="I82" t="n">
        <v>29</v>
      </c>
      <c r="J82" t="n">
        <v>3</v>
      </c>
      <c r="K82" t="n">
        <v>9</v>
      </c>
      <c r="L82" s="5" t="n">
        <v>0.4138</v>
      </c>
      <c r="M82" t="inlineStr">
        <is>
          <t>low</t>
        </is>
      </c>
      <c r="N82" s="6" t="n">
        <v>129063</v>
      </c>
      <c r="O82" s="6" t="n">
        <v>149020</v>
      </c>
      <c r="P82" s="6" t="n">
        <v>143116</v>
      </c>
      <c r="Q82" s="6">
        <f>AVERAGE(N82:P82)</f>
        <v/>
      </c>
      <c r="R82" t="n">
        <v>3</v>
      </c>
      <c r="S82" t="n">
        <v>1</v>
      </c>
      <c r="T82" s="7">
        <f>365*R82*Q82*S82/1000000</f>
        <v/>
      </c>
      <c r="U82" s="8">
        <f>I82/T82</f>
        <v/>
      </c>
      <c r="V82" s="8">
        <f>SUMIF($E$2:$E$599,E82,$I$2:$I$599)/SUMIF($E$2:$E$599,E82,$T$2:$T$599)</f>
        <v/>
      </c>
      <c r="W82" s="8">
        <f>V82+1.645*SQRT(V82/T82)+1/(2*T82)</f>
        <v/>
      </c>
      <c r="X82" s="5">
        <f>U82/W82</f>
        <v/>
      </c>
      <c r="Y82">
        <f>IF(U82&gt;W82,"high",IF(U82&gt;V82,"medium","low"))</f>
        <v/>
      </c>
      <c r="Z82">
        <f>CHOOSE(MAX(IF(M82="high",2,IF(M82="medium",1,0)),IF(Y82="high",2,IF(Y82="medium",1,0)))+1,"low","medium","high")</f>
        <v/>
      </c>
      <c r="AA82">
        <f>IF(IF(M82="high",2,IF(M82="medium",1,0))=IF(Y82="high",2,IF(Y82="medium",1,0)),"SI และ Rate เท่ากัน",IF(IF(M82="high",2,IF(M82="medium",1,0))&gt;IF(Y82="high",2,IF(Y82="medium",1,0)),"SI","Rate"))</f>
        <v/>
      </c>
    </row>
    <row r="83">
      <c r="A83" t="inlineStr">
        <is>
          <t>zone_23</t>
        </is>
      </c>
      <c r="B83" t="inlineStr">
        <is>
          <t>บางแค - คลองมหาสวัสดิ์</t>
        </is>
      </c>
      <c r="C83" t="inlineStr">
        <is>
          <t>กรุงเทพมหานคร</t>
        </is>
      </c>
      <c r="D83" t="inlineStr">
        <is>
          <t>3902</t>
        </is>
      </c>
      <c r="E83" t="inlineStr">
        <is>
          <t>ทล.</t>
        </is>
      </c>
      <c r="F83" t="inlineStr">
        <is>
          <t>28.5–29.682</t>
        </is>
      </c>
      <c r="G83" t="inlineStr">
        <is>
          <t>station_id 130 (ทล.3902 กม.20+430)</t>
        </is>
      </c>
      <c r="H83" t="inlineStr">
        <is>
          <t>ทล. สถานีตัวแทนตอนควบคุม</t>
        </is>
      </c>
      <c r="I83" t="n">
        <v>9</v>
      </c>
      <c r="J83" t="n">
        <v>2</v>
      </c>
      <c r="K83" t="n">
        <v>4</v>
      </c>
      <c r="L83" s="5" t="n">
        <v>0.6667</v>
      </c>
      <c r="M83" t="inlineStr">
        <is>
          <t>low</t>
        </is>
      </c>
      <c r="N83" s="6" t="n">
        <v>27004</v>
      </c>
      <c r="O83" s="6" t="n">
        <v>33591</v>
      </c>
      <c r="P83" s="6" t="n">
        <v>38106</v>
      </c>
      <c r="Q83" s="6">
        <f>AVERAGE(N83:P83)</f>
        <v/>
      </c>
      <c r="R83" t="n">
        <v>3</v>
      </c>
      <c r="S83" t="n">
        <v>1</v>
      </c>
      <c r="T83" s="7">
        <f>365*R83*Q83*S83/1000000</f>
        <v/>
      </c>
      <c r="U83" s="8">
        <f>I83/T83</f>
        <v/>
      </c>
      <c r="V83" s="8">
        <f>SUMIF($E$2:$E$599,E83,$I$2:$I$599)/SUMIF($E$2:$E$599,E83,$T$2:$T$599)</f>
        <v/>
      </c>
      <c r="W83" s="8">
        <f>V83+1.645*SQRT(V83/T83)+1/(2*T83)</f>
        <v/>
      </c>
      <c r="X83" s="5">
        <f>U83/W83</f>
        <v/>
      </c>
      <c r="Y83">
        <f>IF(U83&gt;W83,"high",IF(U83&gt;V83,"medium","low"))</f>
        <v/>
      </c>
      <c r="Z83">
        <f>CHOOSE(MAX(IF(M83="high",2,IF(M83="medium",1,0)),IF(Y83="high",2,IF(Y83="medium",1,0)))+1,"low","medium","high")</f>
        <v/>
      </c>
      <c r="AA83">
        <f>IF(IF(M83="high",2,IF(M83="medium",1,0))=IF(Y83="high",2,IF(Y83="medium",1,0)),"SI และ Rate เท่ากัน",IF(IF(M83="high",2,IF(M83="medium",1,0))&gt;IF(Y83="high",2,IF(Y83="medium",1,0)),"SI","Rate"))</f>
        <v/>
      </c>
    </row>
    <row r="84">
      <c r="A84" t="inlineStr">
        <is>
          <t>zone_161</t>
        </is>
      </c>
      <c r="B84" t="inlineStr">
        <is>
          <t>พระประแดง - บางแค</t>
        </is>
      </c>
      <c r="C84" t="inlineStr">
        <is>
          <t>กรุงเทพมหานคร</t>
        </is>
      </c>
      <c r="D84" t="inlineStr">
        <is>
          <t>3902</t>
        </is>
      </c>
      <c r="E84" t="inlineStr">
        <is>
          <t>ทล.</t>
        </is>
      </c>
      <c r="F84" t="inlineStr">
        <is>
          <t>9.1–9.9</t>
        </is>
      </c>
      <c r="G84" t="inlineStr">
        <is>
          <t>station_id 130 (ทล.3902 กม.20+430)</t>
        </is>
      </c>
      <c r="H84" t="inlineStr">
        <is>
          <t>ทล. สถานีตัวแทนตอนควบคุม</t>
        </is>
      </c>
      <c r="I84" t="n">
        <v>9</v>
      </c>
      <c r="J84" t="n">
        <v>0</v>
      </c>
      <c r="K84" t="n">
        <v>14</v>
      </c>
      <c r="L84" s="5" t="n">
        <v>1.5556</v>
      </c>
      <c r="M84" t="inlineStr">
        <is>
          <t>medium</t>
        </is>
      </c>
      <c r="N84" s="6" t="n">
        <v>27004</v>
      </c>
      <c r="O84" s="6" t="n">
        <v>33591</v>
      </c>
      <c r="P84" s="6" t="n">
        <v>38106</v>
      </c>
      <c r="Q84" s="6">
        <f>AVERAGE(N84:P84)</f>
        <v/>
      </c>
      <c r="R84" t="n">
        <v>3</v>
      </c>
      <c r="S84" t="n">
        <v>1</v>
      </c>
      <c r="T84" s="7">
        <f>365*R84*Q84*S84/1000000</f>
        <v/>
      </c>
      <c r="U84" s="8">
        <f>I84/T84</f>
        <v/>
      </c>
      <c r="V84" s="8">
        <f>SUMIF($E$2:$E$599,E84,$I$2:$I$599)/SUMIF($E$2:$E$599,E84,$T$2:$T$599)</f>
        <v/>
      </c>
      <c r="W84" s="8">
        <f>V84+1.645*SQRT(V84/T84)+1/(2*T84)</f>
        <v/>
      </c>
      <c r="X84" s="5">
        <f>U84/W84</f>
        <v/>
      </c>
      <c r="Y84">
        <f>IF(U84&gt;W84,"high",IF(U84&gt;V84,"medium","low"))</f>
        <v/>
      </c>
      <c r="Z84">
        <f>CHOOSE(MAX(IF(M84="high",2,IF(M84="medium",1,0)),IF(Y84="high",2,IF(Y84="medium",1,0)))+1,"low","medium","high")</f>
        <v/>
      </c>
      <c r="AA84">
        <f>IF(IF(M84="high",2,IF(M84="medium",1,0))=IF(Y84="high",2,IF(Y84="medium",1,0)),"SI และ Rate เท่ากัน",IF(IF(M84="high",2,IF(M84="medium",1,0))&gt;IF(Y84="high",2,IF(Y84="medium",1,0)),"SI","Rate"))</f>
        <v/>
      </c>
    </row>
    <row r="85">
      <c r="A85" t="inlineStr">
        <is>
          <t>zone_252</t>
        </is>
      </c>
      <c r="B85" t="inlineStr">
        <is>
          <t>พระประแดง - บางแค</t>
        </is>
      </c>
      <c r="C85" t="inlineStr">
        <is>
          <t>กรุงเทพมหานคร</t>
        </is>
      </c>
      <c r="D85" t="inlineStr">
        <is>
          <t>3902</t>
        </is>
      </c>
      <c r="E85" t="inlineStr">
        <is>
          <t>ทล.</t>
        </is>
      </c>
      <c r="F85" t="inlineStr">
        <is>
          <t>2.347–3.7</t>
        </is>
      </c>
      <c r="G85" t="inlineStr">
        <is>
          <t>station_id 130 (ทล.3902 กม.20+430)</t>
        </is>
      </c>
      <c r="H85" t="inlineStr">
        <is>
          <t>ทล. สถานีตัวแทนตอนควบคุม</t>
        </is>
      </c>
      <c r="I85" t="n">
        <v>9</v>
      </c>
      <c r="J85" t="n">
        <v>0</v>
      </c>
      <c r="K85" t="n">
        <v>15</v>
      </c>
      <c r="L85" s="5" t="n">
        <v>1.6667</v>
      </c>
      <c r="M85" t="inlineStr">
        <is>
          <t>medium</t>
        </is>
      </c>
      <c r="N85" s="6" t="n">
        <v>27004</v>
      </c>
      <c r="O85" s="6" t="n">
        <v>33591</v>
      </c>
      <c r="P85" s="6" t="n">
        <v>38106</v>
      </c>
      <c r="Q85" s="6">
        <f>AVERAGE(N85:P85)</f>
        <v/>
      </c>
      <c r="R85" t="n">
        <v>3</v>
      </c>
      <c r="S85" t="n">
        <v>1</v>
      </c>
      <c r="T85" s="7">
        <f>365*R85*Q85*S85/1000000</f>
        <v/>
      </c>
      <c r="U85" s="8">
        <f>I85/T85</f>
        <v/>
      </c>
      <c r="V85" s="8">
        <f>SUMIF($E$2:$E$599,E85,$I$2:$I$599)/SUMIF($E$2:$E$599,E85,$T$2:$T$599)</f>
        <v/>
      </c>
      <c r="W85" s="8">
        <f>V85+1.645*SQRT(V85/T85)+1/(2*T85)</f>
        <v/>
      </c>
      <c r="X85" s="5">
        <f>U85/W85</f>
        <v/>
      </c>
      <c r="Y85">
        <f>IF(U85&gt;W85,"high",IF(U85&gt;V85,"medium","low"))</f>
        <v/>
      </c>
      <c r="Z85">
        <f>CHOOSE(MAX(IF(M85="high",2,IF(M85="medium",1,0)),IF(Y85="high",2,IF(Y85="medium",1,0)))+1,"low","medium","high")</f>
        <v/>
      </c>
      <c r="AA85">
        <f>IF(IF(M85="high",2,IF(M85="medium",1,0))=IF(Y85="high",2,IF(Y85="medium",1,0)),"SI และ Rate เท่ากัน",IF(IF(M85="high",2,IF(M85="medium",1,0))&gt;IF(Y85="high",2,IF(Y85="medium",1,0)),"SI","Rate"))</f>
        <v/>
      </c>
    </row>
    <row r="86">
      <c r="A86" t="inlineStr">
        <is>
          <t>zone_444</t>
        </is>
      </c>
      <c r="B86" t="inlineStr">
        <is>
          <t>บางปะอิน-แจ้งวัฒนะ</t>
        </is>
      </c>
      <c r="C86" t="inlineStr">
        <is>
          <t>ปทุมธานี</t>
        </is>
      </c>
      <c r="D86" t="inlineStr">
        <is>
          <t>E005S012|U</t>
        </is>
      </c>
      <c r="E86" t="inlineStr">
        <is>
          <t>กทพ.</t>
        </is>
      </c>
      <c r="F86" t="inlineStr">
        <is>
          <t>18.6–18.7</t>
        </is>
      </c>
      <c r="G86" t="inlineStr">
        <is>
          <t>อุดรรัถยา</t>
        </is>
      </c>
      <c r="H86" t="inlineStr">
        <is>
          <t>กทพ. ยอดผ่านด่านทั้งสาย ÷ 365</t>
        </is>
      </c>
      <c r="I86" t="n">
        <v>3</v>
      </c>
      <c r="J86" t="n">
        <v>0</v>
      </c>
      <c r="K86" t="n">
        <v>8</v>
      </c>
      <c r="L86" s="5" t="n">
        <v>2.6667</v>
      </c>
      <c r="M86" t="inlineStr">
        <is>
          <t>high</t>
        </is>
      </c>
      <c r="N86" s="6" t="n">
        <v>77540.51780821919</v>
      </c>
      <c r="O86" s="6" t="n">
        <v>78380.57808219179</v>
      </c>
      <c r="P86" s="6" t="n">
        <v>76850.58356164384</v>
      </c>
      <c r="Q86" s="6">
        <f>AVERAGE(N86:P86)</f>
        <v/>
      </c>
      <c r="R86" t="n">
        <v>3</v>
      </c>
      <c r="S86" t="n">
        <v>1</v>
      </c>
      <c r="T86" s="7">
        <f>365*R86*Q86*S86/1000000</f>
        <v/>
      </c>
      <c r="U86" s="8">
        <f>I86/T86</f>
        <v/>
      </c>
      <c r="V86" s="8">
        <f>SUMIF($E$2:$E$599,E86,$I$2:$I$599)/SUMIF($E$2:$E$599,E86,$T$2:$T$599)</f>
        <v/>
      </c>
      <c r="W86" s="8">
        <f>V86+1.645*SQRT(V86/T86)+1/(2*T86)</f>
        <v/>
      </c>
      <c r="X86" s="5">
        <f>U86/W86</f>
        <v/>
      </c>
      <c r="Y86">
        <f>IF(U86&gt;W86,"high",IF(U86&gt;V86,"medium","low"))</f>
        <v/>
      </c>
      <c r="Z86">
        <f>CHOOSE(MAX(IF(M86="high",2,IF(M86="medium",1,0)),IF(Y86="high",2,IF(Y86="medium",1,0)))+1,"low","medium","high")</f>
        <v/>
      </c>
      <c r="AA86">
        <f>IF(IF(M86="high",2,IF(M86="medium",1,0))=IF(Y86="high",2,IF(Y86="medium",1,0)),"SI และ Rate เท่ากัน",IF(IF(M86="high",2,IF(M86="medium",1,0))&gt;IF(Y86="high",2,IF(Y86="medium",1,0)),"SI","Rate"))</f>
        <v/>
      </c>
    </row>
    <row r="87">
      <c r="A87" t="inlineStr">
        <is>
          <t>zone_516</t>
        </is>
      </c>
      <c r="B87" t="inlineStr">
        <is>
          <t>บางนา-ชลบุรี</t>
        </is>
      </c>
      <c r="C87" t="inlineStr">
        <is>
          <t>สมุทรปราการ</t>
        </is>
      </c>
      <c r="D87" t="inlineStr">
        <is>
          <t>E004S009|I</t>
        </is>
      </c>
      <c r="E87" t="inlineStr">
        <is>
          <t>กทพ.</t>
        </is>
      </c>
      <c r="F87" t="inlineStr">
        <is>
          <t>35–35.1</t>
        </is>
      </c>
      <c r="G87" t="inlineStr">
        <is>
          <t>บูรพาวิถี</t>
        </is>
      </c>
      <c r="H87" t="inlineStr">
        <is>
          <t>กทพ. ยอดผ่านด่านทั้งสาย ÷ 365</t>
        </is>
      </c>
      <c r="I87" t="n">
        <v>4</v>
      </c>
      <c r="J87" t="n">
        <v>0</v>
      </c>
      <c r="K87" t="n">
        <v>10</v>
      </c>
      <c r="L87" s="5" t="n">
        <v>2.5</v>
      </c>
      <c r="M87" t="inlineStr">
        <is>
          <t>high</t>
        </is>
      </c>
      <c r="N87" s="6" t="n">
        <v>143309.3260273973</v>
      </c>
      <c r="O87" s="6" t="n">
        <v>145474.1863013699</v>
      </c>
      <c r="P87" s="6" t="n">
        <v>147094.4356164384</v>
      </c>
      <c r="Q87" s="6">
        <f>AVERAGE(N87:P87)</f>
        <v/>
      </c>
      <c r="R87" t="n">
        <v>3</v>
      </c>
      <c r="S87" t="n">
        <v>1</v>
      </c>
      <c r="T87" s="7">
        <f>365*R87*Q87*S87/1000000</f>
        <v/>
      </c>
      <c r="U87" s="8">
        <f>I87/T87</f>
        <v/>
      </c>
      <c r="V87" s="8">
        <f>SUMIF($E$2:$E$599,E87,$I$2:$I$599)/SUMIF($E$2:$E$599,E87,$T$2:$T$599)</f>
        <v/>
      </c>
      <c r="W87" s="8">
        <f>V87+1.645*SQRT(V87/T87)+1/(2*T87)</f>
        <v/>
      </c>
      <c r="X87" s="5">
        <f>U87/W87</f>
        <v/>
      </c>
      <c r="Y87">
        <f>IF(U87&gt;W87,"high",IF(U87&gt;V87,"medium","low"))</f>
        <v/>
      </c>
      <c r="Z87">
        <f>CHOOSE(MAX(IF(M87="high",2,IF(M87="medium",1,0)),IF(Y87="high",2,IF(Y87="medium",1,0)))+1,"low","medium","high")</f>
        <v/>
      </c>
      <c r="AA87">
        <f>IF(IF(M87="high",2,IF(M87="medium",1,0))=IF(Y87="high",2,IF(Y87="medium",1,0)),"SI และ Rate เท่ากัน",IF(IF(M87="high",2,IF(M87="medium",1,0))&gt;IF(Y87="high",2,IF(Y87="medium",1,0)),"SI","Rate"))</f>
        <v/>
      </c>
    </row>
    <row r="88">
      <c r="A88" t="inlineStr">
        <is>
          <t>zone_372</t>
        </is>
      </c>
      <c r="B88" t="inlineStr">
        <is>
          <t>กำแพงแสน - ทุ่งคอก</t>
        </is>
      </c>
      <c r="C88" t="inlineStr">
        <is>
          <t>นครปฐม</t>
        </is>
      </c>
      <c r="D88" t="inlineStr">
        <is>
          <t>321</t>
        </is>
      </c>
      <c r="E88" t="inlineStr">
        <is>
          <t>ทล.</t>
        </is>
      </c>
      <c r="F88" t="inlineStr">
        <is>
          <t>34.247–34.586</t>
        </is>
      </c>
      <c r="G88" t="inlineStr">
        <is>
          <t>station_id 242 (ทล.321 กม.48+551)</t>
        </is>
      </c>
      <c r="H88" t="inlineStr">
        <is>
          <t>ทล. สถานีตัวแทนตอนควบคุม</t>
        </is>
      </c>
      <c r="I88" t="n">
        <v>3</v>
      </c>
      <c r="J88" t="n">
        <v>2</v>
      </c>
      <c r="K88" t="n">
        <v>4</v>
      </c>
      <c r="L88" s="5" t="n">
        <v>2</v>
      </c>
      <c r="M88" t="inlineStr">
        <is>
          <t>high</t>
        </is>
      </c>
      <c r="N88" s="6" t="n">
        <v>17109</v>
      </c>
      <c r="O88" s="6" t="n">
        <v>15518</v>
      </c>
      <c r="P88" s="6" t="n">
        <v>16933</v>
      </c>
      <c r="Q88" s="6">
        <f>AVERAGE(N88:P88)</f>
        <v/>
      </c>
      <c r="R88" t="n">
        <v>3</v>
      </c>
      <c r="S88" t="n">
        <v>1</v>
      </c>
      <c r="T88" s="7">
        <f>365*R88*Q88*S88/1000000</f>
        <v/>
      </c>
      <c r="U88" s="8">
        <f>I88/T88</f>
        <v/>
      </c>
      <c r="V88" s="8">
        <f>SUMIF($E$2:$E$599,E88,$I$2:$I$599)/SUMIF($E$2:$E$599,E88,$T$2:$T$599)</f>
        <v/>
      </c>
      <c r="W88" s="8">
        <f>V88+1.645*SQRT(V88/T88)+1/(2*T88)</f>
        <v/>
      </c>
      <c r="X88" s="5">
        <f>U88/W88</f>
        <v/>
      </c>
      <c r="Y88">
        <f>IF(U88&gt;W88,"high",IF(U88&gt;V88,"medium","low"))</f>
        <v/>
      </c>
      <c r="Z88">
        <f>CHOOSE(MAX(IF(M88="high",2,IF(M88="medium",1,0)),IF(Y88="high",2,IF(Y88="medium",1,0)))+1,"low","medium","high")</f>
        <v/>
      </c>
      <c r="AA88">
        <f>IF(IF(M88="high",2,IF(M88="medium",1,0))=IF(Y88="high",2,IF(Y88="medium",1,0)),"SI และ Rate เท่ากัน",IF(IF(M88="high",2,IF(M88="medium",1,0))&gt;IF(Y88="high",2,IF(Y88="medium",1,0)),"SI","Rate"))</f>
        <v/>
      </c>
    </row>
    <row r="89">
      <c r="A89" t="inlineStr">
        <is>
          <t>zone_410</t>
        </is>
      </c>
      <c r="B89" t="inlineStr">
        <is>
          <t>แยกทางหลวงหมายเลข 305 (กม.ที่ 15+700) - บ้านลำลูกกา</t>
        </is>
      </c>
      <c r="C89" t="inlineStr">
        <is>
          <t>ปทุมธานี</t>
        </is>
      </c>
      <c r="D89" t="inlineStr">
        <is>
          <t>ปท.3004</t>
        </is>
      </c>
      <c r="E89" t="inlineStr">
        <is>
          <t>ทช.</t>
        </is>
      </c>
      <c r="F89" t="inlineStr">
        <is>
          <t>6.735–7</t>
        </is>
      </c>
      <c r="G89" t="inlineStr">
        <is>
          <t>ปท.3004</t>
        </is>
      </c>
      <c r="H89" t="inlineStr">
        <is>
          <t>ทช. AADT รายสายทาง</t>
        </is>
      </c>
      <c r="I89" t="n">
        <v>5</v>
      </c>
      <c r="J89" t="n">
        <v>5</v>
      </c>
      <c r="K89" t="n">
        <v>6</v>
      </c>
      <c r="L89" s="5" t="n">
        <v>2.2</v>
      </c>
      <c r="M89" t="inlineStr">
        <is>
          <t>high</t>
        </is>
      </c>
      <c r="N89" s="6" t="n">
        <v>24945</v>
      </c>
      <c r="O89" s="6" t="n">
        <v>26199</v>
      </c>
      <c r="P89" s="6" t="n">
        <v>27029</v>
      </c>
      <c r="Q89" s="6">
        <f>AVERAGE(N89:P89)</f>
        <v/>
      </c>
      <c r="R89" t="n">
        <v>3</v>
      </c>
      <c r="S89" t="n">
        <v>1</v>
      </c>
      <c r="T89" s="7">
        <f>365*R89*Q89*S89/1000000</f>
        <v/>
      </c>
      <c r="U89" s="8">
        <f>I89/T89</f>
        <v/>
      </c>
      <c r="V89" s="8">
        <f>SUMIF($E$2:$E$599,E89,$I$2:$I$599)/SUMIF($E$2:$E$599,E89,$T$2:$T$599)</f>
        <v/>
      </c>
      <c r="W89" s="8">
        <f>V89+1.645*SQRT(V89/T89)+1/(2*T89)</f>
        <v/>
      </c>
      <c r="X89" s="5">
        <f>U89/W89</f>
        <v/>
      </c>
      <c r="Y89">
        <f>IF(U89&gt;W89,"high",IF(U89&gt;V89,"medium","low"))</f>
        <v/>
      </c>
      <c r="Z89">
        <f>CHOOSE(MAX(IF(M89="high",2,IF(M89="medium",1,0)),IF(Y89="high",2,IF(Y89="medium",1,0)))+1,"low","medium","high")</f>
        <v/>
      </c>
      <c r="AA89">
        <f>IF(IF(M89="high",2,IF(M89="medium",1,0))=IF(Y89="high",2,IF(Y89="medium",1,0)),"SI และ Rate เท่ากัน",IF(IF(M89="high",2,IF(M89="medium",1,0))&gt;IF(Y89="high",2,IF(Y89="medium",1,0)),"SI","Rate"))</f>
        <v/>
      </c>
    </row>
    <row r="90">
      <c r="A90" t="inlineStr">
        <is>
          <t>zone_476</t>
        </is>
      </c>
      <c r="B90" t="inlineStr">
        <is>
          <t>บางนา-ชลบุรี</t>
        </is>
      </c>
      <c r="C90" t="inlineStr">
        <is>
          <t>สมุทรปราการ</t>
        </is>
      </c>
      <c r="D90" t="inlineStr">
        <is>
          <t>E004S009|U</t>
        </is>
      </c>
      <c r="E90" t="inlineStr">
        <is>
          <t>กทพ.</t>
        </is>
      </c>
      <c r="F90" t="inlineStr">
        <is>
          <t>32.3–32.5</t>
        </is>
      </c>
      <c r="G90" t="inlineStr">
        <is>
          <t>บูรพาวิถี</t>
        </is>
      </c>
      <c r="H90" t="inlineStr">
        <is>
          <t>กทพ. ยอดผ่านด่านทั้งสาย ÷ 365</t>
        </is>
      </c>
      <c r="I90" t="n">
        <v>3</v>
      </c>
      <c r="J90" t="n">
        <v>0</v>
      </c>
      <c r="K90" t="n">
        <v>8</v>
      </c>
      <c r="L90" s="5" t="n">
        <v>2.6667</v>
      </c>
      <c r="M90" t="inlineStr">
        <is>
          <t>high</t>
        </is>
      </c>
      <c r="N90" s="6" t="n">
        <v>143309.3260273973</v>
      </c>
      <c r="O90" s="6" t="n">
        <v>145474.1863013699</v>
      </c>
      <c r="P90" s="6" t="n">
        <v>147094.4356164384</v>
      </c>
      <c r="Q90" s="6">
        <f>AVERAGE(N90:P90)</f>
        <v/>
      </c>
      <c r="R90" t="n">
        <v>3</v>
      </c>
      <c r="S90" t="n">
        <v>1</v>
      </c>
      <c r="T90" s="7">
        <f>365*R90*Q90*S90/1000000</f>
        <v/>
      </c>
      <c r="U90" s="8">
        <f>I90/T90</f>
        <v/>
      </c>
      <c r="V90" s="8">
        <f>SUMIF($E$2:$E$599,E90,$I$2:$I$599)/SUMIF($E$2:$E$599,E90,$T$2:$T$599)</f>
        <v/>
      </c>
      <c r="W90" s="8">
        <f>V90+1.645*SQRT(V90/T90)+1/(2*T90)</f>
        <v/>
      </c>
      <c r="X90" s="5">
        <f>U90/W90</f>
        <v/>
      </c>
      <c r="Y90">
        <f>IF(U90&gt;W90,"high",IF(U90&gt;V90,"medium","low"))</f>
        <v/>
      </c>
      <c r="Z90">
        <f>CHOOSE(MAX(IF(M90="high",2,IF(M90="medium",1,0)),IF(Y90="high",2,IF(Y90="medium",1,0)))+1,"low","medium","high")</f>
        <v/>
      </c>
      <c r="AA90">
        <f>IF(IF(M90="high",2,IF(M90="medium",1,0))=IF(Y90="high",2,IF(Y90="medium",1,0)),"SI และ Rate เท่ากัน",IF(IF(M90="high",2,IF(M90="medium",1,0))&gt;IF(Y90="high",2,IF(Y90="medium",1,0)),"SI","Rate"))</f>
        <v/>
      </c>
    </row>
    <row r="91">
      <c r="A91" t="inlineStr">
        <is>
          <t>zone_529</t>
        </is>
      </c>
      <c r="B91" t="inlineStr">
        <is>
          <t>บางพลี-สุขสวัสดิ์</t>
        </is>
      </c>
      <c r="C91" t="inlineStr">
        <is>
          <t>สมุทรปราการ</t>
        </is>
      </c>
      <c r="D91" t="inlineStr">
        <is>
          <t>E007S013|U</t>
        </is>
      </c>
      <c r="E91" t="inlineStr">
        <is>
          <t>กทพ.</t>
        </is>
      </c>
      <c r="F91" t="inlineStr">
        <is>
          <t>2.9–3</t>
        </is>
      </c>
      <c r="G91" t="inlineStr">
        <is>
          <t>ทางพิเศษกาญจนาภิเษก(บางพลี-สุขสวัสดิ์)</t>
        </is>
      </c>
      <c r="H91" t="inlineStr">
        <is>
          <t>กทพ. ยอดผ่านด่านทั้งสาย ÷ 365</t>
        </is>
      </c>
      <c r="I91" t="n">
        <v>4</v>
      </c>
      <c r="J91" t="n">
        <v>0</v>
      </c>
      <c r="K91" t="n">
        <v>21</v>
      </c>
      <c r="L91" s="5" t="n">
        <v>5.25</v>
      </c>
      <c r="M91" t="inlineStr">
        <is>
          <t>high</t>
        </is>
      </c>
      <c r="N91" s="6" t="n">
        <v>233037.0054794521</v>
      </c>
      <c r="O91" s="6" t="n">
        <v>233284.9890410959</v>
      </c>
      <c r="P91" s="6" t="n">
        <v>228365.901369863</v>
      </c>
      <c r="Q91" s="6">
        <f>AVERAGE(N91:P91)</f>
        <v/>
      </c>
      <c r="R91" t="n">
        <v>3</v>
      </c>
      <c r="S91" t="n">
        <v>1</v>
      </c>
      <c r="T91" s="7">
        <f>365*R91*Q91*S91/1000000</f>
        <v/>
      </c>
      <c r="U91" s="8">
        <f>I91/T91</f>
        <v/>
      </c>
      <c r="V91" s="8">
        <f>SUMIF($E$2:$E$599,E91,$I$2:$I$599)/SUMIF($E$2:$E$599,E91,$T$2:$T$599)</f>
        <v/>
      </c>
      <c r="W91" s="8">
        <f>V91+1.645*SQRT(V91/T91)+1/(2*T91)</f>
        <v/>
      </c>
      <c r="X91" s="5">
        <f>U91/W91</f>
        <v/>
      </c>
      <c r="Y91">
        <f>IF(U91&gt;W91,"high",IF(U91&gt;V91,"medium","low"))</f>
        <v/>
      </c>
      <c r="Z91">
        <f>CHOOSE(MAX(IF(M91="high",2,IF(M91="medium",1,0)),IF(Y91="high",2,IF(Y91="medium",1,0)))+1,"low","medium","high")</f>
        <v/>
      </c>
      <c r="AA91">
        <f>IF(IF(M91="high",2,IF(M91="medium",1,0))=IF(Y91="high",2,IF(Y91="medium",1,0)),"SI และ Rate เท่ากัน",IF(IF(M91="high",2,IF(M91="medium",1,0))&gt;IF(Y91="high",2,IF(Y91="medium",1,0)),"SI","Rate"))</f>
        <v/>
      </c>
    </row>
    <row r="92">
      <c r="A92" t="inlineStr">
        <is>
          <t>zone_366</t>
        </is>
      </c>
      <c r="B92" t="inlineStr">
        <is>
          <t>ดอนตูม - บางเลน</t>
        </is>
      </c>
      <c r="C92" t="inlineStr">
        <is>
          <t>นครปฐม</t>
        </is>
      </c>
      <c r="D92" t="inlineStr">
        <is>
          <t>3296</t>
        </is>
      </c>
      <c r="E92" t="inlineStr">
        <is>
          <t>ทล.</t>
        </is>
      </c>
      <c r="F92" t="inlineStr">
        <is>
          <t>1.55–1.64</t>
        </is>
      </c>
      <c r="G92" t="inlineStr">
        <is>
          <t>station_id 1981 (ทล.3296 กม.1+500)</t>
        </is>
      </c>
      <c r="H92" t="inlineStr">
        <is>
          <t>ทล. สถานีตัวแทนตอนควบคุม</t>
        </is>
      </c>
      <c r="I92" t="n">
        <v>3</v>
      </c>
      <c r="J92" t="n">
        <v>0</v>
      </c>
      <c r="K92" t="n">
        <v>6</v>
      </c>
      <c r="L92" s="5" t="n">
        <v>2</v>
      </c>
      <c r="M92" t="inlineStr">
        <is>
          <t>high</t>
        </is>
      </c>
      <c r="N92" s="6" t="n">
        <v>27203</v>
      </c>
      <c r="O92" s="6" t="n">
        <v>28861</v>
      </c>
      <c r="P92" s="6" t="n">
        <v>29359</v>
      </c>
      <c r="Q92" s="6">
        <f>AVERAGE(N92:P92)</f>
        <v/>
      </c>
      <c r="R92" t="n">
        <v>3</v>
      </c>
      <c r="S92" t="n">
        <v>1</v>
      </c>
      <c r="T92" s="7">
        <f>365*R92*Q92*S92/1000000</f>
        <v/>
      </c>
      <c r="U92" s="8">
        <f>I92/T92</f>
        <v/>
      </c>
      <c r="V92" s="8">
        <f>SUMIF($E$2:$E$599,E92,$I$2:$I$599)/SUMIF($E$2:$E$599,E92,$T$2:$T$599)</f>
        <v/>
      </c>
      <c r="W92" s="8">
        <f>V92+1.645*SQRT(V92/T92)+1/(2*T92)</f>
        <v/>
      </c>
      <c r="X92" s="5">
        <f>U92/W92</f>
        <v/>
      </c>
      <c r="Y92">
        <f>IF(U92&gt;W92,"high",IF(U92&gt;V92,"medium","low"))</f>
        <v/>
      </c>
      <c r="Z92">
        <f>CHOOSE(MAX(IF(M92="high",2,IF(M92="medium",1,0)),IF(Y92="high",2,IF(Y92="medium",1,0)))+1,"low","medium","high")</f>
        <v/>
      </c>
      <c r="AA92">
        <f>IF(IF(M92="high",2,IF(M92="medium",1,0))=IF(Y92="high",2,IF(Y92="medium",1,0)),"SI และ Rate เท่ากัน",IF(IF(M92="high",2,IF(M92="medium",1,0))&gt;IF(Y92="high",2,IF(Y92="medium",1,0)),"SI","Rate"))</f>
        <v/>
      </c>
    </row>
    <row r="93">
      <c r="A93" t="inlineStr">
        <is>
          <t>zone_128</t>
        </is>
      </c>
      <c r="B93" t="inlineStr">
        <is>
          <t>พระประแดง - บางแค</t>
        </is>
      </c>
      <c r="C93" t="inlineStr">
        <is>
          <t>กรุงเทพมหานคร</t>
        </is>
      </c>
      <c r="D93" t="inlineStr">
        <is>
          <t>3902</t>
        </is>
      </c>
      <c r="E93" t="inlineStr">
        <is>
          <t>ทล.</t>
        </is>
      </c>
      <c r="F93" t="inlineStr">
        <is>
          <t>13.4–13.5</t>
        </is>
      </c>
      <c r="G93" t="inlineStr">
        <is>
          <t>station_id 130 (ทล.3902 กม.20+430)</t>
        </is>
      </c>
      <c r="H93" t="inlineStr">
        <is>
          <t>ทล. สถานีตัวแทนตอนควบคุม</t>
        </is>
      </c>
      <c r="I93" t="n">
        <v>3</v>
      </c>
      <c r="J93" t="n">
        <v>0</v>
      </c>
      <c r="K93" t="n">
        <v>6</v>
      </c>
      <c r="L93" s="5" t="n">
        <v>2</v>
      </c>
      <c r="M93" t="inlineStr">
        <is>
          <t>high</t>
        </is>
      </c>
      <c r="N93" s="6" t="n">
        <v>27004</v>
      </c>
      <c r="O93" s="6" t="n">
        <v>33591</v>
      </c>
      <c r="P93" s="6" t="n">
        <v>38106</v>
      </c>
      <c r="Q93" s="6">
        <f>AVERAGE(N93:P93)</f>
        <v/>
      </c>
      <c r="R93" t="n">
        <v>3</v>
      </c>
      <c r="S93" t="n">
        <v>1</v>
      </c>
      <c r="T93" s="7">
        <f>365*R93*Q93*S93/1000000</f>
        <v/>
      </c>
      <c r="U93" s="8">
        <f>I93/T93</f>
        <v/>
      </c>
      <c r="V93" s="8">
        <f>SUMIF($E$2:$E$599,E93,$I$2:$I$599)/SUMIF($E$2:$E$599,E93,$T$2:$T$599)</f>
        <v/>
      </c>
      <c r="W93" s="8">
        <f>V93+1.645*SQRT(V93/T93)+1/(2*T93)</f>
        <v/>
      </c>
      <c r="X93" s="5">
        <f>U93/W93</f>
        <v/>
      </c>
      <c r="Y93">
        <f>IF(U93&gt;W93,"high",IF(U93&gt;V93,"medium","low"))</f>
        <v/>
      </c>
      <c r="Z93">
        <f>CHOOSE(MAX(IF(M93="high",2,IF(M93="medium",1,0)),IF(Y93="high",2,IF(Y93="medium",1,0)))+1,"low","medium","high")</f>
        <v/>
      </c>
      <c r="AA93">
        <f>IF(IF(M93="high",2,IF(M93="medium",1,0))=IF(Y93="high",2,IF(Y93="medium",1,0)),"SI และ Rate เท่ากัน",IF(IF(M93="high",2,IF(M93="medium",1,0))&gt;IF(Y93="high",2,IF(Y93="medium",1,0)),"SI","Rate"))</f>
        <v/>
      </c>
    </row>
    <row r="94">
      <c r="A94" t="inlineStr">
        <is>
          <t>zone_592</t>
        </is>
      </c>
      <c r="B94" t="inlineStr">
        <is>
          <t>สมุทรสาคร - บางบอน</t>
        </is>
      </c>
      <c r="C94" t="inlineStr">
        <is>
          <t>สมุทรสาคร</t>
        </is>
      </c>
      <c r="D94" t="inlineStr">
        <is>
          <t>3242</t>
        </is>
      </c>
      <c r="E94" t="inlineStr">
        <is>
          <t>ทล.</t>
        </is>
      </c>
      <c r="F94" t="inlineStr">
        <is>
          <t>10.7–10.8</t>
        </is>
      </c>
      <c r="G94" t="inlineStr">
        <is>
          <t>station_id 69 (ทล.3242 กม.4+130)</t>
        </is>
      </c>
      <c r="H94" t="inlineStr">
        <is>
          <t>ทล. สถานีตัวแทนตอนควบคุม</t>
        </is>
      </c>
      <c r="I94" t="n">
        <v>4</v>
      </c>
      <c r="J94" t="n">
        <v>0</v>
      </c>
      <c r="K94" t="n">
        <v>11</v>
      </c>
      <c r="L94" s="5" t="n">
        <v>2.75</v>
      </c>
      <c r="M94" t="inlineStr">
        <is>
          <t>high</t>
        </is>
      </c>
      <c r="N94" s="6" t="n">
        <v>47547</v>
      </c>
      <c r="O94" s="6" t="n">
        <v>49902</v>
      </c>
      <c r="P94" s="6" t="n">
        <v>49217</v>
      </c>
      <c r="Q94" s="6">
        <f>AVERAGE(N94:P94)</f>
        <v/>
      </c>
      <c r="R94" t="n">
        <v>3</v>
      </c>
      <c r="S94" t="n">
        <v>1</v>
      </c>
      <c r="T94" s="7">
        <f>365*R94*Q94*S94/1000000</f>
        <v/>
      </c>
      <c r="U94" s="8">
        <f>I94/T94</f>
        <v/>
      </c>
      <c r="V94" s="8">
        <f>SUMIF($E$2:$E$599,E94,$I$2:$I$599)/SUMIF($E$2:$E$599,E94,$T$2:$T$599)</f>
        <v/>
      </c>
      <c r="W94" s="8">
        <f>V94+1.645*SQRT(V94/T94)+1/(2*T94)</f>
        <v/>
      </c>
      <c r="X94" s="5">
        <f>U94/W94</f>
        <v/>
      </c>
      <c r="Y94">
        <f>IF(U94&gt;W94,"high",IF(U94&gt;V94,"medium","low"))</f>
        <v/>
      </c>
      <c r="Z94">
        <f>CHOOSE(MAX(IF(M94="high",2,IF(M94="medium",1,0)),IF(Y94="high",2,IF(Y94="medium",1,0)))+1,"low","medium","high")</f>
        <v/>
      </c>
      <c r="AA94">
        <f>IF(IF(M94="high",2,IF(M94="medium",1,0))=IF(Y94="high",2,IF(Y94="medium",1,0)),"SI และ Rate เท่ากัน",IF(IF(M94="high",2,IF(M94="medium",1,0))&gt;IF(Y94="high",2,IF(Y94="medium",1,0)),"SI","Rate"))</f>
        <v/>
      </c>
    </row>
    <row r="95">
      <c r="A95" t="inlineStr">
        <is>
          <t>zone_233</t>
        </is>
      </c>
      <c r="B95" t="inlineStr">
        <is>
          <t>ดาวคะนอง - แสมดำ</t>
        </is>
      </c>
      <c r="C95" t="inlineStr">
        <is>
          <t>กรุงเทพมหานคร</t>
        </is>
      </c>
      <c r="D95" t="inlineStr">
        <is>
          <t>35</t>
        </is>
      </c>
      <c r="E95" t="inlineStr">
        <is>
          <t>ทล.</t>
        </is>
      </c>
      <c r="F95" t="inlineStr">
        <is>
          <t>0.05–0.7</t>
        </is>
      </c>
      <c r="G95" t="inlineStr">
        <is>
          <t>station_id 127 (ทล.35 กม.6+500)</t>
        </is>
      </c>
      <c r="H95" t="inlineStr">
        <is>
          <t>ทล. สถานีตัวแทนตอนควบคุม</t>
        </is>
      </c>
      <c r="I95" t="n">
        <v>15</v>
      </c>
      <c r="J95" t="n">
        <v>3</v>
      </c>
      <c r="K95" t="n">
        <v>30</v>
      </c>
      <c r="L95" s="5" t="n">
        <v>2.2</v>
      </c>
      <c r="M95" t="inlineStr">
        <is>
          <t>high</t>
        </is>
      </c>
      <c r="N95" s="6" t="n">
        <v>256167</v>
      </c>
      <c r="O95" s="6" t="n">
        <v>260090</v>
      </c>
      <c r="P95" s="6" t="n">
        <v>259277</v>
      </c>
      <c r="Q95" s="6">
        <f>AVERAGE(N95:P95)</f>
        <v/>
      </c>
      <c r="R95" t="n">
        <v>3</v>
      </c>
      <c r="S95" t="n">
        <v>1</v>
      </c>
      <c r="T95" s="7">
        <f>365*R95*Q95*S95/1000000</f>
        <v/>
      </c>
      <c r="U95" s="8">
        <f>I95/T95</f>
        <v/>
      </c>
      <c r="V95" s="8">
        <f>SUMIF($E$2:$E$599,E95,$I$2:$I$599)/SUMIF($E$2:$E$599,E95,$T$2:$T$599)</f>
        <v/>
      </c>
      <c r="W95" s="8">
        <f>V95+1.645*SQRT(V95/T95)+1/(2*T95)</f>
        <v/>
      </c>
      <c r="X95" s="5">
        <f>U95/W95</f>
        <v/>
      </c>
      <c r="Y95">
        <f>IF(U95&gt;W95,"high",IF(U95&gt;V95,"medium","low"))</f>
        <v/>
      </c>
      <c r="Z95">
        <f>CHOOSE(MAX(IF(M95="high",2,IF(M95="medium",1,0)),IF(Y95="high",2,IF(Y95="medium",1,0)))+1,"low","medium","high")</f>
        <v/>
      </c>
      <c r="AA95">
        <f>IF(IF(M95="high",2,IF(M95="medium",1,0))=IF(Y95="high",2,IF(Y95="medium",1,0)),"SI และ Rate เท่ากัน",IF(IF(M95="high",2,IF(M95="medium",1,0))&gt;IF(Y95="high",2,IF(Y95="medium",1,0)),"SI","Rate"))</f>
        <v/>
      </c>
    </row>
    <row r="96">
      <c r="A96" t="inlineStr">
        <is>
          <t>zone_626</t>
        </is>
      </c>
      <c r="B96" t="inlineStr">
        <is>
          <t>แยกสาครเกษม - คลองมะเดื่อ</t>
        </is>
      </c>
      <c r="C96" t="inlineStr">
        <is>
          <t>สมุทรสาคร</t>
        </is>
      </c>
      <c r="D96" t="inlineStr">
        <is>
          <t>3651</t>
        </is>
      </c>
      <c r="E96" t="inlineStr">
        <is>
          <t>ทล.</t>
        </is>
      </c>
      <c r="F96" t="inlineStr">
        <is>
          <t>4.2–4.33</t>
        </is>
      </c>
      <c r="G96" t="inlineStr">
        <is>
          <t>station_id 61 (ทล.3091 กม.0+500)</t>
        </is>
      </c>
      <c r="H96" t="inlineStr">
        <is>
          <t>ทล. สถานีตัวแทนตอนควบคุม</t>
        </is>
      </c>
      <c r="I96" t="n">
        <v>3</v>
      </c>
      <c r="J96" t="n">
        <v>5</v>
      </c>
      <c r="K96" t="n">
        <v>5</v>
      </c>
      <c r="L96" s="5" t="n">
        <v>2.3333</v>
      </c>
      <c r="M96" t="inlineStr">
        <is>
          <t>high</t>
        </is>
      </c>
      <c r="N96" s="6" t="n">
        <v>35856</v>
      </c>
      <c r="O96" s="6" t="n">
        <v>37288</v>
      </c>
      <c r="P96" s="6" t="n">
        <v>37588</v>
      </c>
      <c r="Q96" s="6">
        <f>AVERAGE(N96:P96)</f>
        <v/>
      </c>
      <c r="R96" t="n">
        <v>3</v>
      </c>
      <c r="S96" t="n">
        <v>1</v>
      </c>
      <c r="T96" s="7">
        <f>365*R96*Q96*S96/1000000</f>
        <v/>
      </c>
      <c r="U96" s="8">
        <f>I96/T96</f>
        <v/>
      </c>
      <c r="V96" s="8">
        <f>SUMIF($E$2:$E$599,E96,$I$2:$I$599)/SUMIF($E$2:$E$599,E96,$T$2:$T$599)</f>
        <v/>
      </c>
      <c r="W96" s="8">
        <f>V96+1.645*SQRT(V96/T96)+1/(2*T96)</f>
        <v/>
      </c>
      <c r="X96" s="5">
        <f>U96/W96</f>
        <v/>
      </c>
      <c r="Y96">
        <f>IF(U96&gt;W96,"high",IF(U96&gt;V96,"medium","low"))</f>
        <v/>
      </c>
      <c r="Z96">
        <f>CHOOSE(MAX(IF(M96="high",2,IF(M96="medium",1,0)),IF(Y96="high",2,IF(Y96="medium",1,0)))+1,"low","medium","high")</f>
        <v/>
      </c>
      <c r="AA96">
        <f>IF(IF(M96="high",2,IF(M96="medium",1,0))=IF(Y96="high",2,IF(Y96="medium",1,0)),"SI และ Rate เท่ากัน",IF(IF(M96="high",2,IF(M96="medium",1,0))&gt;IF(Y96="high",2,IF(Y96="medium",1,0)),"SI","Rate"))</f>
        <v/>
      </c>
    </row>
    <row r="97">
      <c r="A97" t="inlineStr">
        <is>
          <t>zone_608</t>
        </is>
      </c>
      <c r="B97" t="inlineStr">
        <is>
          <t>บ้านบ่อ - พระประโทน</t>
        </is>
      </c>
      <c r="C97" t="inlineStr">
        <is>
          <t>สมุทรสาคร</t>
        </is>
      </c>
      <c r="D97" t="inlineStr">
        <is>
          <t>375</t>
        </is>
      </c>
      <c r="E97" t="inlineStr">
        <is>
          <t>ทล.</t>
        </is>
      </c>
      <c r="F97" t="inlineStr">
        <is>
          <t>2.723–2.8</t>
        </is>
      </c>
      <c r="G97" t="inlineStr">
        <is>
          <t>station_id 1973 (ทล.375 กม.16+521)</t>
        </is>
      </c>
      <c r="H97" t="inlineStr">
        <is>
          <t>ทล. สถานีตัวแทนตอนควบคุม</t>
        </is>
      </c>
      <c r="I97" t="n">
        <v>3</v>
      </c>
      <c r="J97" t="n">
        <v>0</v>
      </c>
      <c r="K97" t="n">
        <v>6</v>
      </c>
      <c r="L97" s="5" t="n">
        <v>2</v>
      </c>
      <c r="M97" t="inlineStr">
        <is>
          <t>high</t>
        </is>
      </c>
      <c r="N97" s="6" t="n">
        <v>42414</v>
      </c>
      <c r="O97" s="6" t="n">
        <v>42972</v>
      </c>
      <c r="P97" s="6" t="n">
        <v>42129</v>
      </c>
      <c r="Q97" s="6">
        <f>AVERAGE(N97:P97)</f>
        <v/>
      </c>
      <c r="R97" t="n">
        <v>3</v>
      </c>
      <c r="S97" t="n">
        <v>1</v>
      </c>
      <c r="T97" s="7">
        <f>365*R97*Q97*S97/1000000</f>
        <v/>
      </c>
      <c r="U97" s="8">
        <f>I97/T97</f>
        <v/>
      </c>
      <c r="V97" s="8">
        <f>SUMIF($E$2:$E$599,E97,$I$2:$I$599)/SUMIF($E$2:$E$599,E97,$T$2:$T$599)</f>
        <v/>
      </c>
      <c r="W97" s="8">
        <f>V97+1.645*SQRT(V97/T97)+1/(2*T97)</f>
        <v/>
      </c>
      <c r="X97" s="5">
        <f>U97/W97</f>
        <v/>
      </c>
      <c r="Y97">
        <f>IF(U97&gt;W97,"high",IF(U97&gt;V97,"medium","low"))</f>
        <v/>
      </c>
      <c r="Z97">
        <f>CHOOSE(MAX(IF(M97="high",2,IF(M97="medium",1,0)),IF(Y97="high",2,IF(Y97="medium",1,0)))+1,"low","medium","high")</f>
        <v/>
      </c>
      <c r="AA97">
        <f>IF(IF(M97="high",2,IF(M97="medium",1,0))=IF(Y97="high",2,IF(Y97="medium",1,0)),"SI และ Rate เท่ากัน",IF(IF(M97="high",2,IF(M97="medium",1,0))&gt;IF(Y97="high",2,IF(Y97="medium",1,0)),"SI","Rate"))</f>
        <v/>
      </c>
    </row>
    <row r="98">
      <c r="A98" t="inlineStr">
        <is>
          <t>zone_200</t>
        </is>
      </c>
      <c r="B98" t="inlineStr">
        <is>
          <t>มหาวิทยาลัยเกษตรศาสตร์ - คันนายาว</t>
        </is>
      </c>
      <c r="C98" t="inlineStr">
        <is>
          <t>กรุงเทพมหานคร</t>
        </is>
      </c>
      <c r="D98" t="inlineStr">
        <is>
          <t>351</t>
        </is>
      </c>
      <c r="E98" t="inlineStr">
        <is>
          <t>ทล.</t>
        </is>
      </c>
      <c r="F98" t="inlineStr">
        <is>
          <t>0.38–0.45</t>
        </is>
      </c>
      <c r="G98" t="inlineStr">
        <is>
          <t>station_id 8 (ทล.351 กม.4+700)</t>
        </is>
      </c>
      <c r="H98" t="inlineStr">
        <is>
          <t>ทล. สถานีตัวแทนตอนควบคุม</t>
        </is>
      </c>
      <c r="I98" t="n">
        <v>4</v>
      </c>
      <c r="J98" t="n">
        <v>0</v>
      </c>
      <c r="K98" t="n">
        <v>8</v>
      </c>
      <c r="L98" s="5" t="n">
        <v>2</v>
      </c>
      <c r="M98" t="inlineStr">
        <is>
          <t>high</t>
        </is>
      </c>
      <c r="N98" s="6" t="n">
        <v>96826</v>
      </c>
      <c r="O98" s="6" t="n">
        <v>76671</v>
      </c>
      <c r="P98" s="6" t="n">
        <v>73453</v>
      </c>
      <c r="Q98" s="6">
        <f>AVERAGE(N98:P98)</f>
        <v/>
      </c>
      <c r="R98" t="n">
        <v>3</v>
      </c>
      <c r="S98" t="n">
        <v>1</v>
      </c>
      <c r="T98" s="7">
        <f>365*R98*Q98*S98/1000000</f>
        <v/>
      </c>
      <c r="U98" s="8">
        <f>I98/T98</f>
        <v/>
      </c>
      <c r="V98" s="8">
        <f>SUMIF($E$2:$E$599,E98,$I$2:$I$599)/SUMIF($E$2:$E$599,E98,$T$2:$T$599)</f>
        <v/>
      </c>
      <c r="W98" s="8">
        <f>V98+1.645*SQRT(V98/T98)+1/(2*T98)</f>
        <v/>
      </c>
      <c r="X98" s="5">
        <f>U98/W98</f>
        <v/>
      </c>
      <c r="Y98">
        <f>IF(U98&gt;W98,"high",IF(U98&gt;V98,"medium","low"))</f>
        <v/>
      </c>
      <c r="Z98">
        <f>CHOOSE(MAX(IF(M98="high",2,IF(M98="medium",1,0)),IF(Y98="high",2,IF(Y98="medium",1,0)))+1,"low","medium","high")</f>
        <v/>
      </c>
      <c r="AA98">
        <f>IF(IF(M98="high",2,IF(M98="medium",1,0))=IF(Y98="high",2,IF(Y98="medium",1,0)),"SI และ Rate เท่ากัน",IF(IF(M98="high",2,IF(M98="medium",1,0))&gt;IF(Y98="high",2,IF(Y98="medium",1,0)),"SI","Rate"))</f>
        <v/>
      </c>
    </row>
    <row r="99">
      <c r="A99" t="inlineStr">
        <is>
          <t>zone_254</t>
        </is>
      </c>
      <c r="B99" t="inlineStr">
        <is>
          <t>พญาไท-ศรีนครินทร์</t>
        </is>
      </c>
      <c r="C99" t="inlineStr">
        <is>
          <t>กรุงเทพมหานคร</t>
        </is>
      </c>
      <c r="D99" t="inlineStr">
        <is>
          <t>E002S016|I</t>
        </is>
      </c>
      <c r="E99" t="inlineStr">
        <is>
          <t>กทพ.</t>
        </is>
      </c>
      <c r="F99" t="inlineStr">
        <is>
          <t>10.5–10.7</t>
        </is>
      </c>
      <c r="G99" t="inlineStr">
        <is>
          <t>ศรีรัช</t>
        </is>
      </c>
      <c r="H99" t="inlineStr">
        <is>
          <t>กทพ. ยอดผ่านด่านทั้งสาย ÷ 365</t>
        </is>
      </c>
      <c r="I99" t="n">
        <v>4</v>
      </c>
      <c r="J99" t="n">
        <v>0</v>
      </c>
      <c r="K99" t="n">
        <v>9</v>
      </c>
      <c r="L99" s="5" t="n">
        <v>2.25</v>
      </c>
      <c r="M99" t="inlineStr">
        <is>
          <t>high</t>
        </is>
      </c>
      <c r="N99" s="6" t="n">
        <v>613083.1506849315</v>
      </c>
      <c r="O99" s="6" t="n">
        <v>601127.7068493151</v>
      </c>
      <c r="P99" s="6" t="n">
        <v>607857.5287671232</v>
      </c>
      <c r="Q99" s="6">
        <f>AVERAGE(N99:P99)</f>
        <v/>
      </c>
      <c r="R99" t="n">
        <v>3</v>
      </c>
      <c r="S99" t="n">
        <v>1</v>
      </c>
      <c r="T99" s="7">
        <f>365*R99*Q99*S99/1000000</f>
        <v/>
      </c>
      <c r="U99" s="8">
        <f>I99/T99</f>
        <v/>
      </c>
      <c r="V99" s="8">
        <f>SUMIF($E$2:$E$599,E99,$I$2:$I$599)/SUMIF($E$2:$E$599,E99,$T$2:$T$599)</f>
        <v/>
      </c>
      <c r="W99" s="8">
        <f>V99+1.645*SQRT(V99/T99)+1/(2*T99)</f>
        <v/>
      </c>
      <c r="X99" s="5">
        <f>U99/W99</f>
        <v/>
      </c>
      <c r="Y99">
        <f>IF(U99&gt;W99,"high",IF(U99&gt;V99,"medium","low"))</f>
        <v/>
      </c>
      <c r="Z99">
        <f>CHOOSE(MAX(IF(M99="high",2,IF(M99="medium",1,0)),IF(Y99="high",2,IF(Y99="medium",1,0)))+1,"low","medium","high")</f>
        <v/>
      </c>
      <c r="AA99">
        <f>IF(IF(M99="high",2,IF(M99="medium",1,0))=IF(Y99="high",2,IF(Y99="medium",1,0)),"SI และ Rate เท่ากัน",IF(IF(M99="high",2,IF(M99="medium",1,0))&gt;IF(Y99="high",2,IF(Y99="medium",1,0)),"SI","Rate"))</f>
        <v/>
      </c>
    </row>
    <row r="100">
      <c r="A100" t="inlineStr">
        <is>
          <t>zone_237</t>
        </is>
      </c>
      <c r="B100" t="inlineStr">
        <is>
          <t>บางบอน - โรงพยาบาลบางปะกอก8</t>
        </is>
      </c>
      <c r="C100" t="inlineStr">
        <is>
          <t>กรุงเทพมหานคร</t>
        </is>
      </c>
      <c r="D100" t="inlineStr">
        <is>
          <t>3242</t>
        </is>
      </c>
      <c r="E100" t="inlineStr">
        <is>
          <t>ทล.</t>
        </is>
      </c>
      <c r="F100" t="inlineStr">
        <is>
          <t>15.5–15.63</t>
        </is>
      </c>
      <c r="G100" t="inlineStr">
        <is>
          <t>station_id 129 (ทล.3242 กม.15+600)</t>
        </is>
      </c>
      <c r="H100" t="inlineStr">
        <is>
          <t>ทล. สถานีตัวแทนตอนควบคุม</t>
        </is>
      </c>
      <c r="I100" t="n">
        <v>3</v>
      </c>
      <c r="J100" t="n">
        <v>0</v>
      </c>
      <c r="K100" t="n">
        <v>10</v>
      </c>
      <c r="L100" s="5" t="n">
        <v>3.3333</v>
      </c>
      <c r="M100" t="inlineStr">
        <is>
          <t>high</t>
        </is>
      </c>
      <c r="N100" s="6" t="n">
        <v>99272</v>
      </c>
      <c r="O100" s="6" t="n">
        <v>83416</v>
      </c>
      <c r="P100" s="6" t="n">
        <v>81423</v>
      </c>
      <c r="Q100" s="6">
        <f>AVERAGE(N100:P100)</f>
        <v/>
      </c>
      <c r="R100" t="n">
        <v>3</v>
      </c>
      <c r="S100" t="n">
        <v>1</v>
      </c>
      <c r="T100" s="7">
        <f>365*R100*Q100*S100/1000000</f>
        <v/>
      </c>
      <c r="U100" s="8">
        <f>I100/T100</f>
        <v/>
      </c>
      <c r="V100" s="8">
        <f>SUMIF($E$2:$E$599,E100,$I$2:$I$599)/SUMIF($E$2:$E$599,E100,$T$2:$T$599)</f>
        <v/>
      </c>
      <c r="W100" s="8">
        <f>V100+1.645*SQRT(V100/T100)+1/(2*T100)</f>
        <v/>
      </c>
      <c r="X100" s="5">
        <f>U100/W100</f>
        <v/>
      </c>
      <c r="Y100">
        <f>IF(U100&gt;W100,"high",IF(U100&gt;V100,"medium","low"))</f>
        <v/>
      </c>
      <c r="Z100">
        <f>CHOOSE(MAX(IF(M100="high",2,IF(M100="medium",1,0)),IF(Y100="high",2,IF(Y100="medium",1,0)))+1,"low","medium","high")</f>
        <v/>
      </c>
      <c r="AA100">
        <f>IF(IF(M100="high",2,IF(M100="medium",1,0))=IF(Y100="high",2,IF(Y100="medium",1,0)),"SI และ Rate เท่ากัน",IF(IF(M100="high",2,IF(M100="medium",1,0))&gt;IF(Y100="high",2,IF(Y100="medium",1,0)),"SI","Rate"))</f>
        <v/>
      </c>
    </row>
    <row r="101">
      <c r="A101" t="inlineStr">
        <is>
          <t>zone_246</t>
        </is>
      </c>
      <c r="B101" t="inlineStr">
        <is>
          <t>บางบอน - โรงพยาบาลบางปะกอก 8</t>
        </is>
      </c>
      <c r="C101" t="inlineStr">
        <is>
          <t>กรุงเทพมหานคร</t>
        </is>
      </c>
      <c r="D101" t="inlineStr">
        <is>
          <t>3242</t>
        </is>
      </c>
      <c r="E101" t="inlineStr">
        <is>
          <t>ทล.</t>
        </is>
      </c>
      <c r="F101" t="inlineStr">
        <is>
          <t>18.583–18.7</t>
        </is>
      </c>
      <c r="G101" t="inlineStr">
        <is>
          <t>station_id 129 (ทล.3242 กม.15+600)</t>
        </is>
      </c>
      <c r="H101" t="inlineStr">
        <is>
          <t>ทล. สถานีตัวแทนตอนควบคุม</t>
        </is>
      </c>
      <c r="I101" t="n">
        <v>3</v>
      </c>
      <c r="J101" t="n">
        <v>0</v>
      </c>
      <c r="K101" t="n">
        <v>7</v>
      </c>
      <c r="L101" s="5" t="n">
        <v>2.3333</v>
      </c>
      <c r="M101" t="inlineStr">
        <is>
          <t>high</t>
        </is>
      </c>
      <c r="N101" s="6" t="n">
        <v>99272</v>
      </c>
      <c r="O101" s="6" t="n">
        <v>83416</v>
      </c>
      <c r="P101" s="6" t="n">
        <v>81423</v>
      </c>
      <c r="Q101" s="6">
        <f>AVERAGE(N101:P101)</f>
        <v/>
      </c>
      <c r="R101" t="n">
        <v>3</v>
      </c>
      <c r="S101" t="n">
        <v>1</v>
      </c>
      <c r="T101" s="7">
        <f>365*R101*Q101*S101/1000000</f>
        <v/>
      </c>
      <c r="U101" s="8">
        <f>I101/T101</f>
        <v/>
      </c>
      <c r="V101" s="8">
        <f>SUMIF($E$2:$E$599,E101,$I$2:$I$599)/SUMIF($E$2:$E$599,E101,$T$2:$T$599)</f>
        <v/>
      </c>
      <c r="W101" s="8">
        <f>V101+1.645*SQRT(V101/T101)+1/(2*T101)</f>
        <v/>
      </c>
      <c r="X101" s="5">
        <f>U101/W101</f>
        <v/>
      </c>
      <c r="Y101">
        <f>IF(U101&gt;W101,"high",IF(U101&gt;V101,"medium","low"))</f>
        <v/>
      </c>
      <c r="Z101">
        <f>CHOOSE(MAX(IF(M101="high",2,IF(M101="medium",1,0)),IF(Y101="high",2,IF(Y101="medium",1,0)))+1,"low","medium","high")</f>
        <v/>
      </c>
      <c r="AA101">
        <f>IF(IF(M101="high",2,IF(M101="medium",1,0))=IF(Y101="high",2,IF(Y101="medium",1,0)),"SI และ Rate เท่ากัน",IF(IF(M101="high",2,IF(M101="medium",1,0))&gt;IF(Y101="high",2,IF(Y101="medium",1,0)),"SI","Rate"))</f>
        <v/>
      </c>
    </row>
    <row r="102">
      <c r="A102" t="inlineStr">
        <is>
          <t>zone_375</t>
        </is>
      </c>
      <c r="B102" t="inlineStr">
        <is>
          <t>นครชัยศรี - พระประโทน</t>
        </is>
      </c>
      <c r="C102" t="inlineStr">
        <is>
          <t>นครปฐม</t>
        </is>
      </c>
      <c r="D102" t="inlineStr">
        <is>
          <t>4</t>
        </is>
      </c>
      <c r="E102" t="inlineStr">
        <is>
          <t>ทล.</t>
        </is>
      </c>
      <c r="F102" t="inlineStr">
        <is>
          <t>41.78–41.95</t>
        </is>
      </c>
      <c r="G102" t="inlineStr">
        <is>
          <t>station_id 2462 (ทล.4 กม.41+500)</t>
        </is>
      </c>
      <c r="H102" t="inlineStr">
        <is>
          <t>ทล. สถานีตัวแทนตอนควบคุม</t>
        </is>
      </c>
      <c r="I102" t="n">
        <v>3</v>
      </c>
      <c r="J102" t="n">
        <v>3</v>
      </c>
      <c r="K102" t="n">
        <v>12</v>
      </c>
      <c r="L102" s="5" t="n">
        <v>4.3333</v>
      </c>
      <c r="M102" t="inlineStr">
        <is>
          <t>high</t>
        </is>
      </c>
      <c r="N102" s="6" t="n">
        <v>91244</v>
      </c>
      <c r="O102" s="6" t="n">
        <v>97663</v>
      </c>
      <c r="P102" s="6" t="n">
        <v>96217</v>
      </c>
      <c r="Q102" s="6">
        <f>AVERAGE(N102:P102)</f>
        <v/>
      </c>
      <c r="R102" t="n">
        <v>3</v>
      </c>
      <c r="S102" t="n">
        <v>1</v>
      </c>
      <c r="T102" s="7">
        <f>365*R102*Q102*S102/1000000</f>
        <v/>
      </c>
      <c r="U102" s="8">
        <f>I102/T102</f>
        <v/>
      </c>
      <c r="V102" s="8">
        <f>SUMIF($E$2:$E$599,E102,$I$2:$I$599)/SUMIF($E$2:$E$599,E102,$T$2:$T$599)</f>
        <v/>
      </c>
      <c r="W102" s="8">
        <f>V102+1.645*SQRT(V102/T102)+1/(2*T102)</f>
        <v/>
      </c>
      <c r="X102" s="5">
        <f>U102/W102</f>
        <v/>
      </c>
      <c r="Y102">
        <f>IF(U102&gt;W102,"high",IF(U102&gt;V102,"medium","low"))</f>
        <v/>
      </c>
      <c r="Z102">
        <f>CHOOSE(MAX(IF(M102="high",2,IF(M102="medium",1,0)),IF(Y102="high",2,IF(Y102="medium",1,0)))+1,"low","medium","high")</f>
        <v/>
      </c>
      <c r="AA102">
        <f>IF(IF(M102="high",2,IF(M102="medium",1,0))=IF(Y102="high",2,IF(Y102="medium",1,0)),"SI และ Rate เท่ากัน",IF(IF(M102="high",2,IF(M102="medium",1,0))&gt;IF(Y102="high",2,IF(Y102="medium",1,0)),"SI","Rate"))</f>
        <v/>
      </c>
    </row>
    <row r="103">
      <c r="A103" t="inlineStr">
        <is>
          <t>zone_378</t>
        </is>
      </c>
      <c r="B103" t="inlineStr">
        <is>
          <t>พระประโทน - สระกระเทียม</t>
        </is>
      </c>
      <c r="C103" t="inlineStr">
        <is>
          <t>นครปฐม</t>
        </is>
      </c>
      <c r="D103" t="inlineStr">
        <is>
          <t>4</t>
        </is>
      </c>
      <c r="E103" t="inlineStr">
        <is>
          <t>ทล.</t>
        </is>
      </c>
      <c r="F103" t="inlineStr">
        <is>
          <t>65.5–65.8</t>
        </is>
      </c>
      <c r="G103" t="inlineStr">
        <is>
          <t>station_id 1969 (ทล.4 กม.55+087)</t>
        </is>
      </c>
      <c r="H103" t="inlineStr">
        <is>
          <t>ทล. สถานีตัวแทนตอนควบคุม</t>
        </is>
      </c>
      <c r="I103" t="n">
        <v>3</v>
      </c>
      <c r="J103" t="n">
        <v>3</v>
      </c>
      <c r="K103" t="n">
        <v>10</v>
      </c>
      <c r="L103" s="5" t="n">
        <v>3.6667</v>
      </c>
      <c r="M103" t="inlineStr">
        <is>
          <t>high</t>
        </is>
      </c>
      <c r="N103" s="6" t="n">
        <v>99124</v>
      </c>
      <c r="O103" s="6" t="n">
        <v>94365</v>
      </c>
      <c r="P103" s="6" t="n">
        <v>100020</v>
      </c>
      <c r="Q103" s="6">
        <f>AVERAGE(N103:P103)</f>
        <v/>
      </c>
      <c r="R103" t="n">
        <v>3</v>
      </c>
      <c r="S103" t="n">
        <v>1</v>
      </c>
      <c r="T103" s="7">
        <f>365*R103*Q103*S103/1000000</f>
        <v/>
      </c>
      <c r="U103" s="8">
        <f>I103/T103</f>
        <v/>
      </c>
      <c r="V103" s="8">
        <f>SUMIF($E$2:$E$599,E103,$I$2:$I$599)/SUMIF($E$2:$E$599,E103,$T$2:$T$599)</f>
        <v/>
      </c>
      <c r="W103" s="8">
        <f>V103+1.645*SQRT(V103/T103)+1/(2*T103)</f>
        <v/>
      </c>
      <c r="X103" s="5">
        <f>U103/W103</f>
        <v/>
      </c>
      <c r="Y103">
        <f>IF(U103&gt;W103,"high",IF(U103&gt;V103,"medium","low"))</f>
        <v/>
      </c>
      <c r="Z103">
        <f>CHOOSE(MAX(IF(M103="high",2,IF(M103="medium",1,0)),IF(Y103="high",2,IF(Y103="medium",1,0)))+1,"low","medium","high")</f>
        <v/>
      </c>
      <c r="AA103">
        <f>IF(IF(M103="high",2,IF(M103="medium",1,0))=IF(Y103="high",2,IF(Y103="medium",1,0)),"SI และ Rate เท่ากัน",IF(IF(M103="high",2,IF(M103="medium",1,0))&gt;IF(Y103="high",2,IF(Y103="medium",1,0)),"SI","Rate"))</f>
        <v/>
      </c>
    </row>
    <row r="104">
      <c r="A104" t="inlineStr">
        <is>
          <t>zone_298</t>
        </is>
      </c>
      <c r="B104" t="inlineStr">
        <is>
          <t>พระประแดง - บางแค</t>
        </is>
      </c>
      <c r="C104" t="inlineStr">
        <is>
          <t>กรุงเทพมหานคร</t>
        </is>
      </c>
      <c r="D104" t="inlineStr">
        <is>
          <t>9</t>
        </is>
      </c>
      <c r="E104" t="inlineStr">
        <is>
          <t>ทล.</t>
        </is>
      </c>
      <c r="F104" t="inlineStr">
        <is>
          <t>11.2–11.4</t>
        </is>
      </c>
      <c r="G104" t="inlineStr">
        <is>
          <t>station_id 123 (ทล.9 กม.20+430)</t>
        </is>
      </c>
      <c r="H104" t="inlineStr">
        <is>
          <t>ทล. สถานีตัวแทนตอนควบคุม</t>
        </is>
      </c>
      <c r="I104" t="n">
        <v>4</v>
      </c>
      <c r="J104" t="n">
        <v>1</v>
      </c>
      <c r="K104" t="n">
        <v>10</v>
      </c>
      <c r="L104" s="5" t="n">
        <v>2.75</v>
      </c>
      <c r="M104" t="inlineStr">
        <is>
          <t>high</t>
        </is>
      </c>
      <c r="N104" s="6" t="n">
        <v>161583</v>
      </c>
      <c r="O104" s="6" t="n">
        <v>167210</v>
      </c>
      <c r="P104" s="6" t="n">
        <v>164129</v>
      </c>
      <c r="Q104" s="6">
        <f>AVERAGE(N104:P104)</f>
        <v/>
      </c>
      <c r="R104" t="n">
        <v>3</v>
      </c>
      <c r="S104" t="n">
        <v>1</v>
      </c>
      <c r="T104" s="7">
        <f>365*R104*Q104*S104/1000000</f>
        <v/>
      </c>
      <c r="U104" s="8">
        <f>I104/T104</f>
        <v/>
      </c>
      <c r="V104" s="8">
        <f>SUMIF($E$2:$E$599,E104,$I$2:$I$599)/SUMIF($E$2:$E$599,E104,$T$2:$T$599)</f>
        <v/>
      </c>
      <c r="W104" s="8">
        <f>V104+1.645*SQRT(V104/T104)+1/(2*T104)</f>
        <v/>
      </c>
      <c r="X104" s="5">
        <f>U104/W104</f>
        <v/>
      </c>
      <c r="Y104">
        <f>IF(U104&gt;W104,"high",IF(U104&gt;V104,"medium","low"))</f>
        <v/>
      </c>
      <c r="Z104">
        <f>CHOOSE(MAX(IF(M104="high",2,IF(M104="medium",1,0)),IF(Y104="high",2,IF(Y104="medium",1,0)))+1,"low","medium","high")</f>
        <v/>
      </c>
      <c r="AA104">
        <f>IF(IF(M104="high",2,IF(M104="medium",1,0))=IF(Y104="high",2,IF(Y104="medium",1,0)),"SI และ Rate เท่ากัน",IF(IF(M104="high",2,IF(M104="medium",1,0))&gt;IF(Y104="high",2,IF(Y104="medium",1,0)),"SI","Rate"))</f>
        <v/>
      </c>
    </row>
    <row r="105">
      <c r="A105" t="inlineStr">
        <is>
          <t>zone_497</t>
        </is>
      </c>
      <c r="B105" t="inlineStr">
        <is>
          <t>แขวงคลองสองต้นนุ่น - พิมพา</t>
        </is>
      </c>
      <c r="C105" t="inlineStr">
        <is>
          <t>สมุทรปราการ</t>
        </is>
      </c>
      <c r="D105" t="inlineStr">
        <is>
          <t>7</t>
        </is>
      </c>
      <c r="E105" t="inlineStr">
        <is>
          <t>ทล.</t>
        </is>
      </c>
      <c r="F105" t="inlineStr">
        <is>
          <t>35.7–36</t>
        </is>
      </c>
      <c r="G105" t="inlineStr">
        <is>
          <t>station_id 345 (ทล.7 กม.17+000)</t>
        </is>
      </c>
      <c r="H105" t="inlineStr">
        <is>
          <t>ทล. สถานีตัวแทนตอนควบคุม</t>
        </is>
      </c>
      <c r="I105" t="n">
        <v>5</v>
      </c>
      <c r="J105" t="n">
        <v>0</v>
      </c>
      <c r="K105" t="n">
        <v>16</v>
      </c>
      <c r="L105" s="5" t="n">
        <v>3.2</v>
      </c>
      <c r="M105" t="inlineStr">
        <is>
          <t>high</t>
        </is>
      </c>
      <c r="N105" s="6" t="n">
        <v>220901</v>
      </c>
      <c r="O105" s="6" t="n">
        <v>242192</v>
      </c>
      <c r="P105" s="6" t="n">
        <v>262343</v>
      </c>
      <c r="Q105" s="6">
        <f>AVERAGE(N105:P105)</f>
        <v/>
      </c>
      <c r="R105" t="n">
        <v>3</v>
      </c>
      <c r="S105" t="n">
        <v>1</v>
      </c>
      <c r="T105" s="7">
        <f>365*R105*Q105*S105/1000000</f>
        <v/>
      </c>
      <c r="U105" s="8">
        <f>I105/T105</f>
        <v/>
      </c>
      <c r="V105" s="8">
        <f>SUMIF($E$2:$E$599,E105,$I$2:$I$599)/SUMIF($E$2:$E$599,E105,$T$2:$T$599)</f>
        <v/>
      </c>
      <c r="W105" s="8">
        <f>V105+1.645*SQRT(V105/T105)+1/(2*T105)</f>
        <v/>
      </c>
      <c r="X105" s="5">
        <f>U105/W105</f>
        <v/>
      </c>
      <c r="Y105">
        <f>IF(U105&gt;W105,"high",IF(U105&gt;V105,"medium","low"))</f>
        <v/>
      </c>
      <c r="Z105">
        <f>CHOOSE(MAX(IF(M105="high",2,IF(M105="medium",1,0)),IF(Y105="high",2,IF(Y105="medium",1,0)))+1,"low","medium","high")</f>
        <v/>
      </c>
      <c r="AA105">
        <f>IF(IF(M105="high",2,IF(M105="medium",1,0))=IF(Y105="high",2,IF(Y105="medium",1,0)),"SI และ Rate เท่ากัน",IF(IF(M105="high",2,IF(M105="medium",1,0))&gt;IF(Y105="high",2,IF(Y105="medium",1,0)),"SI","Rate"))</f>
        <v/>
      </c>
    </row>
    <row r="106">
      <c r="A106" t="inlineStr">
        <is>
          <t>zone_433</t>
        </is>
      </c>
      <c r="B106" t="inlineStr">
        <is>
          <t>คลองบางหลวง - ต่างระดับเชียงรากน้อย</t>
        </is>
      </c>
      <c r="C106" t="inlineStr">
        <is>
          <t>ปทุมธานี</t>
        </is>
      </c>
      <c r="D106" t="inlineStr">
        <is>
          <t>3902</t>
        </is>
      </c>
      <c r="E106" t="inlineStr">
        <is>
          <t>ทล.</t>
        </is>
      </c>
      <c r="F106" t="inlineStr">
        <is>
          <t>62.341–62.4</t>
        </is>
      </c>
      <c r="G106" t="inlineStr">
        <is>
          <t>station_id 80 (ทล.346 กม.9+500)</t>
        </is>
      </c>
      <c r="H106" t="inlineStr">
        <is>
          <t>ทล. สถานีตัวแทนตอนควบคุม</t>
        </is>
      </c>
      <c r="I106" t="n">
        <v>3</v>
      </c>
      <c r="J106" t="n">
        <v>0</v>
      </c>
      <c r="K106" t="n">
        <v>6</v>
      </c>
      <c r="L106" s="5" t="n">
        <v>2</v>
      </c>
      <c r="M106" t="inlineStr">
        <is>
          <t>high</t>
        </is>
      </c>
      <c r="N106" s="6" t="n">
        <v>136361</v>
      </c>
      <c r="O106" s="6" t="n">
        <v>143360</v>
      </c>
      <c r="P106" s="6" t="n">
        <v>139052</v>
      </c>
      <c r="Q106" s="6">
        <f>AVERAGE(N106:P106)</f>
        <v/>
      </c>
      <c r="R106" t="n">
        <v>3</v>
      </c>
      <c r="S106" t="n">
        <v>1</v>
      </c>
      <c r="T106" s="7">
        <f>365*R106*Q106*S106/1000000</f>
        <v/>
      </c>
      <c r="U106" s="8">
        <f>I106/T106</f>
        <v/>
      </c>
      <c r="V106" s="8">
        <f>SUMIF($E$2:$E$599,E106,$I$2:$I$599)/SUMIF($E$2:$E$599,E106,$T$2:$T$599)</f>
        <v/>
      </c>
      <c r="W106" s="8">
        <f>V106+1.645*SQRT(V106/T106)+1/(2*T106)</f>
        <v/>
      </c>
      <c r="X106" s="5">
        <f>U106/W106</f>
        <v/>
      </c>
      <c r="Y106">
        <f>IF(U106&gt;W106,"high",IF(U106&gt;V106,"medium","low"))</f>
        <v/>
      </c>
      <c r="Z106">
        <f>CHOOSE(MAX(IF(M106="high",2,IF(M106="medium",1,0)),IF(Y106="high",2,IF(Y106="medium",1,0)))+1,"low","medium","high")</f>
        <v/>
      </c>
      <c r="AA106">
        <f>IF(IF(M106="high",2,IF(M106="medium",1,0))=IF(Y106="high",2,IF(Y106="medium",1,0)),"SI และ Rate เท่ากัน",IF(IF(M106="high",2,IF(M106="medium",1,0))&gt;IF(Y106="high",2,IF(Y106="medium",1,0)),"SI","Rate"))</f>
        <v/>
      </c>
    </row>
    <row r="107">
      <c r="A107" t="inlineStr">
        <is>
          <t>zone_284</t>
        </is>
      </c>
      <c r="B107" t="inlineStr">
        <is>
          <t>พระประแดง - บางแค</t>
        </is>
      </c>
      <c r="C107" t="inlineStr">
        <is>
          <t>กรุงเทพมหานคร</t>
        </is>
      </c>
      <c r="D107" t="inlineStr">
        <is>
          <t>9</t>
        </is>
      </c>
      <c r="E107" t="inlineStr">
        <is>
          <t>ทล.</t>
        </is>
      </c>
      <c r="F107" t="inlineStr">
        <is>
          <t>11.1–12.4</t>
        </is>
      </c>
      <c r="G107" t="inlineStr">
        <is>
          <t>station_id 123 (ทล.9 กม.20+430)</t>
        </is>
      </c>
      <c r="H107" t="inlineStr">
        <is>
          <t>ทล. สถานีตัวแทนตอนควบคุม</t>
        </is>
      </c>
      <c r="I107" t="n">
        <v>3</v>
      </c>
      <c r="J107" t="n">
        <v>0</v>
      </c>
      <c r="K107" t="n">
        <v>6</v>
      </c>
      <c r="L107" s="5" t="n">
        <v>2</v>
      </c>
      <c r="M107" t="inlineStr">
        <is>
          <t>high</t>
        </is>
      </c>
      <c r="N107" s="6" t="n">
        <v>161583</v>
      </c>
      <c r="O107" s="6" t="n">
        <v>167210</v>
      </c>
      <c r="P107" s="6" t="n">
        <v>164129</v>
      </c>
      <c r="Q107" s="6">
        <f>AVERAGE(N107:P107)</f>
        <v/>
      </c>
      <c r="R107" t="n">
        <v>3</v>
      </c>
      <c r="S107" t="n">
        <v>1</v>
      </c>
      <c r="T107" s="7">
        <f>365*R107*Q107*S107/1000000</f>
        <v/>
      </c>
      <c r="U107" s="8">
        <f>I107/T107</f>
        <v/>
      </c>
      <c r="V107" s="8">
        <f>SUMIF($E$2:$E$599,E107,$I$2:$I$599)/SUMIF($E$2:$E$599,E107,$T$2:$T$599)</f>
        <v/>
      </c>
      <c r="W107" s="8">
        <f>V107+1.645*SQRT(V107/T107)+1/(2*T107)</f>
        <v/>
      </c>
      <c r="X107" s="5">
        <f>U107/W107</f>
        <v/>
      </c>
      <c r="Y107">
        <f>IF(U107&gt;W107,"high",IF(U107&gt;V107,"medium","low"))</f>
        <v/>
      </c>
      <c r="Z107">
        <f>CHOOSE(MAX(IF(M107="high",2,IF(M107="medium",1,0)),IF(Y107="high",2,IF(Y107="medium",1,0)))+1,"low","medium","high")</f>
        <v/>
      </c>
      <c r="AA107">
        <f>IF(IF(M107="high",2,IF(M107="medium",1,0))=IF(Y107="high",2,IF(Y107="medium",1,0)),"SI และ Rate เท่ากัน",IF(IF(M107="high",2,IF(M107="medium",1,0))&gt;IF(Y107="high",2,IF(Y107="medium",1,0)),"SI","Rate"))</f>
        <v/>
      </c>
    </row>
    <row r="108">
      <c r="A108" t="inlineStr">
        <is>
          <t>zone_499</t>
        </is>
      </c>
      <c r="B108" t="inlineStr">
        <is>
          <t>แขวงคลองสองต้นนุ่น - พิมพา</t>
        </is>
      </c>
      <c r="C108" t="inlineStr">
        <is>
          <t>สมุทรปราการ</t>
        </is>
      </c>
      <c r="D108" t="inlineStr">
        <is>
          <t>7</t>
        </is>
      </c>
      <c r="E108" t="inlineStr">
        <is>
          <t>ทล.</t>
        </is>
      </c>
      <c r="F108" t="inlineStr">
        <is>
          <t>37.6–37.8</t>
        </is>
      </c>
      <c r="G108" t="inlineStr">
        <is>
          <t>station_id 345 (ทล.7 กม.17+000)</t>
        </is>
      </c>
      <c r="H108" t="inlineStr">
        <is>
          <t>ทล. สถานีตัวแทนตอนควบคุม</t>
        </is>
      </c>
      <c r="I108" t="n">
        <v>4</v>
      </c>
      <c r="J108" t="n">
        <v>0</v>
      </c>
      <c r="K108" t="n">
        <v>15</v>
      </c>
      <c r="L108" s="5" t="n">
        <v>3.75</v>
      </c>
      <c r="M108" t="inlineStr">
        <is>
          <t>high</t>
        </is>
      </c>
      <c r="N108" s="6" t="n">
        <v>220901</v>
      </c>
      <c r="O108" s="6" t="n">
        <v>242192</v>
      </c>
      <c r="P108" s="6" t="n">
        <v>262343</v>
      </c>
      <c r="Q108" s="6">
        <f>AVERAGE(N108:P108)</f>
        <v/>
      </c>
      <c r="R108" t="n">
        <v>3</v>
      </c>
      <c r="S108" t="n">
        <v>1</v>
      </c>
      <c r="T108" s="7">
        <f>365*R108*Q108*S108/1000000</f>
        <v/>
      </c>
      <c r="U108" s="8">
        <f>I108/T108</f>
        <v/>
      </c>
      <c r="V108" s="8">
        <f>SUMIF($E$2:$E$599,E108,$I$2:$I$599)/SUMIF($E$2:$E$599,E108,$T$2:$T$599)</f>
        <v/>
      </c>
      <c r="W108" s="8">
        <f>V108+1.645*SQRT(V108/T108)+1/(2*T108)</f>
        <v/>
      </c>
      <c r="X108" s="5">
        <f>U108/W108</f>
        <v/>
      </c>
      <c r="Y108">
        <f>IF(U108&gt;W108,"high",IF(U108&gt;V108,"medium","low"))</f>
        <v/>
      </c>
      <c r="Z108">
        <f>CHOOSE(MAX(IF(M108="high",2,IF(M108="medium",1,0)),IF(Y108="high",2,IF(Y108="medium",1,0)))+1,"low","medium","high")</f>
        <v/>
      </c>
      <c r="AA108">
        <f>IF(IF(M108="high",2,IF(M108="medium",1,0))=IF(Y108="high",2,IF(Y108="medium",1,0)),"SI และ Rate เท่ากัน",IF(IF(M108="high",2,IF(M108="medium",1,0))&gt;IF(Y108="high",2,IF(Y108="medium",1,0)),"SI","Rate"))</f>
        <v/>
      </c>
    </row>
    <row r="109">
      <c r="A109" t="inlineStr">
        <is>
          <t>zone_380</t>
        </is>
      </c>
      <c r="B109" t="inlineStr">
        <is>
          <t>สนามกีฬาธูปะเตมีย์ - ต่างระดับคลองหลวง</t>
        </is>
      </c>
      <c r="C109" t="inlineStr">
        <is>
          <t>ปทุมธานี</t>
        </is>
      </c>
      <c r="D109" t="inlineStr">
        <is>
          <t>1</t>
        </is>
      </c>
      <c r="E109" t="inlineStr">
        <is>
          <t>ทล.</t>
        </is>
      </c>
      <c r="F109" t="inlineStr">
        <is>
          <t>32–32.1</t>
        </is>
      </c>
      <c r="G109" t="inlineStr">
        <is>
          <t>station_id 76 (ทล.1 กม.35+550)</t>
        </is>
      </c>
      <c r="H109" t="inlineStr">
        <is>
          <t>ทล. สถานีตัวแทนตอนควบคุม</t>
        </is>
      </c>
      <c r="I109" t="n">
        <v>3</v>
      </c>
      <c r="J109" t="n">
        <v>1</v>
      </c>
      <c r="K109" t="n">
        <v>14</v>
      </c>
      <c r="L109" s="5" t="n">
        <v>5</v>
      </c>
      <c r="M109" t="inlineStr">
        <is>
          <t>high</t>
        </is>
      </c>
      <c r="N109" s="6" t="n">
        <v>200760</v>
      </c>
      <c r="O109" s="6" t="n">
        <v>201603</v>
      </c>
      <c r="P109" s="6" t="n">
        <v>204800</v>
      </c>
      <c r="Q109" s="6">
        <f>AVERAGE(N109:P109)</f>
        <v/>
      </c>
      <c r="R109" t="n">
        <v>3</v>
      </c>
      <c r="S109" t="n">
        <v>1</v>
      </c>
      <c r="T109" s="7">
        <f>365*R109*Q109*S109/1000000</f>
        <v/>
      </c>
      <c r="U109" s="8">
        <f>I109/T109</f>
        <v/>
      </c>
      <c r="V109" s="8">
        <f>SUMIF($E$2:$E$599,E109,$I$2:$I$599)/SUMIF($E$2:$E$599,E109,$T$2:$T$599)</f>
        <v/>
      </c>
      <c r="W109" s="8">
        <f>V109+1.645*SQRT(V109/T109)+1/(2*T109)</f>
        <v/>
      </c>
      <c r="X109" s="5">
        <f>U109/W109</f>
        <v/>
      </c>
      <c r="Y109">
        <f>IF(U109&gt;W109,"high",IF(U109&gt;V109,"medium","low"))</f>
        <v/>
      </c>
      <c r="Z109">
        <f>CHOOSE(MAX(IF(M109="high",2,IF(M109="medium",1,0)),IF(Y109="high",2,IF(Y109="medium",1,0)))+1,"low","medium","high")</f>
        <v/>
      </c>
      <c r="AA109">
        <f>IF(IF(M109="high",2,IF(M109="medium",1,0))=IF(Y109="high",2,IF(Y109="medium",1,0)),"SI และ Rate เท่ากัน",IF(IF(M109="high",2,IF(M109="medium",1,0))&gt;IF(Y109="high",2,IF(Y109="medium",1,0)),"SI","Rate"))</f>
        <v/>
      </c>
    </row>
    <row r="110">
      <c r="A110" t="inlineStr">
        <is>
          <t>zone_415</t>
        </is>
      </c>
      <c r="B110" t="inlineStr">
        <is>
          <t>สนามกีฬาธูปะเตมีย์ - ต่างระดับคลองหลวง</t>
        </is>
      </c>
      <c r="C110" t="inlineStr">
        <is>
          <t>ปทุมธานี</t>
        </is>
      </c>
      <c r="D110" t="inlineStr">
        <is>
          <t>1</t>
        </is>
      </c>
      <c r="E110" t="inlineStr">
        <is>
          <t>ทล.</t>
        </is>
      </c>
      <c r="F110" t="inlineStr">
        <is>
          <t>28.35–28.5</t>
        </is>
      </c>
      <c r="G110" t="inlineStr">
        <is>
          <t>station_id 76 (ทล.1 กม.35+550)</t>
        </is>
      </c>
      <c r="H110" t="inlineStr">
        <is>
          <t>ทล. สถานีตัวแทนตอนควบคุม</t>
        </is>
      </c>
      <c r="I110" t="n">
        <v>3</v>
      </c>
      <c r="J110" t="n">
        <v>0</v>
      </c>
      <c r="K110" t="n">
        <v>12</v>
      </c>
      <c r="L110" s="5" t="n">
        <v>4</v>
      </c>
      <c r="M110" t="inlineStr">
        <is>
          <t>high</t>
        </is>
      </c>
      <c r="N110" s="6" t="n">
        <v>200760</v>
      </c>
      <c r="O110" s="6" t="n">
        <v>201603</v>
      </c>
      <c r="P110" s="6" t="n">
        <v>204800</v>
      </c>
      <c r="Q110" s="6">
        <f>AVERAGE(N110:P110)</f>
        <v/>
      </c>
      <c r="R110" t="n">
        <v>3</v>
      </c>
      <c r="S110" t="n">
        <v>1</v>
      </c>
      <c r="T110" s="7">
        <f>365*R110*Q110*S110/1000000</f>
        <v/>
      </c>
      <c r="U110" s="8">
        <f>I110/T110</f>
        <v/>
      </c>
      <c r="V110" s="8">
        <f>SUMIF($E$2:$E$599,E110,$I$2:$I$599)/SUMIF($E$2:$E$599,E110,$T$2:$T$599)</f>
        <v/>
      </c>
      <c r="W110" s="8">
        <f>V110+1.645*SQRT(V110/T110)+1/(2*T110)</f>
        <v/>
      </c>
      <c r="X110" s="5">
        <f>U110/W110</f>
        <v/>
      </c>
      <c r="Y110">
        <f>IF(U110&gt;W110,"high",IF(U110&gt;V110,"medium","low"))</f>
        <v/>
      </c>
      <c r="Z110">
        <f>CHOOSE(MAX(IF(M110="high",2,IF(M110="medium",1,0)),IF(Y110="high",2,IF(Y110="medium",1,0)))+1,"low","medium","high")</f>
        <v/>
      </c>
      <c r="AA110">
        <f>IF(IF(M110="high",2,IF(M110="medium",1,0))=IF(Y110="high",2,IF(Y110="medium",1,0)),"SI และ Rate เท่ากัน",IF(IF(M110="high",2,IF(M110="medium",1,0))&gt;IF(Y110="high",2,IF(Y110="medium",1,0)),"SI","Rate"))</f>
        <v/>
      </c>
    </row>
    <row r="111">
      <c r="A111" t="inlineStr">
        <is>
          <t>zone_473</t>
        </is>
      </c>
      <c r="B111" t="inlineStr">
        <is>
          <t>ทางเข้าท่าอากาศยานสุวรรณภูมิ - บางวัว</t>
        </is>
      </c>
      <c r="C111" t="inlineStr">
        <is>
          <t>สมุทรปราการ</t>
        </is>
      </c>
      <c r="D111" t="inlineStr">
        <is>
          <t>34</t>
        </is>
      </c>
      <c r="E111" t="inlineStr">
        <is>
          <t>ทล.</t>
        </is>
      </c>
      <c r="F111" t="inlineStr">
        <is>
          <t>31.7–31.8</t>
        </is>
      </c>
      <c r="G111" t="inlineStr">
        <is>
          <t>station_id 95 (ทล.34 กม.15+100)</t>
        </is>
      </c>
      <c r="H111" t="inlineStr">
        <is>
          <t>ทล. สถานีตัวแทนตอนควบคุม</t>
        </is>
      </c>
      <c r="I111" t="n">
        <v>3</v>
      </c>
      <c r="J111" t="n">
        <v>1</v>
      </c>
      <c r="K111" t="n">
        <v>5</v>
      </c>
      <c r="L111" s="5" t="n">
        <v>2</v>
      </c>
      <c r="M111" t="inlineStr">
        <is>
          <t>high</t>
        </is>
      </c>
      <c r="N111" s="6" t="n">
        <v>226283</v>
      </c>
      <c r="O111" s="6" t="n">
        <v>252612</v>
      </c>
      <c r="P111" s="6" t="n">
        <v>250222</v>
      </c>
      <c r="Q111" s="6">
        <f>AVERAGE(N111:P111)</f>
        <v/>
      </c>
      <c r="R111" t="n">
        <v>3</v>
      </c>
      <c r="S111" t="n">
        <v>1</v>
      </c>
      <c r="T111" s="7">
        <f>365*R111*Q111*S111/1000000</f>
        <v/>
      </c>
      <c r="U111" s="8">
        <f>I111/T111</f>
        <v/>
      </c>
      <c r="V111" s="8">
        <f>SUMIF($E$2:$E$599,E111,$I$2:$I$599)/SUMIF($E$2:$E$599,E111,$T$2:$T$599)</f>
        <v/>
      </c>
      <c r="W111" s="8">
        <f>V111+1.645*SQRT(V111/T111)+1/(2*T111)</f>
        <v/>
      </c>
      <c r="X111" s="5">
        <f>U111/W111</f>
        <v/>
      </c>
      <c r="Y111">
        <f>IF(U111&gt;W111,"high",IF(U111&gt;V111,"medium","low"))</f>
        <v/>
      </c>
      <c r="Z111">
        <f>CHOOSE(MAX(IF(M111="high",2,IF(M111="medium",1,0)),IF(Y111="high",2,IF(Y111="medium",1,0)))+1,"low","medium","high")</f>
        <v/>
      </c>
      <c r="AA111">
        <f>IF(IF(M111="high",2,IF(M111="medium",1,0))=IF(Y111="high",2,IF(Y111="medium",1,0)),"SI และ Rate เท่ากัน",IF(IF(M111="high",2,IF(M111="medium",1,0))&gt;IF(Y111="high",2,IF(Y111="medium",1,0)),"SI","Rate"))</f>
        <v/>
      </c>
    </row>
    <row r="112">
      <c r="A112" t="inlineStr">
        <is>
          <t>zone_479</t>
        </is>
      </c>
      <c r="B112" t="inlineStr">
        <is>
          <t>ทางเข้าท่าอากาศยานสุวรรณภูมิ - บางวัว</t>
        </is>
      </c>
      <c r="C112" t="inlineStr">
        <is>
          <t>สมุทรปราการ</t>
        </is>
      </c>
      <c r="D112" t="inlineStr">
        <is>
          <t>34</t>
        </is>
      </c>
      <c r="E112" t="inlineStr">
        <is>
          <t>ทล.</t>
        </is>
      </c>
      <c r="F112" t="inlineStr">
        <is>
          <t>17–17.1</t>
        </is>
      </c>
      <c r="G112" t="inlineStr">
        <is>
          <t>station_id 95 (ทล.34 กม.15+100)</t>
        </is>
      </c>
      <c r="H112" t="inlineStr">
        <is>
          <t>ทล. สถานีตัวแทนตอนควบคุม</t>
        </is>
      </c>
      <c r="I112" t="n">
        <v>3</v>
      </c>
      <c r="J112" t="n">
        <v>1</v>
      </c>
      <c r="K112" t="n">
        <v>7</v>
      </c>
      <c r="L112" s="5" t="n">
        <v>2.6667</v>
      </c>
      <c r="M112" t="inlineStr">
        <is>
          <t>high</t>
        </is>
      </c>
      <c r="N112" s="6" t="n">
        <v>226283</v>
      </c>
      <c r="O112" s="6" t="n">
        <v>252612</v>
      </c>
      <c r="P112" s="6" t="n">
        <v>250222</v>
      </c>
      <c r="Q112" s="6">
        <f>AVERAGE(N112:P112)</f>
        <v/>
      </c>
      <c r="R112" t="n">
        <v>3</v>
      </c>
      <c r="S112" t="n">
        <v>1</v>
      </c>
      <c r="T112" s="7">
        <f>365*R112*Q112*S112/1000000</f>
        <v/>
      </c>
      <c r="U112" s="8">
        <f>I112/T112</f>
        <v/>
      </c>
      <c r="V112" s="8">
        <f>SUMIF($E$2:$E$599,E112,$I$2:$I$599)/SUMIF($E$2:$E$599,E112,$T$2:$T$599)</f>
        <v/>
      </c>
      <c r="W112" s="8">
        <f>V112+1.645*SQRT(V112/T112)+1/(2*T112)</f>
        <v/>
      </c>
      <c r="X112" s="5">
        <f>U112/W112</f>
        <v/>
      </c>
      <c r="Y112">
        <f>IF(U112&gt;W112,"high",IF(U112&gt;V112,"medium","low"))</f>
        <v/>
      </c>
      <c r="Z112">
        <f>CHOOSE(MAX(IF(M112="high",2,IF(M112="medium",1,0)),IF(Y112="high",2,IF(Y112="medium",1,0)))+1,"low","medium","high")</f>
        <v/>
      </c>
      <c r="AA112">
        <f>IF(IF(M112="high",2,IF(M112="medium",1,0))=IF(Y112="high",2,IF(Y112="medium",1,0)),"SI และ Rate เท่ากัน",IF(IF(M112="high",2,IF(M112="medium",1,0))&gt;IF(Y112="high",2,IF(Y112="medium",1,0)),"SI","Rate"))</f>
        <v/>
      </c>
    </row>
    <row r="113">
      <c r="A113" t="inlineStr">
        <is>
          <t>zone_545</t>
        </is>
      </c>
      <c r="B113" t="inlineStr">
        <is>
          <t>บางพลี-สุขสวัสดิ์</t>
        </is>
      </c>
      <c r="C113" t="inlineStr">
        <is>
          <t>สมุทรปราการ</t>
        </is>
      </c>
      <c r="D113" t="inlineStr">
        <is>
          <t>E007S013|U</t>
        </is>
      </c>
      <c r="E113" t="inlineStr">
        <is>
          <t>กทพ.</t>
        </is>
      </c>
      <c r="F113" t="inlineStr">
        <is>
          <t>21.2–21.8</t>
        </is>
      </c>
      <c r="G113" t="inlineStr">
        <is>
          <t>ทางพิเศษกาญจนาภิเษก(บางพลี-สุขสวัสดิ์)</t>
        </is>
      </c>
      <c r="H113" t="inlineStr">
        <is>
          <t>กทพ. ยอดผ่านด่านทั้งสาย ÷ 365</t>
        </is>
      </c>
      <c r="I113" t="n">
        <v>9</v>
      </c>
      <c r="J113" t="n">
        <v>0</v>
      </c>
      <c r="K113" t="n">
        <v>8</v>
      </c>
      <c r="L113" s="5" t="n">
        <v>0.8889</v>
      </c>
      <c r="M113" t="inlineStr">
        <is>
          <t>low</t>
        </is>
      </c>
      <c r="N113" s="6" t="n">
        <v>233037.0054794521</v>
      </c>
      <c r="O113" s="6" t="n">
        <v>233284.9890410959</v>
      </c>
      <c r="P113" s="6" t="n">
        <v>228365.901369863</v>
      </c>
      <c r="Q113" s="6">
        <f>AVERAGE(N113:P113)</f>
        <v/>
      </c>
      <c r="R113" t="n">
        <v>3</v>
      </c>
      <c r="S113" t="n">
        <v>1</v>
      </c>
      <c r="T113" s="7">
        <f>365*R113*Q113*S113/1000000</f>
        <v/>
      </c>
      <c r="U113" s="8">
        <f>I113/T113</f>
        <v/>
      </c>
      <c r="V113" s="8">
        <f>SUMIF($E$2:$E$599,E113,$I$2:$I$599)/SUMIF($E$2:$E$599,E113,$T$2:$T$599)</f>
        <v/>
      </c>
      <c r="W113" s="8">
        <f>V113+1.645*SQRT(V113/T113)+1/(2*T113)</f>
        <v/>
      </c>
      <c r="X113" s="5">
        <f>U113/W113</f>
        <v/>
      </c>
      <c r="Y113">
        <f>IF(U113&gt;W113,"high",IF(U113&gt;V113,"medium","low"))</f>
        <v/>
      </c>
      <c r="Z113">
        <f>CHOOSE(MAX(IF(M113="high",2,IF(M113="medium",1,0)),IF(Y113="high",2,IF(Y113="medium",1,0)))+1,"low","medium","high")</f>
        <v/>
      </c>
      <c r="AA113">
        <f>IF(IF(M113="high",2,IF(M113="medium",1,0))=IF(Y113="high",2,IF(Y113="medium",1,0)),"SI และ Rate เท่ากัน",IF(IF(M113="high",2,IF(M113="medium",1,0))&gt;IF(Y113="high",2,IF(Y113="medium",1,0)),"SI","Rate"))</f>
        <v/>
      </c>
    </row>
    <row r="114">
      <c r="A114" t="inlineStr">
        <is>
          <t>zone_552</t>
        </is>
      </c>
      <c r="B114" t="inlineStr">
        <is>
          <t>บางพลี-สุขสวัสดิ์</t>
        </is>
      </c>
      <c r="C114" t="inlineStr">
        <is>
          <t>สมุทรปราการ</t>
        </is>
      </c>
      <c r="D114" t="inlineStr">
        <is>
          <t>E007S013|U</t>
        </is>
      </c>
      <c r="E114" t="inlineStr">
        <is>
          <t>กทพ.</t>
        </is>
      </c>
      <c r="F114" t="inlineStr">
        <is>
          <t>15.8–16.1</t>
        </is>
      </c>
      <c r="G114" t="inlineStr">
        <is>
          <t>ทางพิเศษกาญจนาภิเษก(บางพลี-สุขสวัสดิ์)</t>
        </is>
      </c>
      <c r="H114" t="inlineStr">
        <is>
          <t>กทพ. ยอดผ่านด่านทั้งสาย ÷ 365</t>
        </is>
      </c>
      <c r="I114" t="n">
        <v>9</v>
      </c>
      <c r="J114" t="n">
        <v>0</v>
      </c>
      <c r="K114" t="n">
        <v>5</v>
      </c>
      <c r="L114" s="5" t="n">
        <v>0.5556</v>
      </c>
      <c r="M114" t="inlineStr">
        <is>
          <t>low</t>
        </is>
      </c>
      <c r="N114" s="6" t="n">
        <v>233037.0054794521</v>
      </c>
      <c r="O114" s="6" t="n">
        <v>233284.9890410959</v>
      </c>
      <c r="P114" s="6" t="n">
        <v>228365.901369863</v>
      </c>
      <c r="Q114" s="6">
        <f>AVERAGE(N114:P114)</f>
        <v/>
      </c>
      <c r="R114" t="n">
        <v>3</v>
      </c>
      <c r="S114" t="n">
        <v>1</v>
      </c>
      <c r="T114" s="7">
        <f>365*R114*Q114*S114/1000000</f>
        <v/>
      </c>
      <c r="U114" s="8">
        <f>I114/T114</f>
        <v/>
      </c>
      <c r="V114" s="8">
        <f>SUMIF($E$2:$E$599,E114,$I$2:$I$599)/SUMIF($E$2:$E$599,E114,$T$2:$T$599)</f>
        <v/>
      </c>
      <c r="W114" s="8">
        <f>V114+1.645*SQRT(V114/T114)+1/(2*T114)</f>
        <v/>
      </c>
      <c r="X114" s="5">
        <f>U114/W114</f>
        <v/>
      </c>
      <c r="Y114">
        <f>IF(U114&gt;W114,"high",IF(U114&gt;V114,"medium","low"))</f>
        <v/>
      </c>
      <c r="Z114">
        <f>CHOOSE(MAX(IF(M114="high",2,IF(M114="medium",1,0)),IF(Y114="high",2,IF(Y114="medium",1,0)))+1,"low","medium","high")</f>
        <v/>
      </c>
      <c r="AA114">
        <f>IF(IF(M114="high",2,IF(M114="medium",1,0))=IF(Y114="high",2,IF(Y114="medium",1,0)),"SI และ Rate เท่ากัน",IF(IF(M114="high",2,IF(M114="medium",1,0))&gt;IF(Y114="high",2,IF(Y114="medium",1,0)),"SI","Rate"))</f>
        <v/>
      </c>
    </row>
    <row r="115">
      <c r="A115" t="inlineStr">
        <is>
          <t>zone_75</t>
        </is>
      </c>
      <c r="B115" t="inlineStr">
        <is>
          <t>บางปะอิน - แขวงรามอินทรา</t>
        </is>
      </c>
      <c r="C115" t="inlineStr">
        <is>
          <t>ปทุมธานี</t>
        </is>
      </c>
      <c r="D115" t="inlineStr">
        <is>
          <t>9</t>
        </is>
      </c>
      <c r="E115" t="inlineStr">
        <is>
          <t>ทล.</t>
        </is>
      </c>
      <c r="F115" t="inlineStr">
        <is>
          <t>26.7–28.5</t>
        </is>
      </c>
      <c r="G115" t="inlineStr">
        <is>
          <t>station_id 347 (ทล.9 กม.1+500)</t>
        </is>
      </c>
      <c r="H115" t="inlineStr">
        <is>
          <t>ทล. สถานีตัวแทนตอนควบคุม</t>
        </is>
      </c>
      <c r="I115" t="n">
        <v>31</v>
      </c>
      <c r="J115" t="n">
        <v>1</v>
      </c>
      <c r="K115" t="n">
        <v>3</v>
      </c>
      <c r="L115" s="5" t="n">
        <v>0.129</v>
      </c>
      <c r="M115" t="inlineStr">
        <is>
          <t>low</t>
        </is>
      </c>
      <c r="N115" s="6" t="n">
        <v>146870</v>
      </c>
      <c r="O115" s="6" t="n">
        <v>165212</v>
      </c>
      <c r="P115" s="6" t="n">
        <v>160792</v>
      </c>
      <c r="Q115" s="6">
        <f>AVERAGE(N115:P115)</f>
        <v/>
      </c>
      <c r="R115" t="n">
        <v>3</v>
      </c>
      <c r="S115" t="n">
        <v>1</v>
      </c>
      <c r="T115" s="7">
        <f>365*R115*Q115*S115/1000000</f>
        <v/>
      </c>
      <c r="U115" s="8">
        <f>I115/T115</f>
        <v/>
      </c>
      <c r="V115" s="8">
        <f>SUMIF($E$2:$E$599,E115,$I$2:$I$599)/SUMIF($E$2:$E$599,E115,$T$2:$T$599)</f>
        <v/>
      </c>
      <c r="W115" s="8">
        <f>V115+1.645*SQRT(V115/T115)+1/(2*T115)</f>
        <v/>
      </c>
      <c r="X115" s="5">
        <f>U115/W115</f>
        <v/>
      </c>
      <c r="Y115">
        <f>IF(U115&gt;W115,"high",IF(U115&gt;V115,"medium","low"))</f>
        <v/>
      </c>
      <c r="Z115">
        <f>CHOOSE(MAX(IF(M115="high",2,IF(M115="medium",1,0)),IF(Y115="high",2,IF(Y115="medium",1,0)))+1,"low","medium","high")</f>
        <v/>
      </c>
      <c r="AA115">
        <f>IF(IF(M115="high",2,IF(M115="medium",1,0))=IF(Y115="high",2,IF(Y115="medium",1,0)),"SI และ Rate เท่ากัน",IF(IF(M115="high",2,IF(M115="medium",1,0))&gt;IF(Y115="high",2,IF(Y115="medium",1,0)),"SI","Rate"))</f>
        <v/>
      </c>
    </row>
    <row r="116">
      <c r="A116" t="inlineStr">
        <is>
          <t>zone_393</t>
        </is>
      </c>
      <c r="B116" t="inlineStr">
        <is>
          <t>บางปะอิน - แขวงรามอินทรา</t>
        </is>
      </c>
      <c r="C116" t="inlineStr">
        <is>
          <t>ปทุมธานี</t>
        </is>
      </c>
      <c r="D116" t="inlineStr">
        <is>
          <t>9</t>
        </is>
      </c>
      <c r="E116" t="inlineStr">
        <is>
          <t>ทล.</t>
        </is>
      </c>
      <c r="F116" t="inlineStr">
        <is>
          <t>14.9–16.4</t>
        </is>
      </c>
      <c r="G116" t="inlineStr">
        <is>
          <t>station_id 347 (ทล.9 กม.1+500)</t>
        </is>
      </c>
      <c r="H116" t="inlineStr">
        <is>
          <t>ทล. สถานีตัวแทนตอนควบคุม</t>
        </is>
      </c>
      <c r="I116" t="n">
        <v>31</v>
      </c>
      <c r="J116" t="n">
        <v>0</v>
      </c>
      <c r="K116" t="n">
        <v>16</v>
      </c>
      <c r="L116" s="5" t="n">
        <v>0.5161</v>
      </c>
      <c r="M116" t="inlineStr">
        <is>
          <t>low</t>
        </is>
      </c>
      <c r="N116" s="6" t="n">
        <v>146870</v>
      </c>
      <c r="O116" s="6" t="n">
        <v>165212</v>
      </c>
      <c r="P116" s="6" t="n">
        <v>160792</v>
      </c>
      <c r="Q116" s="6">
        <f>AVERAGE(N116:P116)</f>
        <v/>
      </c>
      <c r="R116" t="n">
        <v>3</v>
      </c>
      <c r="S116" t="n">
        <v>1</v>
      </c>
      <c r="T116" s="7">
        <f>365*R116*Q116*S116/1000000</f>
        <v/>
      </c>
      <c r="U116" s="8">
        <f>I116/T116</f>
        <v/>
      </c>
      <c r="V116" s="8">
        <f>SUMIF($E$2:$E$599,E116,$I$2:$I$599)/SUMIF($E$2:$E$599,E116,$T$2:$T$599)</f>
        <v/>
      </c>
      <c r="W116" s="8">
        <f>V116+1.645*SQRT(V116/T116)+1/(2*T116)</f>
        <v/>
      </c>
      <c r="X116" s="5">
        <f>U116/W116</f>
        <v/>
      </c>
      <c r="Y116">
        <f>IF(U116&gt;W116,"high",IF(U116&gt;V116,"medium","low"))</f>
        <v/>
      </c>
      <c r="Z116">
        <f>CHOOSE(MAX(IF(M116="high",2,IF(M116="medium",1,0)),IF(Y116="high",2,IF(Y116="medium",1,0)))+1,"low","medium","high")</f>
        <v/>
      </c>
      <c r="AA116">
        <f>IF(IF(M116="high",2,IF(M116="medium",1,0))=IF(Y116="high",2,IF(Y116="medium",1,0)),"SI และ Rate เท่ากัน",IF(IF(M116="high",2,IF(M116="medium",1,0))&gt;IF(Y116="high",2,IF(Y116="medium",1,0)),"SI","Rate"))</f>
        <v/>
      </c>
    </row>
    <row r="117">
      <c r="A117" t="inlineStr">
        <is>
          <t>zone_54</t>
        </is>
      </c>
      <c r="B117" t="inlineStr">
        <is>
          <t>แสมดำ - สะพานข้ามแม่น้ำท่าจีนฝั่งตะวันตก</t>
        </is>
      </c>
      <c r="C117" t="inlineStr">
        <is>
          <t>สมุทรสาคร</t>
        </is>
      </c>
      <c r="D117" t="inlineStr">
        <is>
          <t>35</t>
        </is>
      </c>
      <c r="E117" t="inlineStr">
        <is>
          <t>ทล.</t>
        </is>
      </c>
      <c r="F117" t="inlineStr">
        <is>
          <t>14.66–16</t>
        </is>
      </c>
      <c r="G117" t="inlineStr">
        <is>
          <t>station_id 57 (ทล.35 กม.24+550)</t>
        </is>
      </c>
      <c r="H117" t="inlineStr">
        <is>
          <t>ทล. สถานีตัวแทนตอนควบคุม</t>
        </is>
      </c>
      <c r="I117" t="n">
        <v>27</v>
      </c>
      <c r="J117" t="n">
        <v>1</v>
      </c>
      <c r="K117" t="n">
        <v>31</v>
      </c>
      <c r="L117" s="5" t="n">
        <v>1.1852</v>
      </c>
      <c r="M117" t="inlineStr">
        <is>
          <t>medium</t>
        </is>
      </c>
      <c r="N117" s="6" t="n">
        <v>129063</v>
      </c>
      <c r="O117" s="6" t="n">
        <v>149020</v>
      </c>
      <c r="P117" s="6" t="n">
        <v>143116</v>
      </c>
      <c r="Q117" s="6">
        <f>AVERAGE(N117:P117)</f>
        <v/>
      </c>
      <c r="R117" t="n">
        <v>3</v>
      </c>
      <c r="S117" t="n">
        <v>1</v>
      </c>
      <c r="T117" s="7">
        <f>365*R117*Q117*S117/1000000</f>
        <v/>
      </c>
      <c r="U117" s="8">
        <f>I117/T117</f>
        <v/>
      </c>
      <c r="V117" s="8">
        <f>SUMIF($E$2:$E$599,E117,$I$2:$I$599)/SUMIF($E$2:$E$599,E117,$T$2:$T$599)</f>
        <v/>
      </c>
      <c r="W117" s="8">
        <f>V117+1.645*SQRT(V117/T117)+1/(2*T117)</f>
        <v/>
      </c>
      <c r="X117" s="5">
        <f>U117/W117</f>
        <v/>
      </c>
      <c r="Y117">
        <f>IF(U117&gt;W117,"high",IF(U117&gt;V117,"medium","low"))</f>
        <v/>
      </c>
      <c r="Z117">
        <f>CHOOSE(MAX(IF(M117="high",2,IF(M117="medium",1,0)),IF(Y117="high",2,IF(Y117="medium",1,0)))+1,"low","medium","high")</f>
        <v/>
      </c>
      <c r="AA117">
        <f>IF(IF(M117="high",2,IF(M117="medium",1,0))=IF(Y117="high",2,IF(Y117="medium",1,0)),"SI และ Rate เท่ากัน",IF(IF(M117="high",2,IF(M117="medium",1,0))&gt;IF(Y117="high",2,IF(Y117="medium",1,0)),"SI","Rate"))</f>
        <v/>
      </c>
    </row>
    <row r="118">
      <c r="A118" t="inlineStr">
        <is>
          <t>zone_430</t>
        </is>
      </c>
      <c r="B118" t="inlineStr">
        <is>
          <t>บางปะอิน-แจ้งวัฒนะ</t>
        </is>
      </c>
      <c r="C118" t="inlineStr">
        <is>
          <t>ปทุมธานี</t>
        </is>
      </c>
      <c r="D118" t="inlineStr">
        <is>
          <t>E005S012|U</t>
        </is>
      </c>
      <c r="E118" t="inlineStr">
        <is>
          <t>กทพ.</t>
        </is>
      </c>
      <c r="F118" t="inlineStr">
        <is>
          <t>10.6–10.8</t>
        </is>
      </c>
      <c r="G118" t="inlineStr">
        <is>
          <t>อุดรรัถยา</t>
        </is>
      </c>
      <c r="H118" t="inlineStr">
        <is>
          <t>กทพ. ยอดผ่านด่านทั้งสาย ÷ 365</t>
        </is>
      </c>
      <c r="I118" t="n">
        <v>4</v>
      </c>
      <c r="J118" t="n">
        <v>0</v>
      </c>
      <c r="K118" t="n">
        <v>1</v>
      </c>
      <c r="L118" s="5" t="n">
        <v>0.25</v>
      </c>
      <c r="M118" t="inlineStr">
        <is>
          <t>low</t>
        </is>
      </c>
      <c r="N118" s="6" t="n">
        <v>77540.51780821919</v>
      </c>
      <c r="O118" s="6" t="n">
        <v>78380.57808219179</v>
      </c>
      <c r="P118" s="6" t="n">
        <v>76850.58356164384</v>
      </c>
      <c r="Q118" s="6">
        <f>AVERAGE(N118:P118)</f>
        <v/>
      </c>
      <c r="R118" t="n">
        <v>3</v>
      </c>
      <c r="S118" t="n">
        <v>1</v>
      </c>
      <c r="T118" s="7">
        <f>365*R118*Q118*S118/1000000</f>
        <v/>
      </c>
      <c r="U118" s="8">
        <f>I118/T118</f>
        <v/>
      </c>
      <c r="V118" s="8">
        <f>SUMIF($E$2:$E$599,E118,$I$2:$I$599)/SUMIF($E$2:$E$599,E118,$T$2:$T$599)</f>
        <v/>
      </c>
      <c r="W118" s="8">
        <f>V118+1.645*SQRT(V118/T118)+1/(2*T118)</f>
        <v/>
      </c>
      <c r="X118" s="5">
        <f>U118/W118</f>
        <v/>
      </c>
      <c r="Y118">
        <f>IF(U118&gt;W118,"high",IF(U118&gt;V118,"medium","low"))</f>
        <v/>
      </c>
      <c r="Z118">
        <f>CHOOSE(MAX(IF(M118="high",2,IF(M118="medium",1,0)),IF(Y118="high",2,IF(Y118="medium",1,0)))+1,"low","medium","high")</f>
        <v/>
      </c>
      <c r="AA118">
        <f>IF(IF(M118="high",2,IF(M118="medium",1,0))=IF(Y118="high",2,IF(Y118="medium",1,0)),"SI และ Rate เท่ากัน",IF(IF(M118="high",2,IF(M118="medium",1,0))&gt;IF(Y118="high",2,IF(Y118="medium",1,0)),"SI","Rate"))</f>
        <v/>
      </c>
    </row>
    <row r="119">
      <c r="A119" t="inlineStr">
        <is>
          <t>zone_217</t>
        </is>
      </c>
      <c r="B119" t="inlineStr">
        <is>
          <t>พญาไท-บางโคล่</t>
        </is>
      </c>
      <c r="C119" t="inlineStr">
        <is>
          <t>กรุงเทพมหานคร</t>
        </is>
      </c>
      <c r="D119" t="inlineStr">
        <is>
          <t>E002S007|I</t>
        </is>
      </c>
      <c r="E119" t="inlineStr">
        <is>
          <t>กทพ.</t>
        </is>
      </c>
      <c r="F119" t="inlineStr">
        <is>
          <t>5.6–6.2</t>
        </is>
      </c>
      <c r="G119" t="inlineStr">
        <is>
          <t>ศรีรัช</t>
        </is>
      </c>
      <c r="H119" t="inlineStr">
        <is>
          <t>กทพ. ยอดผ่านด่านทั้งสาย ÷ 365</t>
        </is>
      </c>
      <c r="I119" t="n">
        <v>18</v>
      </c>
      <c r="J119" t="n">
        <v>0</v>
      </c>
      <c r="K119" t="n">
        <v>6</v>
      </c>
      <c r="L119" s="5" t="n">
        <v>0.3333</v>
      </c>
      <c r="M119" t="inlineStr">
        <is>
          <t>low</t>
        </is>
      </c>
      <c r="N119" s="6" t="n">
        <v>613083.1506849315</v>
      </c>
      <c r="O119" s="6" t="n">
        <v>601127.7068493151</v>
      </c>
      <c r="P119" s="6" t="n">
        <v>607857.5287671232</v>
      </c>
      <c r="Q119" s="6">
        <f>AVERAGE(N119:P119)</f>
        <v/>
      </c>
      <c r="R119" t="n">
        <v>3</v>
      </c>
      <c r="S119" t="n">
        <v>1</v>
      </c>
      <c r="T119" s="7">
        <f>365*R119*Q119*S119/1000000</f>
        <v/>
      </c>
      <c r="U119" s="8">
        <f>I119/T119</f>
        <v/>
      </c>
      <c r="V119" s="8">
        <f>SUMIF($E$2:$E$599,E119,$I$2:$I$599)/SUMIF($E$2:$E$599,E119,$T$2:$T$599)</f>
        <v/>
      </c>
      <c r="W119" s="8">
        <f>V119+1.645*SQRT(V119/T119)+1/(2*T119)</f>
        <v/>
      </c>
      <c r="X119" s="5">
        <f>U119/W119</f>
        <v/>
      </c>
      <c r="Y119">
        <f>IF(U119&gt;W119,"high",IF(U119&gt;V119,"medium","low"))</f>
        <v/>
      </c>
      <c r="Z119">
        <f>CHOOSE(MAX(IF(M119="high",2,IF(M119="medium",1,0)),IF(Y119="high",2,IF(Y119="medium",1,0)))+1,"low","medium","high")</f>
        <v/>
      </c>
      <c r="AA119">
        <f>IF(IF(M119="high",2,IF(M119="medium",1,0))=IF(Y119="high",2,IF(Y119="medium",1,0)),"SI และ Rate เท่ากัน",IF(IF(M119="high",2,IF(M119="medium",1,0))&gt;IF(Y119="high",2,IF(Y119="medium",1,0)),"SI","Rate"))</f>
        <v/>
      </c>
    </row>
    <row r="120">
      <c r="A120" t="inlineStr">
        <is>
          <t>zone_278</t>
        </is>
      </c>
      <c r="B120" t="inlineStr">
        <is>
          <t>บางนา-ชลบุรี</t>
        </is>
      </c>
      <c r="C120" t="inlineStr">
        <is>
          <t>กรุงเทพมหานคร</t>
        </is>
      </c>
      <c r="D120" t="inlineStr">
        <is>
          <t>E004S009|U</t>
        </is>
      </c>
      <c r="E120" t="inlineStr">
        <is>
          <t>กทพ.</t>
        </is>
      </c>
      <c r="F120" t="inlineStr">
        <is>
          <t>4.5–4.6</t>
        </is>
      </c>
      <c r="G120" t="inlineStr">
        <is>
          <t>บูรพาวิถี</t>
        </is>
      </c>
      <c r="H120" t="inlineStr">
        <is>
          <t>กทพ. ยอดผ่านด่านทั้งสาย ÷ 365</t>
        </is>
      </c>
      <c r="I120" t="n">
        <v>6</v>
      </c>
      <c r="J120" t="n">
        <v>0</v>
      </c>
      <c r="K120" t="n">
        <v>6</v>
      </c>
      <c r="L120" s="5" t="n">
        <v>1</v>
      </c>
      <c r="M120" t="inlineStr">
        <is>
          <t>medium</t>
        </is>
      </c>
      <c r="N120" s="6" t="n">
        <v>143309.3260273973</v>
      </c>
      <c r="O120" s="6" t="n">
        <v>145474.1863013699</v>
      </c>
      <c r="P120" s="6" t="n">
        <v>147094.4356164384</v>
      </c>
      <c r="Q120" s="6">
        <f>AVERAGE(N120:P120)</f>
        <v/>
      </c>
      <c r="R120" t="n">
        <v>3</v>
      </c>
      <c r="S120" t="n">
        <v>1</v>
      </c>
      <c r="T120" s="7">
        <f>365*R120*Q120*S120/1000000</f>
        <v/>
      </c>
      <c r="U120" s="8">
        <f>I120/T120</f>
        <v/>
      </c>
      <c r="V120" s="8">
        <f>SUMIF($E$2:$E$599,E120,$I$2:$I$599)/SUMIF($E$2:$E$599,E120,$T$2:$T$599)</f>
        <v/>
      </c>
      <c r="W120" s="8">
        <f>V120+1.645*SQRT(V120/T120)+1/(2*T120)</f>
        <v/>
      </c>
      <c r="X120" s="5">
        <f>U120/W120</f>
        <v/>
      </c>
      <c r="Y120">
        <f>IF(U120&gt;W120,"high",IF(U120&gt;V120,"medium","low"))</f>
        <v/>
      </c>
      <c r="Z120">
        <f>CHOOSE(MAX(IF(M120="high",2,IF(M120="medium",1,0)),IF(Y120="high",2,IF(Y120="medium",1,0)))+1,"low","medium","high")</f>
        <v/>
      </c>
      <c r="AA120">
        <f>IF(IF(M120="high",2,IF(M120="medium",1,0))=IF(Y120="high",2,IF(Y120="medium",1,0)),"SI และ Rate เท่ากัน",IF(IF(M120="high",2,IF(M120="medium",1,0))&gt;IF(Y120="high",2,IF(Y120="medium",1,0)),"SI","Rate"))</f>
        <v/>
      </c>
    </row>
    <row r="121">
      <c r="A121" t="inlineStr">
        <is>
          <t>zone_537</t>
        </is>
      </c>
      <c r="B121" t="inlineStr">
        <is>
          <t>บางนา-ชลบุรี</t>
        </is>
      </c>
      <c r="C121" t="inlineStr">
        <is>
          <t>สมุทรปราการ</t>
        </is>
      </c>
      <c r="D121" t="inlineStr">
        <is>
          <t>E004S009|U</t>
        </is>
      </c>
      <c r="E121" t="inlineStr">
        <is>
          <t>กทพ.</t>
        </is>
      </c>
      <c r="F121" t="inlineStr">
        <is>
          <t>14.3–14.6</t>
        </is>
      </c>
      <c r="G121" t="inlineStr">
        <is>
          <t>บูรพาวิถี</t>
        </is>
      </c>
      <c r="H121" t="inlineStr">
        <is>
          <t>กทพ. ยอดผ่านด่านทั้งสาย ÷ 365</t>
        </is>
      </c>
      <c r="I121" t="n">
        <v>6</v>
      </c>
      <c r="J121" t="n">
        <v>0</v>
      </c>
      <c r="K121" t="n">
        <v>2</v>
      </c>
      <c r="L121" s="5" t="n">
        <v>0.3333</v>
      </c>
      <c r="M121" t="inlineStr">
        <is>
          <t>low</t>
        </is>
      </c>
      <c r="N121" s="6" t="n">
        <v>143309.3260273973</v>
      </c>
      <c r="O121" s="6" t="n">
        <v>145474.1863013699</v>
      </c>
      <c r="P121" s="6" t="n">
        <v>147094.4356164384</v>
      </c>
      <c r="Q121" s="6">
        <f>AVERAGE(N121:P121)</f>
        <v/>
      </c>
      <c r="R121" t="n">
        <v>3</v>
      </c>
      <c r="S121" t="n">
        <v>1</v>
      </c>
      <c r="T121" s="7">
        <f>365*R121*Q121*S121/1000000</f>
        <v/>
      </c>
      <c r="U121" s="8">
        <f>I121/T121</f>
        <v/>
      </c>
      <c r="V121" s="8">
        <f>SUMIF($E$2:$E$599,E121,$I$2:$I$599)/SUMIF($E$2:$E$599,E121,$T$2:$T$599)</f>
        <v/>
      </c>
      <c r="W121" s="8">
        <f>V121+1.645*SQRT(V121/T121)+1/(2*T121)</f>
        <v/>
      </c>
      <c r="X121" s="5">
        <f>U121/W121</f>
        <v/>
      </c>
      <c r="Y121">
        <f>IF(U121&gt;W121,"high",IF(U121&gt;V121,"medium","low"))</f>
        <v/>
      </c>
      <c r="Z121">
        <f>CHOOSE(MAX(IF(M121="high",2,IF(M121="medium",1,0)),IF(Y121="high",2,IF(Y121="medium",1,0)))+1,"low","medium","high")</f>
        <v/>
      </c>
      <c r="AA121">
        <f>IF(IF(M121="high",2,IF(M121="medium",1,0))=IF(Y121="high",2,IF(Y121="medium",1,0)),"SI และ Rate เท่ากัน",IF(IF(M121="high",2,IF(M121="medium",1,0))&gt;IF(Y121="high",2,IF(Y121="medium",1,0)),"SI","Rate"))</f>
        <v/>
      </c>
    </row>
    <row r="122">
      <c r="A122" t="inlineStr">
        <is>
          <t>zone_56</t>
        </is>
      </c>
      <c r="B122" t="inlineStr">
        <is>
          <t>ดาวคะนอง -  แสมดำ</t>
        </is>
      </c>
      <c r="C122" t="inlineStr">
        <is>
          <t>กรุงเทพมหานคร</t>
        </is>
      </c>
      <c r="D122" t="inlineStr">
        <is>
          <t>35</t>
        </is>
      </c>
      <c r="E122" t="inlineStr">
        <is>
          <t>ทล.</t>
        </is>
      </c>
      <c r="F122" t="inlineStr">
        <is>
          <t>5.4–6.6</t>
        </is>
      </c>
      <c r="G122" t="inlineStr">
        <is>
          <t>station_id 127 (ทล.35 กม.6+500)</t>
        </is>
      </c>
      <c r="H122" t="inlineStr">
        <is>
          <t>ทล. สถานีตัวแทนตอนควบคุม</t>
        </is>
      </c>
      <c r="I122" t="n">
        <v>45</v>
      </c>
      <c r="J122" t="n">
        <v>0</v>
      </c>
      <c r="K122" t="n">
        <v>31</v>
      </c>
      <c r="L122" s="5" t="n">
        <v>0.6889</v>
      </c>
      <c r="M122" t="inlineStr">
        <is>
          <t>low</t>
        </is>
      </c>
      <c r="N122" s="6" t="n">
        <v>256167</v>
      </c>
      <c r="O122" s="6" t="n">
        <v>260090</v>
      </c>
      <c r="P122" s="6" t="n">
        <v>259277</v>
      </c>
      <c r="Q122" s="6">
        <f>AVERAGE(N122:P122)</f>
        <v/>
      </c>
      <c r="R122" t="n">
        <v>3</v>
      </c>
      <c r="S122" t="n">
        <v>1</v>
      </c>
      <c r="T122" s="7">
        <f>365*R122*Q122*S122/1000000</f>
        <v/>
      </c>
      <c r="U122" s="8">
        <f>I122/T122</f>
        <v/>
      </c>
      <c r="V122" s="8">
        <f>SUMIF($E$2:$E$599,E122,$I$2:$I$599)/SUMIF($E$2:$E$599,E122,$T$2:$T$599)</f>
        <v/>
      </c>
      <c r="W122" s="8">
        <f>V122+1.645*SQRT(V122/T122)+1/(2*T122)</f>
        <v/>
      </c>
      <c r="X122" s="5">
        <f>U122/W122</f>
        <v/>
      </c>
      <c r="Y122">
        <f>IF(U122&gt;W122,"high",IF(U122&gt;V122,"medium","low"))</f>
        <v/>
      </c>
      <c r="Z122">
        <f>CHOOSE(MAX(IF(M122="high",2,IF(M122="medium",1,0)),IF(Y122="high",2,IF(Y122="medium",1,0)))+1,"low","medium","high")</f>
        <v/>
      </c>
      <c r="AA122">
        <f>IF(IF(M122="high",2,IF(M122="medium",1,0))=IF(Y122="high",2,IF(Y122="medium",1,0)),"SI และ Rate เท่ากัน",IF(IF(M122="high",2,IF(M122="medium",1,0))&gt;IF(Y122="high",2,IF(Y122="medium",1,0)),"SI","Rate"))</f>
        <v/>
      </c>
    </row>
    <row r="123">
      <c r="A123" t="inlineStr">
        <is>
          <t>zone_96</t>
        </is>
      </c>
      <c r="B123" t="inlineStr">
        <is>
          <t>บางปะอิน - แขวงรามอินทรา</t>
        </is>
      </c>
      <c r="C123" t="inlineStr">
        <is>
          <t>กรุงเทพมหานคร</t>
        </is>
      </c>
      <c r="D123" t="inlineStr">
        <is>
          <t>9</t>
        </is>
      </c>
      <c r="E123" t="inlineStr">
        <is>
          <t>ทล.</t>
        </is>
      </c>
      <c r="F123" t="inlineStr">
        <is>
          <t>34–35.2</t>
        </is>
      </c>
      <c r="G123" t="inlineStr">
        <is>
          <t>station_id 347 (ทล.9 กม.1+500)</t>
        </is>
      </c>
      <c r="H123" t="inlineStr">
        <is>
          <t>ทล. สถานีตัวแทนตอนควบคุม</t>
        </is>
      </c>
      <c r="I123" t="n">
        <v>28</v>
      </c>
      <c r="J123" t="n">
        <v>1</v>
      </c>
      <c r="K123" t="n">
        <v>21</v>
      </c>
      <c r="L123" s="5" t="n">
        <v>0.7857</v>
      </c>
      <c r="M123" t="inlineStr">
        <is>
          <t>low</t>
        </is>
      </c>
      <c r="N123" s="6" t="n">
        <v>146870</v>
      </c>
      <c r="O123" s="6" t="n">
        <v>165212</v>
      </c>
      <c r="P123" s="6" t="n">
        <v>160792</v>
      </c>
      <c r="Q123" s="6">
        <f>AVERAGE(N123:P123)</f>
        <v/>
      </c>
      <c r="R123" t="n">
        <v>3</v>
      </c>
      <c r="S123" t="n">
        <v>1</v>
      </c>
      <c r="T123" s="7">
        <f>365*R123*Q123*S123/1000000</f>
        <v/>
      </c>
      <c r="U123" s="8">
        <f>I123/T123</f>
        <v/>
      </c>
      <c r="V123" s="8">
        <f>SUMIF($E$2:$E$599,E123,$I$2:$I$599)/SUMIF($E$2:$E$599,E123,$T$2:$T$599)</f>
        <v/>
      </c>
      <c r="W123" s="8">
        <f>V123+1.645*SQRT(V123/T123)+1/(2*T123)</f>
        <v/>
      </c>
      <c r="X123" s="5">
        <f>U123/W123</f>
        <v/>
      </c>
      <c r="Y123">
        <f>IF(U123&gt;W123,"high",IF(U123&gt;V123,"medium","low"))</f>
        <v/>
      </c>
      <c r="Z123">
        <f>CHOOSE(MAX(IF(M123="high",2,IF(M123="medium",1,0)),IF(Y123="high",2,IF(Y123="medium",1,0)))+1,"low","medium","high")</f>
        <v/>
      </c>
      <c r="AA123">
        <f>IF(IF(M123="high",2,IF(M123="medium",1,0))=IF(Y123="high",2,IF(Y123="medium",1,0)),"SI และ Rate เท่ากัน",IF(IF(M123="high",2,IF(M123="medium",1,0))&gt;IF(Y123="high",2,IF(Y123="medium",1,0)),"SI","Rate"))</f>
        <v/>
      </c>
    </row>
    <row r="124">
      <c r="A124" t="inlineStr">
        <is>
          <t>zone_523</t>
        </is>
      </c>
      <c r="B124" t="inlineStr">
        <is>
          <t>ท้ายบ้าน - บางตำหรุ</t>
        </is>
      </c>
      <c r="C124" t="inlineStr">
        <is>
          <t>สมุทรปราการ</t>
        </is>
      </c>
      <c r="D124" t="inlineStr">
        <is>
          <t>3</t>
        </is>
      </c>
      <c r="E124" t="inlineStr">
        <is>
          <t>ทล.</t>
        </is>
      </c>
      <c r="F124" t="inlineStr">
        <is>
          <t>37.5–37.95</t>
        </is>
      </c>
      <c r="G124" t="inlineStr">
        <is>
          <t>station_id 137 (ทล.3 กม.40+800)</t>
        </is>
      </c>
      <c r="H124" t="inlineStr">
        <is>
          <t>ทล. สถานีตัวแทนตอนควบคุม</t>
        </is>
      </c>
      <c r="I124" t="n">
        <v>7</v>
      </c>
      <c r="J124" t="n">
        <v>0</v>
      </c>
      <c r="K124" t="n">
        <v>2</v>
      </c>
      <c r="L124" s="5" t="n">
        <v>0.2857</v>
      </c>
      <c r="M124" t="inlineStr">
        <is>
          <t>low</t>
        </is>
      </c>
      <c r="N124" s="6" t="n">
        <v>30051</v>
      </c>
      <c r="O124" s="6" t="n">
        <v>27433</v>
      </c>
      <c r="P124" s="6" t="n">
        <v>26664</v>
      </c>
      <c r="Q124" s="6">
        <f>AVERAGE(N124:P124)</f>
        <v/>
      </c>
      <c r="R124" t="n">
        <v>3</v>
      </c>
      <c r="S124" t="n">
        <v>1</v>
      </c>
      <c r="T124" s="7">
        <f>365*R124*Q124*S124/1000000</f>
        <v/>
      </c>
      <c r="U124" s="8">
        <f>I124/T124</f>
        <v/>
      </c>
      <c r="V124" s="8">
        <f>SUMIF($E$2:$E$599,E124,$I$2:$I$599)/SUMIF($E$2:$E$599,E124,$T$2:$T$599)</f>
        <v/>
      </c>
      <c r="W124" s="8">
        <f>V124+1.645*SQRT(V124/T124)+1/(2*T124)</f>
        <v/>
      </c>
      <c r="X124" s="5">
        <f>U124/W124</f>
        <v/>
      </c>
      <c r="Y124">
        <f>IF(U124&gt;W124,"high",IF(U124&gt;V124,"medium","low"))</f>
        <v/>
      </c>
      <c r="Z124">
        <f>CHOOSE(MAX(IF(M124="high",2,IF(M124="medium",1,0)),IF(Y124="high",2,IF(Y124="medium",1,0)))+1,"low","medium","high")</f>
        <v/>
      </c>
      <c r="AA124">
        <f>IF(IF(M124="high",2,IF(M124="medium",1,0))=IF(Y124="high",2,IF(Y124="medium",1,0)),"SI และ Rate เท่ากัน",IF(IF(M124="high",2,IF(M124="medium",1,0))&gt;IF(Y124="high",2,IF(Y124="medium",1,0)),"SI","Rate"))</f>
        <v/>
      </c>
    </row>
    <row r="125">
      <c r="A125" t="inlineStr">
        <is>
          <t>zone_587</t>
        </is>
      </c>
      <c r="B125" t="inlineStr">
        <is>
          <t>แสมดำ - สะพานข้ามแม่น้ำท่าจีนฝั่งตะวันตก</t>
        </is>
      </c>
      <c r="C125" t="inlineStr">
        <is>
          <t>สมุทรสาคร</t>
        </is>
      </c>
      <c r="D125" t="inlineStr">
        <is>
          <t>35</t>
        </is>
      </c>
      <c r="E125" t="inlineStr">
        <is>
          <t>ทล.</t>
        </is>
      </c>
      <c r="F125" t="inlineStr">
        <is>
          <t>7.5–22.3</t>
        </is>
      </c>
      <c r="G125" t="inlineStr">
        <is>
          <t>station_id 57 (ทล.35 กม.24+550)</t>
        </is>
      </c>
      <c r="H125" t="inlineStr">
        <is>
          <t>ทล. สถานีตัวแทนตอนควบคุม</t>
        </is>
      </c>
      <c r="I125" t="n">
        <v>25</v>
      </c>
      <c r="J125" t="n">
        <v>0</v>
      </c>
      <c r="K125" t="n">
        <v>5</v>
      </c>
      <c r="L125" s="5" t="n">
        <v>0.2</v>
      </c>
      <c r="M125" t="inlineStr">
        <is>
          <t>low</t>
        </is>
      </c>
      <c r="N125" s="6" t="n">
        <v>129063</v>
      </c>
      <c r="O125" s="6" t="n">
        <v>149020</v>
      </c>
      <c r="P125" s="6" t="n">
        <v>143116</v>
      </c>
      <c r="Q125" s="6">
        <f>AVERAGE(N125:P125)</f>
        <v/>
      </c>
      <c r="R125" t="n">
        <v>3</v>
      </c>
      <c r="S125" t="n">
        <v>1</v>
      </c>
      <c r="T125" s="7">
        <f>365*R125*Q125*S125/1000000</f>
        <v/>
      </c>
      <c r="U125" s="8">
        <f>I125/T125</f>
        <v/>
      </c>
      <c r="V125" s="8">
        <f>SUMIF($E$2:$E$599,E125,$I$2:$I$599)/SUMIF($E$2:$E$599,E125,$T$2:$T$599)</f>
        <v/>
      </c>
      <c r="W125" s="8">
        <f>V125+1.645*SQRT(V125/T125)+1/(2*T125)</f>
        <v/>
      </c>
      <c r="X125" s="5">
        <f>U125/W125</f>
        <v/>
      </c>
      <c r="Y125">
        <f>IF(U125&gt;W125,"high",IF(U125&gt;V125,"medium","low"))</f>
        <v/>
      </c>
      <c r="Z125">
        <f>CHOOSE(MAX(IF(M125="high",2,IF(M125="medium",1,0)),IF(Y125="high",2,IF(Y125="medium",1,0)))+1,"low","medium","high")</f>
        <v/>
      </c>
      <c r="AA125">
        <f>IF(IF(M125="high",2,IF(M125="medium",1,0))=IF(Y125="high",2,IF(Y125="medium",1,0)),"SI และ Rate เท่ากัน",IF(IF(M125="high",2,IF(M125="medium",1,0))&gt;IF(Y125="high",2,IF(Y125="medium",1,0)),"SI","Rate"))</f>
        <v/>
      </c>
    </row>
    <row r="126">
      <c r="A126" t="inlineStr">
        <is>
          <t>zone_65</t>
        </is>
      </c>
      <c r="B126" t="inlineStr">
        <is>
          <t>ดาวคะนอง -  แสมดำ</t>
        </is>
      </c>
      <c r="C126" t="inlineStr">
        <is>
          <t>กรุงเทพมหานคร</t>
        </is>
      </c>
      <c r="D126" t="inlineStr">
        <is>
          <t>35</t>
        </is>
      </c>
      <c r="E126" t="inlineStr">
        <is>
          <t>ทล.</t>
        </is>
      </c>
      <c r="F126" t="inlineStr">
        <is>
          <t>6.85–8.7</t>
        </is>
      </c>
      <c r="G126" t="inlineStr">
        <is>
          <t>station_id 127 (ทล.35 กม.6+500)</t>
        </is>
      </c>
      <c r="H126" t="inlineStr">
        <is>
          <t>ทล. สถานีตัวแทนตอนควบคุม</t>
        </is>
      </c>
      <c r="I126" t="n">
        <v>42</v>
      </c>
      <c r="J126" t="n">
        <v>0</v>
      </c>
      <c r="K126" t="n">
        <v>30</v>
      </c>
      <c r="L126" s="5" t="n">
        <v>0.7143</v>
      </c>
      <c r="M126" t="inlineStr">
        <is>
          <t>low</t>
        </is>
      </c>
      <c r="N126" s="6" t="n">
        <v>256167</v>
      </c>
      <c r="O126" s="6" t="n">
        <v>260090</v>
      </c>
      <c r="P126" s="6" t="n">
        <v>259277</v>
      </c>
      <c r="Q126" s="6">
        <f>AVERAGE(N126:P126)</f>
        <v/>
      </c>
      <c r="R126" t="n">
        <v>3</v>
      </c>
      <c r="S126" t="n">
        <v>1</v>
      </c>
      <c r="T126" s="7">
        <f>365*R126*Q126*S126/1000000</f>
        <v/>
      </c>
      <c r="U126" s="8">
        <f>I126/T126</f>
        <v/>
      </c>
      <c r="V126" s="8">
        <f>SUMIF($E$2:$E$599,E126,$I$2:$I$599)/SUMIF($E$2:$E$599,E126,$T$2:$T$599)</f>
        <v/>
      </c>
      <c r="W126" s="8">
        <f>V126+1.645*SQRT(V126/T126)+1/(2*T126)</f>
        <v/>
      </c>
      <c r="X126" s="5">
        <f>U126/W126</f>
        <v/>
      </c>
      <c r="Y126">
        <f>IF(U126&gt;W126,"high",IF(U126&gt;V126,"medium","low"))</f>
        <v/>
      </c>
      <c r="Z126">
        <f>CHOOSE(MAX(IF(M126="high",2,IF(M126="medium",1,0)),IF(Y126="high",2,IF(Y126="medium",1,0)))+1,"low","medium","high")</f>
        <v/>
      </c>
      <c r="AA126">
        <f>IF(IF(M126="high",2,IF(M126="medium",1,0))=IF(Y126="high",2,IF(Y126="medium",1,0)),"SI และ Rate เท่ากัน",IF(IF(M126="high",2,IF(M126="medium",1,0))&gt;IF(Y126="high",2,IF(Y126="medium",1,0)),"SI","Rate"))</f>
        <v/>
      </c>
    </row>
    <row r="127">
      <c r="A127" t="inlineStr">
        <is>
          <t>zone_576</t>
        </is>
      </c>
      <c r="B127" t="inlineStr">
        <is>
          <t>สะพานข้ามแม่น้ำท่าจีนฝั่งตะวันตก - นาโคก</t>
        </is>
      </c>
      <c r="C127" t="inlineStr">
        <is>
          <t>สมุทรสาคร</t>
        </is>
      </c>
      <c r="D127" t="inlineStr">
        <is>
          <t>35</t>
        </is>
      </c>
      <c r="E127" t="inlineStr">
        <is>
          <t>ทล.</t>
        </is>
      </c>
      <c r="F127" t="inlineStr">
        <is>
          <t>31.2–31.9</t>
        </is>
      </c>
      <c r="G127" t="inlineStr">
        <is>
          <t>station_id 59 (ทล.35 กม.30+700)</t>
        </is>
      </c>
      <c r="H127" t="inlineStr">
        <is>
          <t>ทล. สถานีตัวแทนตอนควบคุม</t>
        </is>
      </c>
      <c r="I127" t="n">
        <v>25</v>
      </c>
      <c r="J127" t="n">
        <v>0</v>
      </c>
      <c r="K127" t="n">
        <v>2</v>
      </c>
      <c r="L127" s="5" t="n">
        <v>0.08</v>
      </c>
      <c r="M127" t="inlineStr">
        <is>
          <t>low</t>
        </is>
      </c>
      <c r="N127" s="6" t="n">
        <v>134343</v>
      </c>
      <c r="O127" s="6" t="n">
        <v>149180</v>
      </c>
      <c r="P127" s="6" t="n">
        <v>149785</v>
      </c>
      <c r="Q127" s="6">
        <f>AVERAGE(N127:P127)</f>
        <v/>
      </c>
      <c r="R127" t="n">
        <v>3</v>
      </c>
      <c r="S127" t="n">
        <v>1</v>
      </c>
      <c r="T127" s="7">
        <f>365*R127*Q127*S127/1000000</f>
        <v/>
      </c>
      <c r="U127" s="8">
        <f>I127/T127</f>
        <v/>
      </c>
      <c r="V127" s="8">
        <f>SUMIF($E$2:$E$599,E127,$I$2:$I$599)/SUMIF($E$2:$E$599,E127,$T$2:$T$599)</f>
        <v/>
      </c>
      <c r="W127" s="8">
        <f>V127+1.645*SQRT(V127/T127)+1/(2*T127)</f>
        <v/>
      </c>
      <c r="X127" s="5">
        <f>U127/W127</f>
        <v/>
      </c>
      <c r="Y127">
        <f>IF(U127&gt;W127,"high",IF(U127&gt;V127,"medium","low"))</f>
        <v/>
      </c>
      <c r="Z127">
        <f>CHOOSE(MAX(IF(M127="high",2,IF(M127="medium",1,0)),IF(Y127="high",2,IF(Y127="medium",1,0)))+1,"low","medium","high")</f>
        <v/>
      </c>
      <c r="AA127">
        <f>IF(IF(M127="high",2,IF(M127="medium",1,0))=IF(Y127="high",2,IF(Y127="medium",1,0)),"SI และ Rate เท่ากัน",IF(IF(M127="high",2,IF(M127="medium",1,0))&gt;IF(Y127="high",2,IF(Y127="medium",1,0)),"SI","Rate"))</f>
        <v/>
      </c>
    </row>
    <row r="128">
      <c r="A128" t="inlineStr">
        <is>
          <t>zone_87</t>
        </is>
      </c>
      <c r="B128" t="inlineStr">
        <is>
          <t>ถนนศรีนครินทร - แขวงคลองสองต้นนุ่น</t>
        </is>
      </c>
      <c r="C128" t="inlineStr">
        <is>
          <t>กรุงเทพมหานคร</t>
        </is>
      </c>
      <c r="D128" t="inlineStr">
        <is>
          <t>7</t>
        </is>
      </c>
      <c r="E128" t="inlineStr">
        <is>
          <t>ทล.</t>
        </is>
      </c>
      <c r="F128" t="inlineStr">
        <is>
          <t>0.1–1.2</t>
        </is>
      </c>
      <c r="G128" t="inlineStr">
        <is>
          <t>station_id 345 (ทล.7 กม.17+000)</t>
        </is>
      </c>
      <c r="H128" t="inlineStr">
        <is>
          <t>ทล. สถานีตัวแทนตอนควบคุม</t>
        </is>
      </c>
      <c r="I128" t="n">
        <v>39</v>
      </c>
      <c r="J128" t="n">
        <v>1</v>
      </c>
      <c r="K128" t="n">
        <v>14</v>
      </c>
      <c r="L128" s="5" t="n">
        <v>0.3846</v>
      </c>
      <c r="M128" t="inlineStr">
        <is>
          <t>low</t>
        </is>
      </c>
      <c r="N128" s="6" t="n">
        <v>220901</v>
      </c>
      <c r="O128" s="6" t="n">
        <v>242192</v>
      </c>
      <c r="P128" s="6" t="n">
        <v>262343</v>
      </c>
      <c r="Q128" s="6">
        <f>AVERAGE(N128:P128)</f>
        <v/>
      </c>
      <c r="R128" t="n">
        <v>3</v>
      </c>
      <c r="S128" t="n">
        <v>1</v>
      </c>
      <c r="T128" s="7">
        <f>365*R128*Q128*S128/1000000</f>
        <v/>
      </c>
      <c r="U128" s="8">
        <f>I128/T128</f>
        <v/>
      </c>
      <c r="V128" s="8">
        <f>SUMIF($E$2:$E$599,E128,$I$2:$I$599)/SUMIF($E$2:$E$599,E128,$T$2:$T$599)</f>
        <v/>
      </c>
      <c r="W128" s="8">
        <f>V128+1.645*SQRT(V128/T128)+1/(2*T128)</f>
        <v/>
      </c>
      <c r="X128" s="5">
        <f>U128/W128</f>
        <v/>
      </c>
      <c r="Y128">
        <f>IF(U128&gt;W128,"high",IF(U128&gt;V128,"medium","low"))</f>
        <v/>
      </c>
      <c r="Z128">
        <f>CHOOSE(MAX(IF(M128="high",2,IF(M128="medium",1,0)),IF(Y128="high",2,IF(Y128="medium",1,0)))+1,"low","medium","high")</f>
        <v/>
      </c>
      <c r="AA128">
        <f>IF(IF(M128="high",2,IF(M128="medium",1,0))=IF(Y128="high",2,IF(Y128="medium",1,0)),"SI และ Rate เท่ากัน",IF(IF(M128="high",2,IF(M128="medium",1,0))&gt;IF(Y128="high",2,IF(Y128="medium",1,0)),"SI","Rate"))</f>
        <v/>
      </c>
    </row>
    <row r="129">
      <c r="A129" t="inlineStr">
        <is>
          <t>zone_7</t>
        </is>
      </c>
      <c r="B129" t="inlineStr">
        <is>
          <t>อรุณอมรินทร์ - พุทธมณฑลสาย 4</t>
        </is>
      </c>
      <c r="C129" t="inlineStr">
        <is>
          <t>กรุงเทพมหานคร</t>
        </is>
      </c>
      <c r="D129" t="inlineStr">
        <is>
          <t>338</t>
        </is>
      </c>
      <c r="E129" t="inlineStr">
        <is>
          <t>ทล.</t>
        </is>
      </c>
      <c r="F129" t="inlineStr">
        <is>
          <t>0.05–1.23</t>
        </is>
      </c>
      <c r="G129" t="inlineStr">
        <is>
          <t>station_id 125 (ทล.338 กม.9+281)</t>
        </is>
      </c>
      <c r="H129" t="inlineStr">
        <is>
          <t>ทล. สถานีตัวแทนตอนควบคุม</t>
        </is>
      </c>
      <c r="I129" t="n">
        <v>25</v>
      </c>
      <c r="J129" t="n">
        <v>1</v>
      </c>
      <c r="K129" t="n">
        <v>15</v>
      </c>
      <c r="L129" s="5" t="n">
        <v>0.64</v>
      </c>
      <c r="M129" t="inlineStr">
        <is>
          <t>low</t>
        </is>
      </c>
      <c r="N129" s="6" t="n">
        <v>143761</v>
      </c>
      <c r="O129" s="6" t="n">
        <v>146988</v>
      </c>
      <c r="P129" s="6" t="n">
        <v>145895</v>
      </c>
      <c r="Q129" s="6">
        <f>AVERAGE(N129:P129)</f>
        <v/>
      </c>
      <c r="R129" t="n">
        <v>3</v>
      </c>
      <c r="S129" t="n">
        <v>1</v>
      </c>
      <c r="T129" s="7">
        <f>365*R129*Q129*S129/1000000</f>
        <v/>
      </c>
      <c r="U129" s="8">
        <f>I129/T129</f>
        <v/>
      </c>
      <c r="V129" s="8">
        <f>SUMIF($E$2:$E$599,E129,$I$2:$I$599)/SUMIF($E$2:$E$599,E129,$T$2:$T$599)</f>
        <v/>
      </c>
      <c r="W129" s="8">
        <f>V129+1.645*SQRT(V129/T129)+1/(2*T129)</f>
        <v/>
      </c>
      <c r="X129" s="5">
        <f>U129/W129</f>
        <v/>
      </c>
      <c r="Y129">
        <f>IF(U129&gt;W129,"high",IF(U129&gt;V129,"medium","low"))</f>
        <v/>
      </c>
      <c r="Z129">
        <f>CHOOSE(MAX(IF(M129="high",2,IF(M129="medium",1,0)),IF(Y129="high",2,IF(Y129="medium",1,0)))+1,"low","medium","high")</f>
        <v/>
      </c>
      <c r="AA129">
        <f>IF(IF(M129="high",2,IF(M129="medium",1,0))=IF(Y129="high",2,IF(Y129="medium",1,0)),"SI และ Rate เท่ากัน",IF(IF(M129="high",2,IF(M129="medium",1,0))&gt;IF(Y129="high",2,IF(Y129="medium",1,0)),"SI","Rate"))</f>
        <v/>
      </c>
    </row>
    <row r="130">
      <c r="A130" t="inlineStr">
        <is>
          <t>zone_218</t>
        </is>
      </c>
      <c r="B130" t="inlineStr">
        <is>
          <t>แจ้งวัฒนะ-พญาไท</t>
        </is>
      </c>
      <c r="C130" t="inlineStr">
        <is>
          <t>กรุงเทพมหานคร</t>
        </is>
      </c>
      <c r="D130" t="inlineStr">
        <is>
          <t>E002S014|I</t>
        </is>
      </c>
      <c r="E130" t="inlineStr">
        <is>
          <t>กทพ.</t>
        </is>
      </c>
      <c r="F130" t="inlineStr">
        <is>
          <t>13.2–14.2</t>
        </is>
      </c>
      <c r="G130" t="inlineStr">
        <is>
          <t>ศรีรัช</t>
        </is>
      </c>
      <c r="H130" t="inlineStr">
        <is>
          <t>กทพ. ยอดผ่านด่านทั้งสาย ÷ 365</t>
        </is>
      </c>
      <c r="I130" t="n">
        <v>16</v>
      </c>
      <c r="J130" t="n">
        <v>0</v>
      </c>
      <c r="K130" t="n">
        <v>3</v>
      </c>
      <c r="L130" s="5" t="n">
        <v>0.1875</v>
      </c>
      <c r="M130" t="inlineStr">
        <is>
          <t>low</t>
        </is>
      </c>
      <c r="N130" s="6" t="n">
        <v>613083.1506849315</v>
      </c>
      <c r="O130" s="6" t="n">
        <v>601127.7068493151</v>
      </c>
      <c r="P130" s="6" t="n">
        <v>607857.5287671232</v>
      </c>
      <c r="Q130" s="6">
        <f>AVERAGE(N130:P130)</f>
        <v/>
      </c>
      <c r="R130" t="n">
        <v>3</v>
      </c>
      <c r="S130" t="n">
        <v>1</v>
      </c>
      <c r="T130" s="7">
        <f>365*R130*Q130*S130/1000000</f>
        <v/>
      </c>
      <c r="U130" s="8">
        <f>I130/T130</f>
        <v/>
      </c>
      <c r="V130" s="8">
        <f>SUMIF($E$2:$E$599,E130,$I$2:$I$599)/SUMIF($E$2:$E$599,E130,$T$2:$T$599)</f>
        <v/>
      </c>
      <c r="W130" s="8">
        <f>V130+1.645*SQRT(V130/T130)+1/(2*T130)</f>
        <v/>
      </c>
      <c r="X130" s="5">
        <f>U130/W130</f>
        <v/>
      </c>
      <c r="Y130">
        <f>IF(U130&gt;W130,"high",IF(U130&gt;V130,"medium","low"))</f>
        <v/>
      </c>
      <c r="Z130">
        <f>CHOOSE(MAX(IF(M130="high",2,IF(M130="medium",1,0)),IF(Y130="high",2,IF(Y130="medium",1,0)))+1,"low","medium","high")</f>
        <v/>
      </c>
      <c r="AA130">
        <f>IF(IF(M130="high",2,IF(M130="medium",1,0))=IF(Y130="high",2,IF(Y130="medium",1,0)),"SI และ Rate เท่ากัน",IF(IF(M130="high",2,IF(M130="medium",1,0))&gt;IF(Y130="high",2,IF(Y130="medium",1,0)),"SI","Rate"))</f>
        <v/>
      </c>
    </row>
    <row r="131">
      <c r="A131" t="inlineStr">
        <is>
          <t>zone_230</t>
        </is>
      </c>
      <c r="B131" t="inlineStr">
        <is>
          <t>แจ้งวัฒนะ-พญาไท</t>
        </is>
      </c>
      <c r="C131" t="inlineStr">
        <is>
          <t>กรุงเทพมหานคร</t>
        </is>
      </c>
      <c r="D131" t="inlineStr">
        <is>
          <t>E002S014|I</t>
        </is>
      </c>
      <c r="E131" t="inlineStr">
        <is>
          <t>กทพ.</t>
        </is>
      </c>
      <c r="F131" t="inlineStr">
        <is>
          <t>10–10.5</t>
        </is>
      </c>
      <c r="G131" t="inlineStr">
        <is>
          <t>ศรีรัช</t>
        </is>
      </c>
      <c r="H131" t="inlineStr">
        <is>
          <t>กทพ. ยอดผ่านด่านทั้งสาย ÷ 365</t>
        </is>
      </c>
      <c r="I131" t="n">
        <v>16</v>
      </c>
      <c r="J131" t="n">
        <v>0</v>
      </c>
      <c r="K131" t="n">
        <v>4</v>
      </c>
      <c r="L131" s="5" t="n">
        <v>0.25</v>
      </c>
      <c r="M131" t="inlineStr">
        <is>
          <t>low</t>
        </is>
      </c>
      <c r="N131" s="6" t="n">
        <v>613083.1506849315</v>
      </c>
      <c r="O131" s="6" t="n">
        <v>601127.7068493151</v>
      </c>
      <c r="P131" s="6" t="n">
        <v>607857.5287671232</v>
      </c>
      <c r="Q131" s="6">
        <f>AVERAGE(N131:P131)</f>
        <v/>
      </c>
      <c r="R131" t="n">
        <v>3</v>
      </c>
      <c r="S131" t="n">
        <v>1</v>
      </c>
      <c r="T131" s="7">
        <f>365*R131*Q131*S131/1000000</f>
        <v/>
      </c>
      <c r="U131" s="8">
        <f>I131/T131</f>
        <v/>
      </c>
      <c r="V131" s="8">
        <f>SUMIF($E$2:$E$599,E131,$I$2:$I$599)/SUMIF($E$2:$E$599,E131,$T$2:$T$599)</f>
        <v/>
      </c>
      <c r="W131" s="8">
        <f>V131+1.645*SQRT(V131/T131)+1/(2*T131)</f>
        <v/>
      </c>
      <c r="X131" s="5">
        <f>U131/W131</f>
        <v/>
      </c>
      <c r="Y131">
        <f>IF(U131&gt;W131,"high",IF(U131&gt;V131,"medium","low"))</f>
        <v/>
      </c>
      <c r="Z131">
        <f>CHOOSE(MAX(IF(M131="high",2,IF(M131="medium",1,0)),IF(Y131="high",2,IF(Y131="medium",1,0)))+1,"low","medium","high")</f>
        <v/>
      </c>
      <c r="AA131">
        <f>IF(IF(M131="high",2,IF(M131="medium",1,0))=IF(Y131="high",2,IF(Y131="medium",1,0)),"SI และ Rate เท่ากัน",IF(IF(M131="high",2,IF(M131="medium",1,0))&gt;IF(Y131="high",2,IF(Y131="medium",1,0)),"SI","Rate"))</f>
        <v/>
      </c>
    </row>
    <row r="132">
      <c r="A132" t="inlineStr">
        <is>
          <t>zone_124</t>
        </is>
      </c>
      <c r="B132" t="inlineStr">
        <is>
          <t>มหาวิทยาลัยเกษตรศาสตร์ - คันนายาว</t>
        </is>
      </c>
      <c r="C132" t="inlineStr">
        <is>
          <t>กรุงเทพมหานคร</t>
        </is>
      </c>
      <c r="D132" t="inlineStr">
        <is>
          <t>351</t>
        </is>
      </c>
      <c r="E132" t="inlineStr">
        <is>
          <t>ทล.</t>
        </is>
      </c>
      <c r="F132" t="inlineStr">
        <is>
          <t>0.045–0.15</t>
        </is>
      </c>
      <c r="G132" t="inlineStr">
        <is>
          <t>station_id 8 (ทล.351 กม.4+700)</t>
        </is>
      </c>
      <c r="H132" t="inlineStr">
        <is>
          <t>ทล. สถานีตัวแทนตอนควบคุม</t>
        </is>
      </c>
      <c r="I132" t="n">
        <v>15</v>
      </c>
      <c r="J132" t="n">
        <v>0</v>
      </c>
      <c r="K132" t="n">
        <v>9</v>
      </c>
      <c r="L132" s="5" t="n">
        <v>0.6</v>
      </c>
      <c r="M132" t="inlineStr">
        <is>
          <t>low</t>
        </is>
      </c>
      <c r="N132" s="6" t="n">
        <v>96826</v>
      </c>
      <c r="O132" s="6" t="n">
        <v>76671</v>
      </c>
      <c r="P132" s="6" t="n">
        <v>73453</v>
      </c>
      <c r="Q132" s="6">
        <f>AVERAGE(N132:P132)</f>
        <v/>
      </c>
      <c r="R132" t="n">
        <v>3</v>
      </c>
      <c r="S132" t="n">
        <v>1</v>
      </c>
      <c r="T132" s="7">
        <f>365*R132*Q132*S132/1000000</f>
        <v/>
      </c>
      <c r="U132" s="8">
        <f>I132/T132</f>
        <v/>
      </c>
      <c r="V132" s="8">
        <f>SUMIF($E$2:$E$599,E132,$I$2:$I$599)/SUMIF($E$2:$E$599,E132,$T$2:$T$599)</f>
        <v/>
      </c>
      <c r="W132" s="8">
        <f>V132+1.645*SQRT(V132/T132)+1/(2*T132)</f>
        <v/>
      </c>
      <c r="X132" s="5">
        <f>U132/W132</f>
        <v/>
      </c>
      <c r="Y132">
        <f>IF(U132&gt;W132,"high",IF(U132&gt;V132,"medium","low"))</f>
        <v/>
      </c>
      <c r="Z132">
        <f>CHOOSE(MAX(IF(M132="high",2,IF(M132="medium",1,0)),IF(Y132="high",2,IF(Y132="medium",1,0)))+1,"low","medium","high")</f>
        <v/>
      </c>
      <c r="AA132">
        <f>IF(IF(M132="high",2,IF(M132="medium",1,0))=IF(Y132="high",2,IF(Y132="medium",1,0)),"SI และ Rate เท่ากัน",IF(IF(M132="high",2,IF(M132="medium",1,0))&gt;IF(Y132="high",2,IF(Y132="medium",1,0)),"SI","Rate"))</f>
        <v/>
      </c>
    </row>
    <row r="133">
      <c r="A133" t="inlineStr">
        <is>
          <t>zone_308</t>
        </is>
      </c>
      <c r="B133" t="inlineStr">
        <is>
          <t>หมอชิต-กาญจนาฯ</t>
        </is>
      </c>
      <c r="C133" t="inlineStr">
        <is>
          <t>กรุงเทพมหานคร</t>
        </is>
      </c>
      <c r="D133" t="inlineStr">
        <is>
          <t>E002S018|I</t>
        </is>
      </c>
      <c r="E133" t="inlineStr">
        <is>
          <t>กทพ.</t>
        </is>
      </c>
      <c r="F133" t="inlineStr">
        <is>
          <t>2.9–3.1</t>
        </is>
      </c>
      <c r="G133" t="inlineStr">
        <is>
          <t>ศรีรัช-วงแหวนรอบนอกกรุงเทพมหานคร</t>
        </is>
      </c>
      <c r="H133" t="inlineStr">
        <is>
          <t>กทพ. ยอดผ่านด่านทั้งสาย ÷ 365</t>
        </is>
      </c>
      <c r="I133" t="n">
        <v>3</v>
      </c>
      <c r="J133" t="n">
        <v>0</v>
      </c>
      <c r="K133" t="n">
        <v>1</v>
      </c>
      <c r="L133" s="5" t="n">
        <v>0.3333</v>
      </c>
      <c r="M133" t="inlineStr">
        <is>
          <t>low</t>
        </is>
      </c>
      <c r="N133" s="6" t="n">
        <v>61181.64109589041</v>
      </c>
      <c r="O133" s="6" t="n">
        <v>63324.26301369863</v>
      </c>
      <c r="P133" s="6" t="n">
        <v>62546.53424657534</v>
      </c>
      <c r="Q133" s="6">
        <f>AVERAGE(N133:P133)</f>
        <v/>
      </c>
      <c r="R133" t="n">
        <v>3</v>
      </c>
      <c r="S133" t="n">
        <v>1</v>
      </c>
      <c r="T133" s="7">
        <f>365*R133*Q133*S133/1000000</f>
        <v/>
      </c>
      <c r="U133" s="8">
        <f>I133/T133</f>
        <v/>
      </c>
      <c r="V133" s="8">
        <f>SUMIF($E$2:$E$599,E133,$I$2:$I$599)/SUMIF($E$2:$E$599,E133,$T$2:$T$599)</f>
        <v/>
      </c>
      <c r="W133" s="8">
        <f>V133+1.645*SQRT(V133/T133)+1/(2*T133)</f>
        <v/>
      </c>
      <c r="X133" s="5">
        <f>U133/W133</f>
        <v/>
      </c>
      <c r="Y133">
        <f>IF(U133&gt;W133,"high",IF(U133&gt;V133,"medium","low"))</f>
        <v/>
      </c>
      <c r="Z133">
        <f>CHOOSE(MAX(IF(M133="high",2,IF(M133="medium",1,0)),IF(Y133="high",2,IF(Y133="medium",1,0)))+1,"low","medium","high")</f>
        <v/>
      </c>
      <c r="AA133">
        <f>IF(IF(M133="high",2,IF(M133="medium",1,0))=IF(Y133="high",2,IF(Y133="medium",1,0)),"SI และ Rate เท่ากัน",IF(IF(M133="high",2,IF(M133="medium",1,0))&gt;IF(Y133="high",2,IF(Y133="medium",1,0)),"SI","Rate"))</f>
        <v/>
      </c>
    </row>
    <row r="134">
      <c r="A134" t="inlineStr">
        <is>
          <t>zone_216</t>
        </is>
      </c>
      <c r="B134" t="inlineStr">
        <is>
          <t>ดาวคะนอง-ท่าเรือ</t>
        </is>
      </c>
      <c r="C134" t="inlineStr">
        <is>
          <t>กรุงเทพมหานคร</t>
        </is>
      </c>
      <c r="D134" t="inlineStr">
        <is>
          <t>E001S003|I</t>
        </is>
      </c>
      <c r="E134" t="inlineStr">
        <is>
          <t>กทพ.</t>
        </is>
      </c>
      <c r="F134" t="inlineStr">
        <is>
          <t>26.2–26.8</t>
        </is>
      </c>
      <c r="G134" t="inlineStr">
        <is>
          <t>เฉลิมมหานคร</t>
        </is>
      </c>
      <c r="H134" t="inlineStr">
        <is>
          <t>กทพ. ยอดผ่านด่านทั้งสาย ÷ 365</t>
        </is>
      </c>
      <c r="I134" t="n">
        <v>9</v>
      </c>
      <c r="J134" t="n">
        <v>0</v>
      </c>
      <c r="K134" t="n">
        <v>17</v>
      </c>
      <c r="L134" s="5" t="n">
        <v>1.8889</v>
      </c>
      <c r="M134" t="inlineStr">
        <is>
          <t>medium</t>
        </is>
      </c>
      <c r="N134" s="6" t="n">
        <v>307323.093150685</v>
      </c>
      <c r="O134" s="6" t="n">
        <v>305804.9945205479</v>
      </c>
      <c r="P134" s="6" t="n">
        <v>304213.8739726027</v>
      </c>
      <c r="Q134" s="6">
        <f>AVERAGE(N134:P134)</f>
        <v/>
      </c>
      <c r="R134" t="n">
        <v>3</v>
      </c>
      <c r="S134" t="n">
        <v>1</v>
      </c>
      <c r="T134" s="7">
        <f>365*R134*Q134*S134/1000000</f>
        <v/>
      </c>
      <c r="U134" s="8">
        <f>I134/T134</f>
        <v/>
      </c>
      <c r="V134" s="8">
        <f>SUMIF($E$2:$E$599,E134,$I$2:$I$599)/SUMIF($E$2:$E$599,E134,$T$2:$T$599)</f>
        <v/>
      </c>
      <c r="W134" s="8">
        <f>V134+1.645*SQRT(V134/T134)+1/(2*T134)</f>
        <v/>
      </c>
      <c r="X134" s="5">
        <f>U134/W134</f>
        <v/>
      </c>
      <c r="Y134">
        <f>IF(U134&gt;W134,"high",IF(U134&gt;V134,"medium","low"))</f>
        <v/>
      </c>
      <c r="Z134">
        <f>CHOOSE(MAX(IF(M134="high",2,IF(M134="medium",1,0)),IF(Y134="high",2,IF(Y134="medium",1,0)))+1,"low","medium","high")</f>
        <v/>
      </c>
      <c r="AA134">
        <f>IF(IF(M134="high",2,IF(M134="medium",1,0))=IF(Y134="high",2,IF(Y134="medium",1,0)),"SI และ Rate เท่ากัน",IF(IF(M134="high",2,IF(M134="medium",1,0))&gt;IF(Y134="high",2,IF(Y134="medium",1,0)),"SI","Rate"))</f>
        <v/>
      </c>
    </row>
    <row r="135">
      <c r="A135" t="inlineStr">
        <is>
          <t>zone_263</t>
        </is>
      </c>
      <c r="B135" t="inlineStr">
        <is>
          <t>ดาวคะนอง-ท่าเรือ</t>
        </is>
      </c>
      <c r="C135" t="inlineStr">
        <is>
          <t>กรุงเทพมหานคร</t>
        </is>
      </c>
      <c r="D135" t="inlineStr">
        <is>
          <t>E001S003|I</t>
        </is>
      </c>
      <c r="E135" t="inlineStr">
        <is>
          <t>กทพ.</t>
        </is>
      </c>
      <c r="F135" t="inlineStr">
        <is>
          <t>23–23</t>
        </is>
      </c>
      <c r="G135" t="inlineStr">
        <is>
          <t>เฉลิมมหานคร</t>
        </is>
      </c>
      <c r="H135" t="inlineStr">
        <is>
          <t>กทพ. ยอดผ่านด่านทั้งสาย ÷ 365</t>
        </is>
      </c>
      <c r="I135" t="n">
        <v>9</v>
      </c>
      <c r="J135" t="n">
        <v>0</v>
      </c>
      <c r="K135" t="n">
        <v>2</v>
      </c>
      <c r="L135" s="5" t="n">
        <v>0.2222</v>
      </c>
      <c r="M135" t="inlineStr">
        <is>
          <t>low</t>
        </is>
      </c>
      <c r="N135" s="6" t="n">
        <v>307323.093150685</v>
      </c>
      <c r="O135" s="6" t="n">
        <v>305804.9945205479</v>
      </c>
      <c r="P135" s="6" t="n">
        <v>304213.8739726027</v>
      </c>
      <c r="Q135" s="6">
        <f>AVERAGE(N135:P135)</f>
        <v/>
      </c>
      <c r="R135" t="n">
        <v>3</v>
      </c>
      <c r="S135" t="n">
        <v>1</v>
      </c>
      <c r="T135" s="7">
        <f>365*R135*Q135*S135/1000000</f>
        <v/>
      </c>
      <c r="U135" s="8">
        <f>I135/T135</f>
        <v/>
      </c>
      <c r="V135" s="8">
        <f>SUMIF($E$2:$E$599,E135,$I$2:$I$599)/SUMIF($E$2:$E$599,E135,$T$2:$T$599)</f>
        <v/>
      </c>
      <c r="W135" s="8">
        <f>V135+1.645*SQRT(V135/T135)+1/(2*T135)</f>
        <v/>
      </c>
      <c r="X135" s="5">
        <f>U135/W135</f>
        <v/>
      </c>
      <c r="Y135">
        <f>IF(U135&gt;W135,"high",IF(U135&gt;V135,"medium","low"))</f>
        <v/>
      </c>
      <c r="Z135">
        <f>CHOOSE(MAX(IF(M135="high",2,IF(M135="medium",1,0)),IF(Y135="high",2,IF(Y135="medium",1,0)))+1,"low","medium","high")</f>
        <v/>
      </c>
      <c r="AA135">
        <f>IF(IF(M135="high",2,IF(M135="medium",1,0))=IF(Y135="high",2,IF(Y135="medium",1,0)),"SI และ Rate เท่ากัน",IF(IF(M135="high",2,IF(M135="medium",1,0))&gt;IF(Y135="high",2,IF(Y135="medium",1,0)),"SI","Rate"))</f>
        <v/>
      </c>
    </row>
    <row r="136">
      <c r="A136" t="inlineStr">
        <is>
          <t>zone_88</t>
        </is>
      </c>
      <c r="B136" t="inlineStr">
        <is>
          <t>แขวงคลองสองต้นนุ่น - พิมพา</t>
        </is>
      </c>
      <c r="C136" t="inlineStr">
        <is>
          <t>กรุงเทพมหานคร</t>
        </is>
      </c>
      <c r="D136" t="inlineStr">
        <is>
          <t>7</t>
        </is>
      </c>
      <c r="E136" t="inlineStr">
        <is>
          <t>ทล.</t>
        </is>
      </c>
      <c r="F136" t="inlineStr">
        <is>
          <t>15.1–16.7</t>
        </is>
      </c>
      <c r="G136" t="inlineStr">
        <is>
          <t>station_id 345 (ทล.7 กม.17+000)</t>
        </is>
      </c>
      <c r="H136" t="inlineStr">
        <is>
          <t>ทล. สถานีตัวแทนตอนควบคุม</t>
        </is>
      </c>
      <c r="I136" t="n">
        <v>36</v>
      </c>
      <c r="J136" t="n">
        <v>0</v>
      </c>
      <c r="K136" t="n">
        <v>13</v>
      </c>
      <c r="L136" s="5" t="n">
        <v>0.3611</v>
      </c>
      <c r="M136" t="inlineStr">
        <is>
          <t>low</t>
        </is>
      </c>
      <c r="N136" s="6" t="n">
        <v>220901</v>
      </c>
      <c r="O136" s="6" t="n">
        <v>242192</v>
      </c>
      <c r="P136" s="6" t="n">
        <v>262343</v>
      </c>
      <c r="Q136" s="6">
        <f>AVERAGE(N136:P136)</f>
        <v/>
      </c>
      <c r="R136" t="n">
        <v>3</v>
      </c>
      <c r="S136" t="n">
        <v>1</v>
      </c>
      <c r="T136" s="7">
        <f>365*R136*Q136*S136/1000000</f>
        <v/>
      </c>
      <c r="U136" s="8">
        <f>I136/T136</f>
        <v/>
      </c>
      <c r="V136" s="8">
        <f>SUMIF($E$2:$E$599,E136,$I$2:$I$599)/SUMIF($E$2:$E$599,E136,$T$2:$T$599)</f>
        <v/>
      </c>
      <c r="W136" s="8">
        <f>V136+1.645*SQRT(V136/T136)+1/(2*T136)</f>
        <v/>
      </c>
      <c r="X136" s="5">
        <f>U136/W136</f>
        <v/>
      </c>
      <c r="Y136">
        <f>IF(U136&gt;W136,"high",IF(U136&gt;V136,"medium","low"))</f>
        <v/>
      </c>
      <c r="Z136">
        <f>CHOOSE(MAX(IF(M136="high",2,IF(M136="medium",1,0)),IF(Y136="high",2,IF(Y136="medium",1,0)))+1,"low","medium","high")</f>
        <v/>
      </c>
      <c r="AA136">
        <f>IF(IF(M136="high",2,IF(M136="medium",1,0))=IF(Y136="high",2,IF(Y136="medium",1,0)),"SI และ Rate เท่ากัน",IF(IF(M136="high",2,IF(M136="medium",1,0))&gt;IF(Y136="high",2,IF(Y136="medium",1,0)),"SI","Rate"))</f>
        <v/>
      </c>
    </row>
    <row r="137">
      <c r="A137" t="inlineStr">
        <is>
          <t>zone_579</t>
        </is>
      </c>
      <c r="B137" t="inlineStr">
        <is>
          <t>สะพานข้ามแม่น้ำท่าจีนฝั่งตะวันตก - นาโคก</t>
        </is>
      </c>
      <c r="C137" t="inlineStr">
        <is>
          <t>สมุทรสาคร</t>
        </is>
      </c>
      <c r="D137" t="inlineStr">
        <is>
          <t>35</t>
        </is>
      </c>
      <c r="E137" t="inlineStr">
        <is>
          <t>ทล.</t>
        </is>
      </c>
      <c r="F137" t="inlineStr">
        <is>
          <t>34.1–34.895</t>
        </is>
      </c>
      <c r="G137" t="inlineStr">
        <is>
          <t>station_id 59 (ทล.35 กม.30+700)</t>
        </is>
      </c>
      <c r="H137" t="inlineStr">
        <is>
          <t>ทล. สถานีตัวแทนตอนควบคุม</t>
        </is>
      </c>
      <c r="I137" t="n">
        <v>23</v>
      </c>
      <c r="J137" t="n">
        <v>2</v>
      </c>
      <c r="K137" t="n">
        <v>3</v>
      </c>
      <c r="L137" s="5" t="n">
        <v>0.2174</v>
      </c>
      <c r="M137" t="inlineStr">
        <is>
          <t>low</t>
        </is>
      </c>
      <c r="N137" s="6" t="n">
        <v>134343</v>
      </c>
      <c r="O137" s="6" t="n">
        <v>149180</v>
      </c>
      <c r="P137" s="6" t="n">
        <v>149785</v>
      </c>
      <c r="Q137" s="6">
        <f>AVERAGE(N137:P137)</f>
        <v/>
      </c>
      <c r="R137" t="n">
        <v>3</v>
      </c>
      <c r="S137" t="n">
        <v>1</v>
      </c>
      <c r="T137" s="7">
        <f>365*R137*Q137*S137/1000000</f>
        <v/>
      </c>
      <c r="U137" s="8">
        <f>I137/T137</f>
        <v/>
      </c>
      <c r="V137" s="8">
        <f>SUMIF($E$2:$E$599,E137,$I$2:$I$599)/SUMIF($E$2:$E$599,E137,$T$2:$T$599)</f>
        <v/>
      </c>
      <c r="W137" s="8">
        <f>V137+1.645*SQRT(V137/T137)+1/(2*T137)</f>
        <v/>
      </c>
      <c r="X137" s="5">
        <f>U137/W137</f>
        <v/>
      </c>
      <c r="Y137">
        <f>IF(U137&gt;W137,"high",IF(U137&gt;V137,"medium","low"))</f>
        <v/>
      </c>
      <c r="Z137">
        <f>CHOOSE(MAX(IF(M137="high",2,IF(M137="medium",1,0)),IF(Y137="high",2,IF(Y137="medium",1,0)))+1,"low","medium","high")</f>
        <v/>
      </c>
      <c r="AA137">
        <f>IF(IF(M137="high",2,IF(M137="medium",1,0))=IF(Y137="high",2,IF(Y137="medium",1,0)),"SI และ Rate เท่ากัน",IF(IF(M137="high",2,IF(M137="medium",1,0))&gt;IF(Y137="high",2,IF(Y137="medium",1,0)),"SI","Rate"))</f>
        <v/>
      </c>
    </row>
    <row r="138">
      <c r="A138" t="inlineStr">
        <is>
          <t>zone_367</t>
        </is>
      </c>
      <c r="B138" t="inlineStr">
        <is>
          <t>ลาดบัวหลวง - สองพี่น้อง</t>
        </is>
      </c>
      <c r="C138" t="inlineStr">
        <is>
          <t>นครปฐม</t>
        </is>
      </c>
      <c r="D138" t="inlineStr">
        <is>
          <t>3422</t>
        </is>
      </c>
      <c r="E138" t="inlineStr">
        <is>
          <t>ทล.</t>
        </is>
      </c>
      <c r="F138" t="inlineStr">
        <is>
          <t>4.6–4.6</t>
        </is>
      </c>
      <c r="G138" t="inlineStr">
        <is>
          <t>station_id 268 (ทล.3422 กม.15+355)</t>
        </is>
      </c>
      <c r="H138" t="inlineStr">
        <is>
          <t>ทล. สถานีตัวแทนตอนควบคุม</t>
        </is>
      </c>
      <c r="I138" t="n">
        <v>3</v>
      </c>
      <c r="J138" t="n">
        <v>0</v>
      </c>
      <c r="K138" t="n">
        <v>0</v>
      </c>
      <c r="L138" s="5" t="n">
        <v>0</v>
      </c>
      <c r="M138" t="inlineStr">
        <is>
          <t>low</t>
        </is>
      </c>
      <c r="N138" s="6" t="n">
        <v>10007</v>
      </c>
      <c r="O138" s="6" t="n">
        <v>9378</v>
      </c>
      <c r="P138" s="6" t="n">
        <v>9222</v>
      </c>
      <c r="Q138" s="6">
        <f>AVERAGE(N138:P138)</f>
        <v/>
      </c>
      <c r="R138" t="n">
        <v>3</v>
      </c>
      <c r="S138" t="n">
        <v>1</v>
      </c>
      <c r="T138" s="7">
        <f>365*R138*Q138*S138/1000000</f>
        <v/>
      </c>
      <c r="U138" s="8">
        <f>I138/T138</f>
        <v/>
      </c>
      <c r="V138" s="8">
        <f>SUMIF($E$2:$E$599,E138,$I$2:$I$599)/SUMIF($E$2:$E$599,E138,$T$2:$T$599)</f>
        <v/>
      </c>
      <c r="W138" s="8">
        <f>V138+1.645*SQRT(V138/T138)+1/(2*T138)</f>
        <v/>
      </c>
      <c r="X138" s="5">
        <f>U138/W138</f>
        <v/>
      </c>
      <c r="Y138">
        <f>IF(U138&gt;W138,"high",IF(U138&gt;V138,"medium","low"))</f>
        <v/>
      </c>
      <c r="Z138">
        <f>CHOOSE(MAX(IF(M138="high",2,IF(M138="medium",1,0)),IF(Y138="high",2,IF(Y138="medium",1,0)))+1,"low","medium","high")</f>
        <v/>
      </c>
      <c r="AA138">
        <f>IF(IF(M138="high",2,IF(M138="medium",1,0))=IF(Y138="high",2,IF(Y138="medium",1,0)),"SI และ Rate เท่ากัน",IF(IF(M138="high",2,IF(M138="medium",1,0))&gt;IF(Y138="high",2,IF(Y138="medium",1,0)),"SI","Rate"))</f>
        <v/>
      </c>
    </row>
    <row r="139">
      <c r="A139" t="inlineStr">
        <is>
          <t>zone_225</t>
        </is>
      </c>
      <c r="B139" t="inlineStr">
        <is>
          <t>แจ้งวัฒนะ-พญาไท</t>
        </is>
      </c>
      <c r="C139" t="inlineStr">
        <is>
          <t>กรุงเทพมหานคร</t>
        </is>
      </c>
      <c r="D139" t="inlineStr">
        <is>
          <t>E002S014|U</t>
        </is>
      </c>
      <c r="E139" t="inlineStr">
        <is>
          <t>กทพ.</t>
        </is>
      </c>
      <c r="F139" t="inlineStr">
        <is>
          <t>12.4–12.9</t>
        </is>
      </c>
      <c r="G139" t="inlineStr">
        <is>
          <t>ศรีรัช</t>
        </is>
      </c>
      <c r="H139" t="inlineStr">
        <is>
          <t>กทพ. ยอดผ่านด่านทั้งสาย ÷ 365</t>
        </is>
      </c>
      <c r="I139" t="n">
        <v>15</v>
      </c>
      <c r="J139" t="n">
        <v>0</v>
      </c>
      <c r="K139" t="n">
        <v>2</v>
      </c>
      <c r="L139" s="5" t="n">
        <v>0.1333</v>
      </c>
      <c r="M139" t="inlineStr">
        <is>
          <t>low</t>
        </is>
      </c>
      <c r="N139" s="6" t="n">
        <v>613083.1506849315</v>
      </c>
      <c r="O139" s="6" t="n">
        <v>601127.7068493151</v>
      </c>
      <c r="P139" s="6" t="n">
        <v>607857.5287671232</v>
      </c>
      <c r="Q139" s="6">
        <f>AVERAGE(N139:P139)</f>
        <v/>
      </c>
      <c r="R139" t="n">
        <v>3</v>
      </c>
      <c r="S139" t="n">
        <v>1</v>
      </c>
      <c r="T139" s="7">
        <f>365*R139*Q139*S139/1000000</f>
        <v/>
      </c>
      <c r="U139" s="8">
        <f>I139/T139</f>
        <v/>
      </c>
      <c r="V139" s="8">
        <f>SUMIF($E$2:$E$599,E139,$I$2:$I$599)/SUMIF($E$2:$E$599,E139,$T$2:$T$599)</f>
        <v/>
      </c>
      <c r="W139" s="8">
        <f>V139+1.645*SQRT(V139/T139)+1/(2*T139)</f>
        <v/>
      </c>
      <c r="X139" s="5">
        <f>U139/W139</f>
        <v/>
      </c>
      <c r="Y139">
        <f>IF(U139&gt;W139,"high",IF(U139&gt;V139,"medium","low"))</f>
        <v/>
      </c>
      <c r="Z139">
        <f>CHOOSE(MAX(IF(M139="high",2,IF(M139="medium",1,0)),IF(Y139="high",2,IF(Y139="medium",1,0)))+1,"low","medium","high")</f>
        <v/>
      </c>
      <c r="AA139">
        <f>IF(IF(M139="high",2,IF(M139="medium",1,0))=IF(Y139="high",2,IF(Y139="medium",1,0)),"SI และ Rate เท่ากัน",IF(IF(M139="high",2,IF(M139="medium",1,0))&gt;IF(Y139="high",2,IF(Y139="medium",1,0)),"SI","Rate"))</f>
        <v/>
      </c>
    </row>
    <row r="140">
      <c r="A140" t="inlineStr">
        <is>
          <t>zone_332</t>
        </is>
      </c>
      <c r="B140" t="inlineStr">
        <is>
          <t>แยกทางหลวงหมายเลข 9 (กม.ที่ 43+490) - อำเภอไทรน้อย</t>
        </is>
      </c>
      <c r="C140" t="inlineStr">
        <is>
          <t>นนทบุรี</t>
        </is>
      </c>
      <c r="D140" t="inlineStr">
        <is>
          <t>นบ.1013</t>
        </is>
      </c>
      <c r="E140" t="inlineStr">
        <is>
          <t>ทช.</t>
        </is>
      </c>
      <c r="F140" t="inlineStr">
        <is>
          <t>7.75–7.91</t>
        </is>
      </c>
      <c r="G140" t="inlineStr">
        <is>
          <t>นบ.1013</t>
        </is>
      </c>
      <c r="H140" t="inlineStr">
        <is>
          <t>ทช. AADT รายสายทาง</t>
        </is>
      </c>
      <c r="I140" t="n">
        <v>4</v>
      </c>
      <c r="J140" t="n">
        <v>0</v>
      </c>
      <c r="K140" t="n">
        <v>4</v>
      </c>
      <c r="L140" s="5" t="n">
        <v>1</v>
      </c>
      <c r="M140" t="inlineStr">
        <is>
          <t>medium</t>
        </is>
      </c>
      <c r="N140" s="6" t="n">
        <v>10040</v>
      </c>
      <c r="O140" s="6" t="n">
        <v>10548</v>
      </c>
      <c r="P140" s="6" t="n">
        <v>9557</v>
      </c>
      <c r="Q140" s="6">
        <f>AVERAGE(N140:P140)</f>
        <v/>
      </c>
      <c r="R140" t="n">
        <v>3</v>
      </c>
      <c r="S140" t="n">
        <v>1</v>
      </c>
      <c r="T140" s="7">
        <f>365*R140*Q140*S140/1000000</f>
        <v/>
      </c>
      <c r="U140" s="8">
        <f>I140/T140</f>
        <v/>
      </c>
      <c r="V140" s="8">
        <f>SUMIF($E$2:$E$599,E140,$I$2:$I$599)/SUMIF($E$2:$E$599,E140,$T$2:$T$599)</f>
        <v/>
      </c>
      <c r="W140" s="8">
        <f>V140+1.645*SQRT(V140/T140)+1/(2*T140)</f>
        <v/>
      </c>
      <c r="X140" s="5">
        <f>U140/W140</f>
        <v/>
      </c>
      <c r="Y140">
        <f>IF(U140&gt;W140,"high",IF(U140&gt;V140,"medium","low"))</f>
        <v/>
      </c>
      <c r="Z140">
        <f>CHOOSE(MAX(IF(M140="high",2,IF(M140="medium",1,0)),IF(Y140="high",2,IF(Y140="medium",1,0)))+1,"low","medium","high")</f>
        <v/>
      </c>
      <c r="AA140">
        <f>IF(IF(M140="high",2,IF(M140="medium",1,0))=IF(Y140="high",2,IF(Y140="medium",1,0)),"SI และ Rate เท่ากัน",IF(IF(M140="high",2,IF(M140="medium",1,0))&gt;IF(Y140="high",2,IF(Y140="medium",1,0)),"SI","Rate"))</f>
        <v/>
      </c>
    </row>
    <row r="141">
      <c r="A141" t="inlineStr">
        <is>
          <t>zone_486</t>
        </is>
      </c>
      <c r="B141" t="inlineStr">
        <is>
          <t>บางนา-ชลบุรี</t>
        </is>
      </c>
      <c r="C141" t="inlineStr">
        <is>
          <t>สมุทรปราการ</t>
        </is>
      </c>
      <c r="D141" t="inlineStr">
        <is>
          <t>E004S009|I</t>
        </is>
      </c>
      <c r="E141" t="inlineStr">
        <is>
          <t>กทพ.</t>
        </is>
      </c>
      <c r="F141" t="inlineStr">
        <is>
          <t>8.8–9.1</t>
        </is>
      </c>
      <c r="G141" t="inlineStr">
        <is>
          <t>บูรพาวิถี</t>
        </is>
      </c>
      <c r="H141" t="inlineStr">
        <is>
          <t>กทพ. ยอดผ่านด่านทั้งสาย ÷ 365</t>
        </is>
      </c>
      <c r="I141" t="n">
        <v>5</v>
      </c>
      <c r="J141" t="n">
        <v>0</v>
      </c>
      <c r="K141" t="n">
        <v>3</v>
      </c>
      <c r="L141" s="5" t="n">
        <v>0.6</v>
      </c>
      <c r="M141" t="inlineStr">
        <is>
          <t>low</t>
        </is>
      </c>
      <c r="N141" s="6" t="n">
        <v>143309.3260273973</v>
      </c>
      <c r="O141" s="6" t="n">
        <v>145474.1863013699</v>
      </c>
      <c r="P141" s="6" t="n">
        <v>147094.4356164384</v>
      </c>
      <c r="Q141" s="6">
        <f>AVERAGE(N141:P141)</f>
        <v/>
      </c>
      <c r="R141" t="n">
        <v>3</v>
      </c>
      <c r="S141" t="n">
        <v>1</v>
      </c>
      <c r="T141" s="7">
        <f>365*R141*Q141*S141/1000000</f>
        <v/>
      </c>
      <c r="U141" s="8">
        <f>I141/T141</f>
        <v/>
      </c>
      <c r="V141" s="8">
        <f>SUMIF($E$2:$E$599,E141,$I$2:$I$599)/SUMIF($E$2:$E$599,E141,$T$2:$T$599)</f>
        <v/>
      </c>
      <c r="W141" s="8">
        <f>V141+1.645*SQRT(V141/T141)+1/(2*T141)</f>
        <v/>
      </c>
      <c r="X141" s="5">
        <f>U141/W141</f>
        <v/>
      </c>
      <c r="Y141">
        <f>IF(U141&gt;W141,"high",IF(U141&gt;V141,"medium","low"))</f>
        <v/>
      </c>
      <c r="Z141">
        <f>CHOOSE(MAX(IF(M141="high",2,IF(M141="medium",1,0)),IF(Y141="high",2,IF(Y141="medium",1,0)))+1,"low","medium","high")</f>
        <v/>
      </c>
      <c r="AA141">
        <f>IF(IF(M141="high",2,IF(M141="medium",1,0))=IF(Y141="high",2,IF(Y141="medium",1,0)),"SI และ Rate เท่ากัน",IF(IF(M141="high",2,IF(M141="medium",1,0))&gt;IF(Y141="high",2,IF(Y141="medium",1,0)),"SI","Rate"))</f>
        <v/>
      </c>
    </row>
    <row r="142">
      <c r="A142" t="inlineStr">
        <is>
          <t>zone_490</t>
        </is>
      </c>
      <c r="B142" t="inlineStr">
        <is>
          <t>บางพลี-สุขสวัสดิ์</t>
        </is>
      </c>
      <c r="C142" t="inlineStr">
        <is>
          <t>สมุทรปราการ</t>
        </is>
      </c>
      <c r="D142" t="inlineStr">
        <is>
          <t>E007S013|I</t>
        </is>
      </c>
      <c r="E142" t="inlineStr">
        <is>
          <t>กทพ.</t>
        </is>
      </c>
      <c r="F142" t="inlineStr">
        <is>
          <t>12.2–12.4</t>
        </is>
      </c>
      <c r="G142" t="inlineStr">
        <is>
          <t>ทางพิเศษกาญจนาภิเษก(บางพลี-สุขสวัสดิ์)</t>
        </is>
      </c>
      <c r="H142" t="inlineStr">
        <is>
          <t>กทพ. ยอดผ่านด่านทั้งสาย ÷ 365</t>
        </is>
      </c>
      <c r="I142" t="n">
        <v>7</v>
      </c>
      <c r="J142" t="n">
        <v>0</v>
      </c>
      <c r="K142" t="n">
        <v>3</v>
      </c>
      <c r="L142" s="5" t="n">
        <v>0.4286</v>
      </c>
      <c r="M142" t="inlineStr">
        <is>
          <t>low</t>
        </is>
      </c>
      <c r="N142" s="6" t="n">
        <v>233037.0054794521</v>
      </c>
      <c r="O142" s="6" t="n">
        <v>233284.9890410959</v>
      </c>
      <c r="P142" s="6" t="n">
        <v>228365.901369863</v>
      </c>
      <c r="Q142" s="6">
        <f>AVERAGE(N142:P142)</f>
        <v/>
      </c>
      <c r="R142" t="n">
        <v>3</v>
      </c>
      <c r="S142" t="n">
        <v>1</v>
      </c>
      <c r="T142" s="7">
        <f>365*R142*Q142*S142/1000000</f>
        <v/>
      </c>
      <c r="U142" s="8">
        <f>I142/T142</f>
        <v/>
      </c>
      <c r="V142" s="8">
        <f>SUMIF($E$2:$E$599,E142,$I$2:$I$599)/SUMIF($E$2:$E$599,E142,$T$2:$T$599)</f>
        <v/>
      </c>
      <c r="W142" s="8">
        <f>V142+1.645*SQRT(V142/T142)+1/(2*T142)</f>
        <v/>
      </c>
      <c r="X142" s="5">
        <f>U142/W142</f>
        <v/>
      </c>
      <c r="Y142">
        <f>IF(U142&gt;W142,"high",IF(U142&gt;V142,"medium","low"))</f>
        <v/>
      </c>
      <c r="Z142">
        <f>CHOOSE(MAX(IF(M142="high",2,IF(M142="medium",1,0)),IF(Y142="high",2,IF(Y142="medium",1,0)))+1,"low","medium","high")</f>
        <v/>
      </c>
      <c r="AA142">
        <f>IF(IF(M142="high",2,IF(M142="medium",1,0))=IF(Y142="high",2,IF(Y142="medium",1,0)),"SI และ Rate เท่ากัน",IF(IF(M142="high",2,IF(M142="medium",1,0))&gt;IF(Y142="high",2,IF(Y142="medium",1,0)),"SI","Rate"))</f>
        <v/>
      </c>
    </row>
    <row r="143">
      <c r="A143" t="inlineStr">
        <is>
          <t>zone_512</t>
        </is>
      </c>
      <c r="B143" t="inlineStr">
        <is>
          <t>บางพลี-สุขสวัสดิ์</t>
        </is>
      </c>
      <c r="C143" t="inlineStr">
        <is>
          <t>สมุทรปราการ</t>
        </is>
      </c>
      <c r="D143" t="inlineStr">
        <is>
          <t>E007S013|I</t>
        </is>
      </c>
      <c r="E143" t="inlineStr">
        <is>
          <t>กทพ.</t>
        </is>
      </c>
      <c r="F143" t="inlineStr">
        <is>
          <t>14.8–14.9</t>
        </is>
      </c>
      <c r="G143" t="inlineStr">
        <is>
          <t>ทางพิเศษกาญจนาภิเษก(บางพลี-สุขสวัสดิ์)</t>
        </is>
      </c>
      <c r="H143" t="inlineStr">
        <is>
          <t>กทพ. ยอดผ่านด่านทั้งสาย ÷ 365</t>
        </is>
      </c>
      <c r="I143" t="n">
        <v>7</v>
      </c>
      <c r="J143" t="n">
        <v>0</v>
      </c>
      <c r="K143" t="n">
        <v>2</v>
      </c>
      <c r="L143" s="5" t="n">
        <v>0.2857</v>
      </c>
      <c r="M143" t="inlineStr">
        <is>
          <t>low</t>
        </is>
      </c>
      <c r="N143" s="6" t="n">
        <v>233037.0054794521</v>
      </c>
      <c r="O143" s="6" t="n">
        <v>233284.9890410959</v>
      </c>
      <c r="P143" s="6" t="n">
        <v>228365.901369863</v>
      </c>
      <c r="Q143" s="6">
        <f>AVERAGE(N143:P143)</f>
        <v/>
      </c>
      <c r="R143" t="n">
        <v>3</v>
      </c>
      <c r="S143" t="n">
        <v>1</v>
      </c>
      <c r="T143" s="7">
        <f>365*R143*Q143*S143/1000000</f>
        <v/>
      </c>
      <c r="U143" s="8">
        <f>I143/T143</f>
        <v/>
      </c>
      <c r="V143" s="8">
        <f>SUMIF($E$2:$E$599,E143,$I$2:$I$599)/SUMIF($E$2:$E$599,E143,$T$2:$T$599)</f>
        <v/>
      </c>
      <c r="W143" s="8">
        <f>V143+1.645*SQRT(V143/T143)+1/(2*T143)</f>
        <v/>
      </c>
      <c r="X143" s="5">
        <f>U143/W143</f>
        <v/>
      </c>
      <c r="Y143">
        <f>IF(U143&gt;W143,"high",IF(U143&gt;V143,"medium","low"))</f>
        <v/>
      </c>
      <c r="Z143">
        <f>CHOOSE(MAX(IF(M143="high",2,IF(M143="medium",1,0)),IF(Y143="high",2,IF(Y143="medium",1,0)))+1,"low","medium","high")</f>
        <v/>
      </c>
      <c r="AA143">
        <f>IF(IF(M143="high",2,IF(M143="medium",1,0))=IF(Y143="high",2,IF(Y143="medium",1,0)),"SI และ Rate เท่ากัน",IF(IF(M143="high",2,IF(M143="medium",1,0))&gt;IF(Y143="high",2,IF(Y143="medium",1,0)),"SI","Rate"))</f>
        <v/>
      </c>
    </row>
    <row r="144">
      <c r="A144" t="inlineStr">
        <is>
          <t>zone_535</t>
        </is>
      </c>
      <c r="B144" t="inlineStr">
        <is>
          <t>บางพลี-สุขสวัสดิ์</t>
        </is>
      </c>
      <c r="C144" t="inlineStr">
        <is>
          <t>สมุทรปราการ</t>
        </is>
      </c>
      <c r="D144" t="inlineStr">
        <is>
          <t>E007S013|I</t>
        </is>
      </c>
      <c r="E144" t="inlineStr">
        <is>
          <t>กทพ.</t>
        </is>
      </c>
      <c r="F144" t="inlineStr">
        <is>
          <t>12.6–13.1</t>
        </is>
      </c>
      <c r="G144" t="inlineStr">
        <is>
          <t>ทางพิเศษกาญจนาภิเษก(บางพลี-สุขสวัสดิ์)</t>
        </is>
      </c>
      <c r="H144" t="inlineStr">
        <is>
          <t>กทพ. ยอดผ่านด่านทั้งสาย ÷ 365</t>
        </is>
      </c>
      <c r="I144" t="n">
        <v>7</v>
      </c>
      <c r="J144" t="n">
        <v>2</v>
      </c>
      <c r="K144" t="n">
        <v>2</v>
      </c>
      <c r="L144" s="5" t="n">
        <v>0.5714</v>
      </c>
      <c r="M144" t="inlineStr">
        <is>
          <t>low</t>
        </is>
      </c>
      <c r="N144" s="6" t="n">
        <v>233037.0054794521</v>
      </c>
      <c r="O144" s="6" t="n">
        <v>233284.9890410959</v>
      </c>
      <c r="P144" s="6" t="n">
        <v>228365.901369863</v>
      </c>
      <c r="Q144" s="6">
        <f>AVERAGE(N144:P144)</f>
        <v/>
      </c>
      <c r="R144" t="n">
        <v>3</v>
      </c>
      <c r="S144" t="n">
        <v>1</v>
      </c>
      <c r="T144" s="7">
        <f>365*R144*Q144*S144/1000000</f>
        <v/>
      </c>
      <c r="U144" s="8">
        <f>I144/T144</f>
        <v/>
      </c>
      <c r="V144" s="8">
        <f>SUMIF($E$2:$E$599,E144,$I$2:$I$599)/SUMIF($E$2:$E$599,E144,$T$2:$T$599)</f>
        <v/>
      </c>
      <c r="W144" s="8">
        <f>V144+1.645*SQRT(V144/T144)+1/(2*T144)</f>
        <v/>
      </c>
      <c r="X144" s="5">
        <f>U144/W144</f>
        <v/>
      </c>
      <c r="Y144">
        <f>IF(U144&gt;W144,"high",IF(U144&gt;V144,"medium","low"))</f>
        <v/>
      </c>
      <c r="Z144">
        <f>CHOOSE(MAX(IF(M144="high",2,IF(M144="medium",1,0)),IF(Y144="high",2,IF(Y144="medium",1,0)))+1,"low","medium","high")</f>
        <v/>
      </c>
      <c r="AA144">
        <f>IF(IF(M144="high",2,IF(M144="medium",1,0))=IF(Y144="high",2,IF(Y144="medium",1,0)),"SI และ Rate เท่ากัน",IF(IF(M144="high",2,IF(M144="medium",1,0))&gt;IF(Y144="high",2,IF(Y144="medium",1,0)),"SI","Rate"))</f>
        <v/>
      </c>
    </row>
    <row r="145">
      <c r="A145" t="inlineStr">
        <is>
          <t>zone_540</t>
        </is>
      </c>
      <c r="B145" t="inlineStr">
        <is>
          <t>บางพลี-สุขสวัสดิ์</t>
        </is>
      </c>
      <c r="C145" t="inlineStr">
        <is>
          <t>สมุทรปราการ</t>
        </is>
      </c>
      <c r="D145" t="inlineStr">
        <is>
          <t>E007S013|U</t>
        </is>
      </c>
      <c r="E145" t="inlineStr">
        <is>
          <t>กทพ.</t>
        </is>
      </c>
      <c r="F145" t="inlineStr">
        <is>
          <t>8.2–8.5</t>
        </is>
      </c>
      <c r="G145" t="inlineStr">
        <is>
          <t>ทางพิเศษกาญจนาภิเษก(บางพลี-สุขสวัสดิ์)</t>
        </is>
      </c>
      <c r="H145" t="inlineStr">
        <is>
          <t>กทพ. ยอดผ่านด่านทั้งสาย ÷ 365</t>
        </is>
      </c>
      <c r="I145" t="n">
        <v>7</v>
      </c>
      <c r="J145" t="n">
        <v>0</v>
      </c>
      <c r="K145" t="n">
        <v>6</v>
      </c>
      <c r="L145" s="5" t="n">
        <v>0.8571</v>
      </c>
      <c r="M145" t="inlineStr">
        <is>
          <t>low</t>
        </is>
      </c>
      <c r="N145" s="6" t="n">
        <v>233037.0054794521</v>
      </c>
      <c r="O145" s="6" t="n">
        <v>233284.9890410959</v>
      </c>
      <c r="P145" s="6" t="n">
        <v>228365.901369863</v>
      </c>
      <c r="Q145" s="6">
        <f>AVERAGE(N145:P145)</f>
        <v/>
      </c>
      <c r="R145" t="n">
        <v>3</v>
      </c>
      <c r="S145" t="n">
        <v>1</v>
      </c>
      <c r="T145" s="7">
        <f>365*R145*Q145*S145/1000000</f>
        <v/>
      </c>
      <c r="U145" s="8">
        <f>I145/T145</f>
        <v/>
      </c>
      <c r="V145" s="8">
        <f>SUMIF($E$2:$E$599,E145,$I$2:$I$599)/SUMIF($E$2:$E$599,E145,$T$2:$T$599)</f>
        <v/>
      </c>
      <c r="W145" s="8">
        <f>V145+1.645*SQRT(V145/T145)+1/(2*T145)</f>
        <v/>
      </c>
      <c r="X145" s="5">
        <f>U145/W145</f>
        <v/>
      </c>
      <c r="Y145">
        <f>IF(U145&gt;W145,"high",IF(U145&gt;V145,"medium","low"))</f>
        <v/>
      </c>
      <c r="Z145">
        <f>CHOOSE(MAX(IF(M145="high",2,IF(M145="medium",1,0)),IF(Y145="high",2,IF(Y145="medium",1,0)))+1,"low","medium","high")</f>
        <v/>
      </c>
      <c r="AA145">
        <f>IF(IF(M145="high",2,IF(M145="medium",1,0))=IF(Y145="high",2,IF(Y145="medium",1,0)),"SI และ Rate เท่ากัน",IF(IF(M145="high",2,IF(M145="medium",1,0))&gt;IF(Y145="high",2,IF(Y145="medium",1,0)),"SI","Rate"))</f>
        <v/>
      </c>
    </row>
    <row r="146">
      <c r="A146" t="inlineStr">
        <is>
          <t>zone_553</t>
        </is>
      </c>
      <c r="B146" t="inlineStr">
        <is>
          <t>บางพลี-สุขสวัสดิ์</t>
        </is>
      </c>
      <c r="C146" t="inlineStr">
        <is>
          <t>สมุทรปราการ</t>
        </is>
      </c>
      <c r="D146" t="inlineStr">
        <is>
          <t>E007S013|U</t>
        </is>
      </c>
      <c r="E146" t="inlineStr">
        <is>
          <t>กทพ.</t>
        </is>
      </c>
      <c r="F146" t="inlineStr">
        <is>
          <t>1.5–1.6</t>
        </is>
      </c>
      <c r="G146" t="inlineStr">
        <is>
          <t>ทางพิเศษกาญจนาภิเษก(บางพลี-สุขสวัสดิ์)</t>
        </is>
      </c>
      <c r="H146" t="inlineStr">
        <is>
          <t>กทพ. ยอดผ่านด่านทั้งสาย ÷ 365</t>
        </is>
      </c>
      <c r="I146" t="n">
        <v>7</v>
      </c>
      <c r="J146" t="n">
        <v>0</v>
      </c>
      <c r="K146" t="n">
        <v>8</v>
      </c>
      <c r="L146" s="5" t="n">
        <v>1.1429</v>
      </c>
      <c r="M146" t="inlineStr">
        <is>
          <t>medium</t>
        </is>
      </c>
      <c r="N146" s="6" t="n">
        <v>233037.0054794521</v>
      </c>
      <c r="O146" s="6" t="n">
        <v>233284.9890410959</v>
      </c>
      <c r="P146" s="6" t="n">
        <v>228365.901369863</v>
      </c>
      <c r="Q146" s="6">
        <f>AVERAGE(N146:P146)</f>
        <v/>
      </c>
      <c r="R146" t="n">
        <v>3</v>
      </c>
      <c r="S146" t="n">
        <v>1</v>
      </c>
      <c r="T146" s="7">
        <f>365*R146*Q146*S146/1000000</f>
        <v/>
      </c>
      <c r="U146" s="8">
        <f>I146/T146</f>
        <v/>
      </c>
      <c r="V146" s="8">
        <f>SUMIF($E$2:$E$599,E146,$I$2:$I$599)/SUMIF($E$2:$E$599,E146,$T$2:$T$599)</f>
        <v/>
      </c>
      <c r="W146" s="8">
        <f>V146+1.645*SQRT(V146/T146)+1/(2*T146)</f>
        <v/>
      </c>
      <c r="X146" s="5">
        <f>U146/W146</f>
        <v/>
      </c>
      <c r="Y146">
        <f>IF(U146&gt;W146,"high",IF(U146&gt;V146,"medium","low"))</f>
        <v/>
      </c>
      <c r="Z146">
        <f>CHOOSE(MAX(IF(M146="high",2,IF(M146="medium",1,0)),IF(Y146="high",2,IF(Y146="medium",1,0)))+1,"low","medium","high")</f>
        <v/>
      </c>
      <c r="AA146">
        <f>IF(IF(M146="high",2,IF(M146="medium",1,0))=IF(Y146="high",2,IF(Y146="medium",1,0)),"SI และ Rate เท่ากัน",IF(IF(M146="high",2,IF(M146="medium",1,0))&gt;IF(Y146="high",2,IF(Y146="medium",1,0)),"SI","Rate"))</f>
        <v/>
      </c>
    </row>
    <row r="147">
      <c r="A147" t="inlineStr">
        <is>
          <t>zone_206</t>
        </is>
      </c>
      <c r="B147" t="inlineStr">
        <is>
          <t>รัชดาภิเษก - รามอินทรา</t>
        </is>
      </c>
      <c r="C147" t="inlineStr">
        <is>
          <t>กรุงเทพมหานคร</t>
        </is>
      </c>
      <c r="D147" t="inlineStr">
        <is>
          <t>350</t>
        </is>
      </c>
      <c r="E147" t="inlineStr">
        <is>
          <t>ทล.</t>
        </is>
      </c>
      <c r="F147" t="inlineStr">
        <is>
          <t>4.1–4.4</t>
        </is>
      </c>
      <c r="G147" t="inlineStr">
        <is>
          <t>station_id 8 (ทล.351 กม.4+700)</t>
        </is>
      </c>
      <c r="H147" t="inlineStr">
        <is>
          <t>ทล. สถานีตัวแทนตอนควบคุม</t>
        </is>
      </c>
      <c r="I147" t="n">
        <v>14</v>
      </c>
      <c r="J147" t="n">
        <v>1</v>
      </c>
      <c r="K147" t="n">
        <v>3</v>
      </c>
      <c r="L147" s="5" t="n">
        <v>0.2857</v>
      </c>
      <c r="M147" t="inlineStr">
        <is>
          <t>low</t>
        </is>
      </c>
      <c r="N147" s="6" t="n">
        <v>96826</v>
      </c>
      <c r="O147" s="6" t="n">
        <v>76671</v>
      </c>
      <c r="P147" s="6" t="n">
        <v>73453</v>
      </c>
      <c r="Q147" s="6">
        <f>AVERAGE(N147:P147)</f>
        <v/>
      </c>
      <c r="R147" t="n">
        <v>3</v>
      </c>
      <c r="S147" t="n">
        <v>1</v>
      </c>
      <c r="T147" s="7">
        <f>365*R147*Q147*S147/1000000</f>
        <v/>
      </c>
      <c r="U147" s="8">
        <f>I147/T147</f>
        <v/>
      </c>
      <c r="V147" s="8">
        <f>SUMIF($E$2:$E$599,E147,$I$2:$I$599)/SUMIF($E$2:$E$599,E147,$T$2:$T$599)</f>
        <v/>
      </c>
      <c r="W147" s="8">
        <f>V147+1.645*SQRT(V147/T147)+1/(2*T147)</f>
        <v/>
      </c>
      <c r="X147" s="5">
        <f>U147/W147</f>
        <v/>
      </c>
      <c r="Y147">
        <f>IF(U147&gt;W147,"high",IF(U147&gt;V147,"medium","low"))</f>
        <v/>
      </c>
      <c r="Z147">
        <f>CHOOSE(MAX(IF(M147="high",2,IF(M147="medium",1,0)),IF(Y147="high",2,IF(Y147="medium",1,0)))+1,"low","medium","high")</f>
        <v/>
      </c>
      <c r="AA147">
        <f>IF(IF(M147="high",2,IF(M147="medium",1,0))=IF(Y147="high",2,IF(Y147="medium",1,0)),"SI และ Rate เท่ากัน",IF(IF(M147="high",2,IF(M147="medium",1,0))&gt;IF(Y147="high",2,IF(Y147="medium",1,0)),"SI","Rate"))</f>
        <v/>
      </c>
    </row>
    <row r="148">
      <c r="A148" t="inlineStr">
        <is>
          <t>zone_623</t>
        </is>
      </c>
      <c r="B148" t="inlineStr">
        <is>
          <t>สมุทรสาคร - บางบอน</t>
        </is>
      </c>
      <c r="C148" t="inlineStr">
        <is>
          <t>สมุทรสาคร</t>
        </is>
      </c>
      <c r="D148" t="inlineStr">
        <is>
          <t>3242</t>
        </is>
      </c>
      <c r="E148" t="inlineStr">
        <is>
          <t>ทล.</t>
        </is>
      </c>
      <c r="F148" t="inlineStr">
        <is>
          <t>11.04–11.63</t>
        </is>
      </c>
      <c r="G148" t="inlineStr">
        <is>
          <t>station_id 69 (ทล.3242 กม.4+130)</t>
        </is>
      </c>
      <c r="H148" t="inlineStr">
        <is>
          <t>ทล. สถานีตัวแทนตอนควบคุม</t>
        </is>
      </c>
      <c r="I148" t="n">
        <v>9</v>
      </c>
      <c r="J148" t="n">
        <v>1</v>
      </c>
      <c r="K148" t="n">
        <v>8</v>
      </c>
      <c r="L148" s="5" t="n">
        <v>1</v>
      </c>
      <c r="M148" t="inlineStr">
        <is>
          <t>medium</t>
        </is>
      </c>
      <c r="N148" s="6" t="n">
        <v>47547</v>
      </c>
      <c r="O148" s="6" t="n">
        <v>49902</v>
      </c>
      <c r="P148" s="6" t="n">
        <v>49217</v>
      </c>
      <c r="Q148" s="6">
        <f>AVERAGE(N148:P148)</f>
        <v/>
      </c>
      <c r="R148" t="n">
        <v>3</v>
      </c>
      <c r="S148" t="n">
        <v>1</v>
      </c>
      <c r="T148" s="7">
        <f>365*R148*Q148*S148/1000000</f>
        <v/>
      </c>
      <c r="U148" s="8">
        <f>I148/T148</f>
        <v/>
      </c>
      <c r="V148" s="8">
        <f>SUMIF($E$2:$E$599,E148,$I$2:$I$599)/SUMIF($E$2:$E$599,E148,$T$2:$T$599)</f>
        <v/>
      </c>
      <c r="W148" s="8">
        <f>V148+1.645*SQRT(V148/T148)+1/(2*T148)</f>
        <v/>
      </c>
      <c r="X148" s="5">
        <f>U148/W148</f>
        <v/>
      </c>
      <c r="Y148">
        <f>IF(U148&gt;W148,"high",IF(U148&gt;V148,"medium","low"))</f>
        <v/>
      </c>
      <c r="Z148">
        <f>CHOOSE(MAX(IF(M148="high",2,IF(M148="medium",1,0)),IF(Y148="high",2,IF(Y148="medium",1,0)))+1,"low","medium","high")</f>
        <v/>
      </c>
      <c r="AA148">
        <f>IF(IF(M148="high",2,IF(M148="medium",1,0))=IF(Y148="high",2,IF(Y148="medium",1,0)),"SI และ Rate เท่ากัน",IF(IF(M148="high",2,IF(M148="medium",1,0))&gt;IF(Y148="high",2,IF(Y148="medium",1,0)),"SI","Rate"))</f>
        <v/>
      </c>
    </row>
    <row r="149">
      <c r="A149" t="inlineStr">
        <is>
          <t>zone_431</t>
        </is>
      </c>
      <c r="B149" t="inlineStr">
        <is>
          <t>แยกทางหลวงหมายเลข 305 (กม.ที่ 18+700) - บ้านคลองแปด</t>
        </is>
      </c>
      <c r="C149" t="inlineStr">
        <is>
          <t>ปทุมธานี</t>
        </is>
      </c>
      <c r="D149" t="inlineStr">
        <is>
          <t>ปท.3006</t>
        </is>
      </c>
      <c r="E149" t="inlineStr">
        <is>
          <t>ทช.</t>
        </is>
      </c>
      <c r="F149" t="inlineStr">
        <is>
          <t>6.88–6.944</t>
        </is>
      </c>
      <c r="G149" t="inlineStr">
        <is>
          <t>ปท.3006</t>
        </is>
      </c>
      <c r="H149" t="inlineStr">
        <is>
          <t>ทช. AADT รายสายทาง</t>
        </is>
      </c>
      <c r="I149" t="n">
        <v>4</v>
      </c>
      <c r="J149" t="n">
        <v>4</v>
      </c>
      <c r="K149" t="n">
        <v>3</v>
      </c>
      <c r="L149" s="5" t="n">
        <v>1.75</v>
      </c>
      <c r="M149" t="inlineStr">
        <is>
          <t>medium</t>
        </is>
      </c>
      <c r="N149" s="6" t="n">
        <v>10991</v>
      </c>
      <c r="O149" s="6" t="n">
        <v>11546</v>
      </c>
      <c r="P149" s="6" t="n">
        <v>10462</v>
      </c>
      <c r="Q149" s="6">
        <f>AVERAGE(N149:P149)</f>
        <v/>
      </c>
      <c r="R149" t="n">
        <v>3</v>
      </c>
      <c r="S149" t="n">
        <v>1</v>
      </c>
      <c r="T149" s="7">
        <f>365*R149*Q149*S149/1000000</f>
        <v/>
      </c>
      <c r="U149" s="8">
        <f>I149/T149</f>
        <v/>
      </c>
      <c r="V149" s="8">
        <f>SUMIF($E$2:$E$599,E149,$I$2:$I$599)/SUMIF($E$2:$E$599,E149,$T$2:$T$599)</f>
        <v/>
      </c>
      <c r="W149" s="8">
        <f>V149+1.645*SQRT(V149/T149)+1/(2*T149)</f>
        <v/>
      </c>
      <c r="X149" s="5">
        <f>U149/W149</f>
        <v/>
      </c>
      <c r="Y149">
        <f>IF(U149&gt;W149,"high",IF(U149&gt;V149,"medium","low"))</f>
        <v/>
      </c>
      <c r="Z149">
        <f>CHOOSE(MAX(IF(M149="high",2,IF(M149="medium",1,0)),IF(Y149="high",2,IF(Y149="medium",1,0)))+1,"low","medium","high")</f>
        <v/>
      </c>
      <c r="AA149">
        <f>IF(IF(M149="high",2,IF(M149="medium",1,0))=IF(Y149="high",2,IF(Y149="medium",1,0)),"SI และ Rate เท่ากัน",IF(IF(M149="high",2,IF(M149="medium",1,0))&gt;IF(Y149="high",2,IF(Y149="medium",1,0)),"SI","Rate"))</f>
        <v/>
      </c>
    </row>
    <row r="150">
      <c r="A150" t="inlineStr">
        <is>
          <t>zone_203</t>
        </is>
      </c>
      <c r="B150" t="inlineStr">
        <is>
          <t>รามอินทรา-วงแหวนรอบนอก</t>
        </is>
      </c>
      <c r="C150" t="inlineStr">
        <is>
          <t>กรุงเทพมหานคร</t>
        </is>
      </c>
      <c r="D150" t="inlineStr">
        <is>
          <t>E003S013|I</t>
        </is>
      </c>
      <c r="E150" t="inlineStr">
        <is>
          <t>กทพ.</t>
        </is>
      </c>
      <c r="F150" t="inlineStr">
        <is>
          <t>22.3–22.7</t>
        </is>
      </c>
      <c r="G150" t="inlineStr">
        <is>
          <t>ฉลองรัช</t>
        </is>
      </c>
      <c r="H150" t="inlineStr">
        <is>
          <t>กทพ. ยอดผ่านด่านทั้งสาย ÷ 365</t>
        </is>
      </c>
      <c r="I150" t="n">
        <v>6</v>
      </c>
      <c r="J150" t="n">
        <v>1</v>
      </c>
      <c r="K150" t="n">
        <v>8</v>
      </c>
      <c r="L150" s="5" t="n">
        <v>1.5</v>
      </c>
      <c r="M150" t="inlineStr">
        <is>
          <t>medium</t>
        </is>
      </c>
      <c r="N150" s="6" t="n">
        <v>213053.802739726</v>
      </c>
      <c r="O150" s="6" t="n">
        <v>207436.4739726027</v>
      </c>
      <c r="P150" s="6" t="n">
        <v>205336.6383561644</v>
      </c>
      <c r="Q150" s="6">
        <f>AVERAGE(N150:P150)</f>
        <v/>
      </c>
      <c r="R150" t="n">
        <v>3</v>
      </c>
      <c r="S150" t="n">
        <v>1</v>
      </c>
      <c r="T150" s="7">
        <f>365*R150*Q150*S150/1000000</f>
        <v/>
      </c>
      <c r="U150" s="8">
        <f>I150/T150</f>
        <v/>
      </c>
      <c r="V150" s="8">
        <f>SUMIF($E$2:$E$599,E150,$I$2:$I$599)/SUMIF($E$2:$E$599,E150,$T$2:$T$599)</f>
        <v/>
      </c>
      <c r="W150" s="8">
        <f>V150+1.645*SQRT(V150/T150)+1/(2*T150)</f>
        <v/>
      </c>
      <c r="X150" s="5">
        <f>U150/W150</f>
        <v/>
      </c>
      <c r="Y150">
        <f>IF(U150&gt;W150,"high",IF(U150&gt;V150,"medium","low"))</f>
        <v/>
      </c>
      <c r="Z150">
        <f>CHOOSE(MAX(IF(M150="high",2,IF(M150="medium",1,0)),IF(Y150="high",2,IF(Y150="medium",1,0)))+1,"low","medium","high")</f>
        <v/>
      </c>
      <c r="AA150">
        <f>IF(IF(M150="high",2,IF(M150="medium",1,0))=IF(Y150="high",2,IF(Y150="medium",1,0)),"SI และ Rate เท่ากัน",IF(IF(M150="high",2,IF(M150="medium",1,0))&gt;IF(Y150="high",2,IF(Y150="medium",1,0)),"SI","Rate"))</f>
        <v/>
      </c>
    </row>
    <row r="151">
      <c r="A151" t="inlineStr">
        <is>
          <t>zone_334</t>
        </is>
      </c>
      <c r="B151" t="inlineStr">
        <is>
          <t>บางปะอิน-แจ้งวัฒนะ</t>
        </is>
      </c>
      <c r="C151" t="inlineStr">
        <is>
          <t>นนทบุรี</t>
        </is>
      </c>
      <c r="D151" t="inlineStr">
        <is>
          <t>E005S012|I</t>
        </is>
      </c>
      <c r="E151" t="inlineStr">
        <is>
          <t>กทพ.</t>
        </is>
      </c>
      <c r="F151" t="inlineStr">
        <is>
          <t>0.6–0.8</t>
        </is>
      </c>
      <c r="G151" t="inlineStr">
        <is>
          <t>อุดรรัถยา</t>
        </is>
      </c>
      <c r="H151" t="inlineStr">
        <is>
          <t>กทพ. ยอดผ่านด่านทั้งสาย ÷ 365</t>
        </is>
      </c>
      <c r="I151" t="n">
        <v>3</v>
      </c>
      <c r="J151" t="n">
        <v>0</v>
      </c>
      <c r="K151" t="n">
        <v>1</v>
      </c>
      <c r="L151" s="5" t="n">
        <v>0.3333</v>
      </c>
      <c r="M151" t="inlineStr">
        <is>
          <t>low</t>
        </is>
      </c>
      <c r="N151" s="6" t="n">
        <v>77540.51780821919</v>
      </c>
      <c r="O151" s="6" t="n">
        <v>78380.57808219179</v>
      </c>
      <c r="P151" s="6" t="n">
        <v>76850.58356164384</v>
      </c>
      <c r="Q151" s="6">
        <f>AVERAGE(N151:P151)</f>
        <v/>
      </c>
      <c r="R151" t="n">
        <v>3</v>
      </c>
      <c r="S151" t="n">
        <v>1</v>
      </c>
      <c r="T151" s="7">
        <f>365*R151*Q151*S151/1000000</f>
        <v/>
      </c>
      <c r="U151" s="8">
        <f>I151/T151</f>
        <v/>
      </c>
      <c r="V151" s="8">
        <f>SUMIF($E$2:$E$599,E151,$I$2:$I$599)/SUMIF($E$2:$E$599,E151,$T$2:$T$599)</f>
        <v/>
      </c>
      <c r="W151" s="8">
        <f>V151+1.645*SQRT(V151/T151)+1/(2*T151)</f>
        <v/>
      </c>
      <c r="X151" s="5">
        <f>U151/W151</f>
        <v/>
      </c>
      <c r="Y151">
        <f>IF(U151&gt;W151,"high",IF(U151&gt;V151,"medium","low"))</f>
        <v/>
      </c>
      <c r="Z151">
        <f>CHOOSE(MAX(IF(M151="high",2,IF(M151="medium",1,0)),IF(Y151="high",2,IF(Y151="medium",1,0)))+1,"low","medium","high")</f>
        <v/>
      </c>
      <c r="AA151">
        <f>IF(IF(M151="high",2,IF(M151="medium",1,0))=IF(Y151="high",2,IF(Y151="medium",1,0)),"SI และ Rate เท่ากัน",IF(IF(M151="high",2,IF(M151="medium",1,0))&gt;IF(Y151="high",2,IF(Y151="medium",1,0)),"SI","Rate"))</f>
        <v/>
      </c>
    </row>
    <row r="152">
      <c r="A152" t="inlineStr">
        <is>
          <t>zone_351</t>
        </is>
      </c>
      <c r="B152" t="inlineStr">
        <is>
          <t>บางปะอิน-แจ้งวัฒนะ</t>
        </is>
      </c>
      <c r="C152" t="inlineStr">
        <is>
          <t>นนทบุรี</t>
        </is>
      </c>
      <c r="D152" t="inlineStr">
        <is>
          <t>E005S012|U</t>
        </is>
      </c>
      <c r="E152" t="inlineStr">
        <is>
          <t>กทพ.</t>
        </is>
      </c>
      <c r="F152" t="inlineStr">
        <is>
          <t>0.2–1</t>
        </is>
      </c>
      <c r="G152" t="inlineStr">
        <is>
          <t>อุดรรัถยา</t>
        </is>
      </c>
      <c r="H152" t="inlineStr">
        <is>
          <t>กทพ. ยอดผ่านด่านทั้งสาย ÷ 365</t>
        </is>
      </c>
      <c r="I152" t="n">
        <v>3</v>
      </c>
      <c r="J152" t="n">
        <v>0</v>
      </c>
      <c r="K152" t="n">
        <v>0</v>
      </c>
      <c r="L152" s="5" t="n">
        <v>0</v>
      </c>
      <c r="M152" t="inlineStr">
        <is>
          <t>low</t>
        </is>
      </c>
      <c r="N152" s="6" t="n">
        <v>77540.51780821919</v>
      </c>
      <c r="O152" s="6" t="n">
        <v>78380.57808219179</v>
      </c>
      <c r="P152" s="6" t="n">
        <v>76850.58356164384</v>
      </c>
      <c r="Q152" s="6">
        <f>AVERAGE(N152:P152)</f>
        <v/>
      </c>
      <c r="R152" t="n">
        <v>3</v>
      </c>
      <c r="S152" t="n">
        <v>1</v>
      </c>
      <c r="T152" s="7">
        <f>365*R152*Q152*S152/1000000</f>
        <v/>
      </c>
      <c r="U152" s="8">
        <f>I152/T152</f>
        <v/>
      </c>
      <c r="V152" s="8">
        <f>SUMIF($E$2:$E$599,E152,$I$2:$I$599)/SUMIF($E$2:$E$599,E152,$T$2:$T$599)</f>
        <v/>
      </c>
      <c r="W152" s="8">
        <f>V152+1.645*SQRT(V152/T152)+1/(2*T152)</f>
        <v/>
      </c>
      <c r="X152" s="5">
        <f>U152/W152</f>
        <v/>
      </c>
      <c r="Y152">
        <f>IF(U152&gt;W152,"high",IF(U152&gt;V152,"medium","low"))</f>
        <v/>
      </c>
      <c r="Z152">
        <f>CHOOSE(MAX(IF(M152="high",2,IF(M152="medium",1,0)),IF(Y152="high",2,IF(Y152="medium",1,0)))+1,"low","medium","high")</f>
        <v/>
      </c>
      <c r="AA152">
        <f>IF(IF(M152="high",2,IF(M152="medium",1,0))=IF(Y152="high",2,IF(Y152="medium",1,0)),"SI และ Rate เท่ากัน",IF(IF(M152="high",2,IF(M152="medium",1,0))&gt;IF(Y152="high",2,IF(Y152="medium",1,0)),"SI","Rate"))</f>
        <v/>
      </c>
    </row>
    <row r="153">
      <c r="A153" t="inlineStr">
        <is>
          <t>zone_352</t>
        </is>
      </c>
      <c r="B153" t="inlineStr">
        <is>
          <t>บางปะอิน-แจ้งวัฒนะ</t>
        </is>
      </c>
      <c r="C153" t="inlineStr">
        <is>
          <t>นนทบุรี</t>
        </is>
      </c>
      <c r="D153" t="inlineStr">
        <is>
          <t>E005S012|U</t>
        </is>
      </c>
      <c r="E153" t="inlineStr">
        <is>
          <t>กทพ.</t>
        </is>
      </c>
      <c r="F153" t="inlineStr">
        <is>
          <t>2.4–2.5</t>
        </is>
      </c>
      <c r="G153" t="inlineStr">
        <is>
          <t>อุดรรัถยา</t>
        </is>
      </c>
      <c r="H153" t="inlineStr">
        <is>
          <t>กทพ. ยอดผ่านด่านทั้งสาย ÷ 365</t>
        </is>
      </c>
      <c r="I153" t="n">
        <v>3</v>
      </c>
      <c r="J153" t="n">
        <v>0</v>
      </c>
      <c r="K153" t="n">
        <v>0</v>
      </c>
      <c r="L153" s="5" t="n">
        <v>0</v>
      </c>
      <c r="M153" t="inlineStr">
        <is>
          <t>low</t>
        </is>
      </c>
      <c r="N153" s="6" t="n">
        <v>77540.51780821919</v>
      </c>
      <c r="O153" s="6" t="n">
        <v>78380.57808219179</v>
      </c>
      <c r="P153" s="6" t="n">
        <v>76850.58356164384</v>
      </c>
      <c r="Q153" s="6">
        <f>AVERAGE(N153:P153)</f>
        <v/>
      </c>
      <c r="R153" t="n">
        <v>3</v>
      </c>
      <c r="S153" t="n">
        <v>1</v>
      </c>
      <c r="T153" s="7">
        <f>365*R153*Q153*S153/1000000</f>
        <v/>
      </c>
      <c r="U153" s="8">
        <f>I153/T153</f>
        <v/>
      </c>
      <c r="V153" s="8">
        <f>SUMIF($E$2:$E$599,E153,$I$2:$I$599)/SUMIF($E$2:$E$599,E153,$T$2:$T$599)</f>
        <v/>
      </c>
      <c r="W153" s="8">
        <f>V153+1.645*SQRT(V153/T153)+1/(2*T153)</f>
        <v/>
      </c>
      <c r="X153" s="5">
        <f>U153/W153</f>
        <v/>
      </c>
      <c r="Y153">
        <f>IF(U153&gt;W153,"high",IF(U153&gt;V153,"medium","low"))</f>
        <v/>
      </c>
      <c r="Z153">
        <f>CHOOSE(MAX(IF(M153="high",2,IF(M153="medium",1,0)),IF(Y153="high",2,IF(Y153="medium",1,0)))+1,"low","medium","high")</f>
        <v/>
      </c>
      <c r="AA153">
        <f>IF(IF(M153="high",2,IF(M153="medium",1,0))=IF(Y153="high",2,IF(Y153="medium",1,0)),"SI และ Rate เท่ากัน",IF(IF(M153="high",2,IF(M153="medium",1,0))&gt;IF(Y153="high",2,IF(Y153="medium",1,0)),"SI","Rate"))</f>
        <v/>
      </c>
    </row>
    <row r="154">
      <c r="A154" t="inlineStr">
        <is>
          <t>zone_436</t>
        </is>
      </c>
      <c r="B154" t="inlineStr">
        <is>
          <t>บางปะอิน-แจ้งวัฒนะ</t>
        </is>
      </c>
      <c r="C154" t="inlineStr">
        <is>
          <t>ปทุมธานี</t>
        </is>
      </c>
      <c r="D154" t="inlineStr">
        <is>
          <t>E005S012|U</t>
        </is>
      </c>
      <c r="E154" t="inlineStr">
        <is>
          <t>กทพ.</t>
        </is>
      </c>
      <c r="F154" t="inlineStr">
        <is>
          <t>17.1–17.1</t>
        </is>
      </c>
      <c r="G154" t="inlineStr">
        <is>
          <t>อุดรรัถยา</t>
        </is>
      </c>
      <c r="H154" t="inlineStr">
        <is>
          <t>กทพ. ยอดผ่านด่านทั้งสาย ÷ 365</t>
        </is>
      </c>
      <c r="I154" t="n">
        <v>3</v>
      </c>
      <c r="J154" t="n">
        <v>0</v>
      </c>
      <c r="K154" t="n">
        <v>3</v>
      </c>
      <c r="L154" s="5" t="n">
        <v>1</v>
      </c>
      <c r="M154" t="inlineStr">
        <is>
          <t>medium</t>
        </is>
      </c>
      <c r="N154" s="6" t="n">
        <v>77540.51780821919</v>
      </c>
      <c r="O154" s="6" t="n">
        <v>78380.57808219179</v>
      </c>
      <c r="P154" s="6" t="n">
        <v>76850.58356164384</v>
      </c>
      <c r="Q154" s="6">
        <f>AVERAGE(N154:P154)</f>
        <v/>
      </c>
      <c r="R154" t="n">
        <v>3</v>
      </c>
      <c r="S154" t="n">
        <v>1</v>
      </c>
      <c r="T154" s="7">
        <f>365*R154*Q154*S154/1000000</f>
        <v/>
      </c>
      <c r="U154" s="8">
        <f>I154/T154</f>
        <v/>
      </c>
      <c r="V154" s="8">
        <f>SUMIF($E$2:$E$599,E154,$I$2:$I$599)/SUMIF($E$2:$E$599,E154,$T$2:$T$599)</f>
        <v/>
      </c>
      <c r="W154" s="8">
        <f>V154+1.645*SQRT(V154/T154)+1/(2*T154)</f>
        <v/>
      </c>
      <c r="X154" s="5">
        <f>U154/W154</f>
        <v/>
      </c>
      <c r="Y154">
        <f>IF(U154&gt;W154,"high",IF(U154&gt;V154,"medium","low"))</f>
        <v/>
      </c>
      <c r="Z154">
        <f>CHOOSE(MAX(IF(M154="high",2,IF(M154="medium",1,0)),IF(Y154="high",2,IF(Y154="medium",1,0)))+1,"low","medium","high")</f>
        <v/>
      </c>
      <c r="AA154">
        <f>IF(IF(M154="high",2,IF(M154="medium",1,0))=IF(Y154="high",2,IF(Y154="medium",1,0)),"SI และ Rate เท่ากัน",IF(IF(M154="high",2,IF(M154="medium",1,0))&gt;IF(Y154="high",2,IF(Y154="medium",1,0)),"SI","Rate"))</f>
        <v/>
      </c>
    </row>
    <row r="155">
      <c r="A155" t="inlineStr">
        <is>
          <t>zone_438</t>
        </is>
      </c>
      <c r="B155" t="inlineStr">
        <is>
          <t>บางปะอิน-แจ้งวัฒนะ</t>
        </is>
      </c>
      <c r="C155" t="inlineStr">
        <is>
          <t>ปทุมธานี</t>
        </is>
      </c>
      <c r="D155" t="inlineStr">
        <is>
          <t>E005S012|U</t>
        </is>
      </c>
      <c r="E155" t="inlineStr">
        <is>
          <t>กทพ.</t>
        </is>
      </c>
      <c r="F155" t="inlineStr">
        <is>
          <t>23.5–23.6</t>
        </is>
      </c>
      <c r="G155" t="inlineStr">
        <is>
          <t>อุดรรัถยา</t>
        </is>
      </c>
      <c r="H155" t="inlineStr">
        <is>
          <t>กทพ. ยอดผ่านด่านทั้งสาย ÷ 365</t>
        </is>
      </c>
      <c r="I155" t="n">
        <v>3</v>
      </c>
      <c r="J155" t="n">
        <v>0</v>
      </c>
      <c r="K155" t="n">
        <v>1</v>
      </c>
      <c r="L155" s="5" t="n">
        <v>0.3333</v>
      </c>
      <c r="M155" t="inlineStr">
        <is>
          <t>low</t>
        </is>
      </c>
      <c r="N155" s="6" t="n">
        <v>77540.51780821919</v>
      </c>
      <c r="O155" s="6" t="n">
        <v>78380.57808219179</v>
      </c>
      <c r="P155" s="6" t="n">
        <v>76850.58356164384</v>
      </c>
      <c r="Q155" s="6">
        <f>AVERAGE(N155:P155)</f>
        <v/>
      </c>
      <c r="R155" t="n">
        <v>3</v>
      </c>
      <c r="S155" t="n">
        <v>1</v>
      </c>
      <c r="T155" s="7">
        <f>365*R155*Q155*S155/1000000</f>
        <v/>
      </c>
      <c r="U155" s="8">
        <f>I155/T155</f>
        <v/>
      </c>
      <c r="V155" s="8">
        <f>SUMIF($E$2:$E$599,E155,$I$2:$I$599)/SUMIF($E$2:$E$599,E155,$T$2:$T$599)</f>
        <v/>
      </c>
      <c r="W155" s="8">
        <f>V155+1.645*SQRT(V155/T155)+1/(2*T155)</f>
        <v/>
      </c>
      <c r="X155" s="5">
        <f>U155/W155</f>
        <v/>
      </c>
      <c r="Y155">
        <f>IF(U155&gt;W155,"high",IF(U155&gt;V155,"medium","low"))</f>
        <v/>
      </c>
      <c r="Z155">
        <f>CHOOSE(MAX(IF(M155="high",2,IF(M155="medium",1,0)),IF(Y155="high",2,IF(Y155="medium",1,0)))+1,"low","medium","high")</f>
        <v/>
      </c>
      <c r="AA155">
        <f>IF(IF(M155="high",2,IF(M155="medium",1,0))=IF(Y155="high",2,IF(Y155="medium",1,0)),"SI และ Rate เท่ากัน",IF(IF(M155="high",2,IF(M155="medium",1,0))&gt;IF(Y155="high",2,IF(Y155="medium",1,0)),"SI","Rate"))</f>
        <v/>
      </c>
    </row>
    <row r="156">
      <c r="A156" t="inlineStr">
        <is>
          <t>zone_439</t>
        </is>
      </c>
      <c r="B156" t="inlineStr">
        <is>
          <t>บางปะอิน-แจ้งวัฒนะ</t>
        </is>
      </c>
      <c r="C156" t="inlineStr">
        <is>
          <t>ปทุมธานี</t>
        </is>
      </c>
      <c r="D156" t="inlineStr">
        <is>
          <t>E005S012|I</t>
        </is>
      </c>
      <c r="E156" t="inlineStr">
        <is>
          <t>กทพ.</t>
        </is>
      </c>
      <c r="F156" t="inlineStr">
        <is>
          <t>7.8–8</t>
        </is>
      </c>
      <c r="G156" t="inlineStr">
        <is>
          <t>อุดรรัถยา</t>
        </is>
      </c>
      <c r="H156" t="inlineStr">
        <is>
          <t>กทพ. ยอดผ่านด่านทั้งสาย ÷ 365</t>
        </is>
      </c>
      <c r="I156" t="n">
        <v>3</v>
      </c>
      <c r="J156" t="n">
        <v>0</v>
      </c>
      <c r="K156" t="n">
        <v>1</v>
      </c>
      <c r="L156" s="5" t="n">
        <v>0.3333</v>
      </c>
      <c r="M156" t="inlineStr">
        <is>
          <t>low</t>
        </is>
      </c>
      <c r="N156" s="6" t="n">
        <v>77540.51780821919</v>
      </c>
      <c r="O156" s="6" t="n">
        <v>78380.57808219179</v>
      </c>
      <c r="P156" s="6" t="n">
        <v>76850.58356164384</v>
      </c>
      <c r="Q156" s="6">
        <f>AVERAGE(N156:P156)</f>
        <v/>
      </c>
      <c r="R156" t="n">
        <v>3</v>
      </c>
      <c r="S156" t="n">
        <v>1</v>
      </c>
      <c r="T156" s="7">
        <f>365*R156*Q156*S156/1000000</f>
        <v/>
      </c>
      <c r="U156" s="8">
        <f>I156/T156</f>
        <v/>
      </c>
      <c r="V156" s="8">
        <f>SUMIF($E$2:$E$599,E156,$I$2:$I$599)/SUMIF($E$2:$E$599,E156,$T$2:$T$599)</f>
        <v/>
      </c>
      <c r="W156" s="8">
        <f>V156+1.645*SQRT(V156/T156)+1/(2*T156)</f>
        <v/>
      </c>
      <c r="X156" s="5">
        <f>U156/W156</f>
        <v/>
      </c>
      <c r="Y156">
        <f>IF(U156&gt;W156,"high",IF(U156&gt;V156,"medium","low"))</f>
        <v/>
      </c>
      <c r="Z156">
        <f>CHOOSE(MAX(IF(M156="high",2,IF(M156="medium",1,0)),IF(Y156="high",2,IF(Y156="medium",1,0)))+1,"low","medium","high")</f>
        <v/>
      </c>
      <c r="AA156">
        <f>IF(IF(M156="high",2,IF(M156="medium",1,0))=IF(Y156="high",2,IF(Y156="medium",1,0)),"SI และ Rate เท่ากัน",IF(IF(M156="high",2,IF(M156="medium",1,0))&gt;IF(Y156="high",2,IF(Y156="medium",1,0)),"SI","Rate"))</f>
        <v/>
      </c>
    </row>
    <row r="157">
      <c r="A157" t="inlineStr">
        <is>
          <t>zone_443</t>
        </is>
      </c>
      <c r="B157" t="inlineStr">
        <is>
          <t>บางปะอิน-แจ้งวัฒนะ</t>
        </is>
      </c>
      <c r="C157" t="inlineStr">
        <is>
          <t>ปทุมธานี</t>
        </is>
      </c>
      <c r="D157" t="inlineStr">
        <is>
          <t>E005S012|U</t>
        </is>
      </c>
      <c r="E157" t="inlineStr">
        <is>
          <t>กทพ.</t>
        </is>
      </c>
      <c r="F157" t="inlineStr">
        <is>
          <t>18.9–19</t>
        </is>
      </c>
      <c r="G157" t="inlineStr">
        <is>
          <t>อุดรรัถยา</t>
        </is>
      </c>
      <c r="H157" t="inlineStr">
        <is>
          <t>กทพ. ยอดผ่านด่านทั้งสาย ÷ 365</t>
        </is>
      </c>
      <c r="I157" t="n">
        <v>3</v>
      </c>
      <c r="J157" t="n">
        <v>0</v>
      </c>
      <c r="K157" t="n">
        <v>4</v>
      </c>
      <c r="L157" s="5" t="n">
        <v>1.3333</v>
      </c>
      <c r="M157" t="inlineStr">
        <is>
          <t>medium</t>
        </is>
      </c>
      <c r="N157" s="6" t="n">
        <v>77540.51780821919</v>
      </c>
      <c r="O157" s="6" t="n">
        <v>78380.57808219179</v>
      </c>
      <c r="P157" s="6" t="n">
        <v>76850.58356164384</v>
      </c>
      <c r="Q157" s="6">
        <f>AVERAGE(N157:P157)</f>
        <v/>
      </c>
      <c r="R157" t="n">
        <v>3</v>
      </c>
      <c r="S157" t="n">
        <v>1</v>
      </c>
      <c r="T157" s="7">
        <f>365*R157*Q157*S157/1000000</f>
        <v/>
      </c>
      <c r="U157" s="8">
        <f>I157/T157</f>
        <v/>
      </c>
      <c r="V157" s="8">
        <f>SUMIF($E$2:$E$599,E157,$I$2:$I$599)/SUMIF($E$2:$E$599,E157,$T$2:$T$599)</f>
        <v/>
      </c>
      <c r="W157" s="8">
        <f>V157+1.645*SQRT(V157/T157)+1/(2*T157)</f>
        <v/>
      </c>
      <c r="X157" s="5">
        <f>U157/W157</f>
        <v/>
      </c>
      <c r="Y157">
        <f>IF(U157&gt;W157,"high",IF(U157&gt;V157,"medium","low"))</f>
        <v/>
      </c>
      <c r="Z157">
        <f>CHOOSE(MAX(IF(M157="high",2,IF(M157="medium",1,0)),IF(Y157="high",2,IF(Y157="medium",1,0)))+1,"low","medium","high")</f>
        <v/>
      </c>
      <c r="AA157">
        <f>IF(IF(M157="high",2,IF(M157="medium",1,0))=IF(Y157="high",2,IF(Y157="medium",1,0)),"SI และ Rate เท่ากัน",IF(IF(M157="high",2,IF(M157="medium",1,0))&gt;IF(Y157="high",2,IF(Y157="medium",1,0)),"SI","Rate"))</f>
        <v/>
      </c>
    </row>
    <row r="158">
      <c r="A158" t="inlineStr">
        <is>
          <t>zone_15</t>
        </is>
      </c>
      <c r="B158" t="inlineStr">
        <is>
          <t>อรุณอมรินทร์ - พุทธมณฑลสาย 4</t>
        </is>
      </c>
      <c r="C158" t="inlineStr">
        <is>
          <t>กรุงเทพมหานคร</t>
        </is>
      </c>
      <c r="D158" t="inlineStr">
        <is>
          <t>338</t>
        </is>
      </c>
      <c r="E158" t="inlineStr">
        <is>
          <t>ทล.</t>
        </is>
      </c>
      <c r="F158" t="inlineStr">
        <is>
          <t>1.49–1.715</t>
        </is>
      </c>
      <c r="G158" t="inlineStr">
        <is>
          <t>station_id 126 (ทล.338 กม.2+164)</t>
        </is>
      </c>
      <c r="H158" t="inlineStr">
        <is>
          <t>ทล. สถานีตัวแทนตอนควบคุม</t>
        </is>
      </c>
      <c r="I158" t="n">
        <v>11</v>
      </c>
      <c r="J158" t="n">
        <v>0</v>
      </c>
      <c r="K158" t="n">
        <v>6</v>
      </c>
      <c r="L158" s="5" t="n">
        <v>0.5455</v>
      </c>
      <c r="M158" t="inlineStr">
        <is>
          <t>low</t>
        </is>
      </c>
      <c r="N158" s="6" t="n">
        <v>68592</v>
      </c>
      <c r="O158" s="6" t="n">
        <v>70016</v>
      </c>
      <c r="P158" s="6" t="n">
        <v>69899</v>
      </c>
      <c r="Q158" s="6">
        <f>AVERAGE(N158:P158)</f>
        <v/>
      </c>
      <c r="R158" t="n">
        <v>3</v>
      </c>
      <c r="S158" t="n">
        <v>1</v>
      </c>
      <c r="T158" s="7">
        <f>365*R158*Q158*S158/1000000</f>
        <v/>
      </c>
      <c r="U158" s="8">
        <f>I158/T158</f>
        <v/>
      </c>
      <c r="V158" s="8">
        <f>SUMIF($E$2:$E$599,E158,$I$2:$I$599)/SUMIF($E$2:$E$599,E158,$T$2:$T$599)</f>
        <v/>
      </c>
      <c r="W158" s="8">
        <f>V158+1.645*SQRT(V158/T158)+1/(2*T158)</f>
        <v/>
      </c>
      <c r="X158" s="5">
        <f>U158/W158</f>
        <v/>
      </c>
      <c r="Y158">
        <f>IF(U158&gt;W158,"high",IF(U158&gt;V158,"medium","low"))</f>
        <v/>
      </c>
      <c r="Z158">
        <f>CHOOSE(MAX(IF(M158="high",2,IF(M158="medium",1,0)),IF(Y158="high",2,IF(Y158="medium",1,0)))+1,"low","medium","high")</f>
        <v/>
      </c>
      <c r="AA158">
        <f>IF(IF(M158="high",2,IF(M158="medium",1,0))=IF(Y158="high",2,IF(Y158="medium",1,0)),"SI และ Rate เท่ากัน",IF(IF(M158="high",2,IF(M158="medium",1,0))&gt;IF(Y158="high",2,IF(Y158="medium",1,0)),"SI","Rate"))</f>
        <v/>
      </c>
    </row>
    <row r="159">
      <c r="A159" t="inlineStr">
        <is>
          <t>zone_79</t>
        </is>
      </c>
      <c r="B159" t="inlineStr">
        <is>
          <t>พญาไท-ศรีนครินทร์</t>
        </is>
      </c>
      <c r="C159" t="inlineStr">
        <is>
          <t>กรุงเทพมหานคร</t>
        </is>
      </c>
      <c r="D159" t="inlineStr">
        <is>
          <t>E002S016|I</t>
        </is>
      </c>
      <c r="E159" t="inlineStr">
        <is>
          <t>กทพ.</t>
        </is>
      </c>
      <c r="F159" t="inlineStr">
        <is>
          <t>12.8–13</t>
        </is>
      </c>
      <c r="G159" t="inlineStr">
        <is>
          <t>ศรีรัช</t>
        </is>
      </c>
      <c r="H159" t="inlineStr">
        <is>
          <t>กทพ. ยอดผ่านด่านทั้งสาย ÷ 365</t>
        </is>
      </c>
      <c r="I159" t="n">
        <v>13</v>
      </c>
      <c r="J159" t="n">
        <v>0</v>
      </c>
      <c r="K159" t="n">
        <v>4</v>
      </c>
      <c r="L159" s="5" t="n">
        <v>0.3077</v>
      </c>
      <c r="M159" t="inlineStr">
        <is>
          <t>low</t>
        </is>
      </c>
      <c r="N159" s="6" t="n">
        <v>613083.1506849315</v>
      </c>
      <c r="O159" s="6" t="n">
        <v>601127.7068493151</v>
      </c>
      <c r="P159" s="6" t="n">
        <v>607857.5287671232</v>
      </c>
      <c r="Q159" s="6">
        <f>AVERAGE(N159:P159)</f>
        <v/>
      </c>
      <c r="R159" t="n">
        <v>3</v>
      </c>
      <c r="S159" t="n">
        <v>1</v>
      </c>
      <c r="T159" s="7">
        <f>365*R159*Q159*S159/1000000</f>
        <v/>
      </c>
      <c r="U159" s="8">
        <f>I159/T159</f>
        <v/>
      </c>
      <c r="V159" s="8">
        <f>SUMIF($E$2:$E$599,E159,$I$2:$I$599)/SUMIF($E$2:$E$599,E159,$T$2:$T$599)</f>
        <v/>
      </c>
      <c r="W159" s="8">
        <f>V159+1.645*SQRT(V159/T159)+1/(2*T159)</f>
        <v/>
      </c>
      <c r="X159" s="5">
        <f>U159/W159</f>
        <v/>
      </c>
      <c r="Y159">
        <f>IF(U159&gt;W159,"high",IF(U159&gt;V159,"medium","low"))</f>
        <v/>
      </c>
      <c r="Z159">
        <f>CHOOSE(MAX(IF(M159="high",2,IF(M159="medium",1,0)),IF(Y159="high",2,IF(Y159="medium",1,0)))+1,"low","medium","high")</f>
        <v/>
      </c>
      <c r="AA159">
        <f>IF(IF(M159="high",2,IF(M159="medium",1,0))=IF(Y159="high",2,IF(Y159="medium",1,0)),"SI และ Rate เท่ากัน",IF(IF(M159="high",2,IF(M159="medium",1,0))&gt;IF(Y159="high",2,IF(Y159="medium",1,0)),"SI","Rate"))</f>
        <v/>
      </c>
    </row>
    <row r="160">
      <c r="A160" t="inlineStr">
        <is>
          <t>zone_244</t>
        </is>
      </c>
      <c r="B160" t="inlineStr">
        <is>
          <t>พระประแดง - บางแค</t>
        </is>
      </c>
      <c r="C160" t="inlineStr">
        <is>
          <t>กรุงเทพมหานคร</t>
        </is>
      </c>
      <c r="D160" t="inlineStr">
        <is>
          <t>9</t>
        </is>
      </c>
      <c r="E160" t="inlineStr">
        <is>
          <t>ทล.</t>
        </is>
      </c>
      <c r="F160" t="inlineStr">
        <is>
          <t>16.125–19.1</t>
        </is>
      </c>
      <c r="G160" t="inlineStr">
        <is>
          <t>station_id 123 (ทล.9 กม.20+430)</t>
        </is>
      </c>
      <c r="H160" t="inlineStr">
        <is>
          <t>ทล. สถานีตัวแทนตอนควบคุม</t>
        </is>
      </c>
      <c r="I160" t="n">
        <v>22</v>
      </c>
      <c r="J160" t="n">
        <v>1</v>
      </c>
      <c r="K160" t="n">
        <v>25</v>
      </c>
      <c r="L160" s="5" t="n">
        <v>1.1818</v>
      </c>
      <c r="M160" t="inlineStr">
        <is>
          <t>medium</t>
        </is>
      </c>
      <c r="N160" s="6" t="n">
        <v>161583</v>
      </c>
      <c r="O160" s="6" t="n">
        <v>167210</v>
      </c>
      <c r="P160" s="6" t="n">
        <v>164129</v>
      </c>
      <c r="Q160" s="6">
        <f>AVERAGE(N160:P160)</f>
        <v/>
      </c>
      <c r="R160" t="n">
        <v>3</v>
      </c>
      <c r="S160" t="n">
        <v>1</v>
      </c>
      <c r="T160" s="7">
        <f>365*R160*Q160*S160/1000000</f>
        <v/>
      </c>
      <c r="U160" s="8">
        <f>I160/T160</f>
        <v/>
      </c>
      <c r="V160" s="8">
        <f>SUMIF($E$2:$E$599,E160,$I$2:$I$599)/SUMIF($E$2:$E$599,E160,$T$2:$T$599)</f>
        <v/>
      </c>
      <c r="W160" s="8">
        <f>V160+1.645*SQRT(V160/T160)+1/(2*T160)</f>
        <v/>
      </c>
      <c r="X160" s="5">
        <f>U160/W160</f>
        <v/>
      </c>
      <c r="Y160">
        <f>IF(U160&gt;W160,"high",IF(U160&gt;V160,"medium","low"))</f>
        <v/>
      </c>
      <c r="Z160">
        <f>CHOOSE(MAX(IF(M160="high",2,IF(M160="medium",1,0)),IF(Y160="high",2,IF(Y160="medium",1,0)))+1,"low","medium","high")</f>
        <v/>
      </c>
      <c r="AA160">
        <f>IF(IF(M160="high",2,IF(M160="medium",1,0))=IF(Y160="high",2,IF(Y160="medium",1,0)),"SI และ Rate เท่ากัน",IF(IF(M160="high",2,IF(M160="medium",1,0))&gt;IF(Y160="high",2,IF(Y160="medium",1,0)),"SI","Rate"))</f>
        <v/>
      </c>
    </row>
    <row r="161">
      <c r="A161" t="inlineStr">
        <is>
          <t>zone_238</t>
        </is>
      </c>
      <c r="B161" t="inlineStr">
        <is>
          <t>บางบอน - โรงพยาบาลบางปะกอก8</t>
        </is>
      </c>
      <c r="C161" t="inlineStr">
        <is>
          <t>กรุงเทพมหานคร</t>
        </is>
      </c>
      <c r="D161" t="inlineStr">
        <is>
          <t>3242</t>
        </is>
      </c>
      <c r="E161" t="inlineStr">
        <is>
          <t>ทล.</t>
        </is>
      </c>
      <c r="F161" t="inlineStr">
        <is>
          <t>15–15.8</t>
        </is>
      </c>
      <c r="G161" t="inlineStr">
        <is>
          <t>station_id 129 (ทล.3242 กม.15+600)</t>
        </is>
      </c>
      <c r="H161" t="inlineStr">
        <is>
          <t>ทล. สถานีตัวแทนตอนควบคุม</t>
        </is>
      </c>
      <c r="I161" t="n">
        <v>13</v>
      </c>
      <c r="J161" t="n">
        <v>0</v>
      </c>
      <c r="K161" t="n">
        <v>16</v>
      </c>
      <c r="L161" s="5" t="n">
        <v>1.2308</v>
      </c>
      <c r="M161" t="inlineStr">
        <is>
          <t>medium</t>
        </is>
      </c>
      <c r="N161" s="6" t="n">
        <v>99272</v>
      </c>
      <c r="O161" s="6" t="n">
        <v>83416</v>
      </c>
      <c r="P161" s="6" t="n">
        <v>81423</v>
      </c>
      <c r="Q161" s="6">
        <f>AVERAGE(N161:P161)</f>
        <v/>
      </c>
      <c r="R161" t="n">
        <v>3</v>
      </c>
      <c r="S161" t="n">
        <v>1</v>
      </c>
      <c r="T161" s="7">
        <f>365*R161*Q161*S161/1000000</f>
        <v/>
      </c>
      <c r="U161" s="8">
        <f>I161/T161</f>
        <v/>
      </c>
      <c r="V161" s="8">
        <f>SUMIF($E$2:$E$599,E161,$I$2:$I$599)/SUMIF($E$2:$E$599,E161,$T$2:$T$599)</f>
        <v/>
      </c>
      <c r="W161" s="8">
        <f>V161+1.645*SQRT(V161/T161)+1/(2*T161)</f>
        <v/>
      </c>
      <c r="X161" s="5">
        <f>U161/W161</f>
        <v/>
      </c>
      <c r="Y161">
        <f>IF(U161&gt;W161,"high",IF(U161&gt;V161,"medium","low"))</f>
        <v/>
      </c>
      <c r="Z161">
        <f>CHOOSE(MAX(IF(M161="high",2,IF(M161="medium",1,0)),IF(Y161="high",2,IF(Y161="medium",1,0)))+1,"low","medium","high")</f>
        <v/>
      </c>
      <c r="AA161">
        <f>IF(IF(M161="high",2,IF(M161="medium",1,0))=IF(Y161="high",2,IF(Y161="medium",1,0)),"SI และ Rate เท่ากัน",IF(IF(M161="high",2,IF(M161="medium",1,0))&gt;IF(Y161="high",2,IF(Y161="medium",1,0)),"SI","Rate"))</f>
        <v/>
      </c>
    </row>
    <row r="162">
      <c r="A162" t="inlineStr">
        <is>
          <t>zone_296</t>
        </is>
      </c>
      <c r="B162" t="inlineStr">
        <is>
          <t>พระประแดง - บางแค</t>
        </is>
      </c>
      <c r="C162" t="inlineStr">
        <is>
          <t>กรุงเทพมหานคร</t>
        </is>
      </c>
      <c r="D162" t="inlineStr">
        <is>
          <t>3902</t>
        </is>
      </c>
      <c r="E162" t="inlineStr">
        <is>
          <t>ทล.</t>
        </is>
      </c>
      <c r="F162" t="inlineStr">
        <is>
          <t>10.3–10.7</t>
        </is>
      </c>
      <c r="G162" t="inlineStr">
        <is>
          <t>station_id 130 (ทล.3902 กม.20+430)</t>
        </is>
      </c>
      <c r="H162" t="inlineStr">
        <is>
          <t>ทล. สถานีตัวแทนตอนควบคุม</t>
        </is>
      </c>
      <c r="I162" t="n">
        <v>6</v>
      </c>
      <c r="J162" t="n">
        <v>0</v>
      </c>
      <c r="K162" t="n">
        <v>10</v>
      </c>
      <c r="L162" s="5" t="n">
        <v>1.6667</v>
      </c>
      <c r="M162" t="inlineStr">
        <is>
          <t>medium</t>
        </is>
      </c>
      <c r="N162" s="6" t="n">
        <v>27004</v>
      </c>
      <c r="O162" s="6" t="n">
        <v>33591</v>
      </c>
      <c r="P162" s="6" t="n">
        <v>38106</v>
      </c>
      <c r="Q162" s="6">
        <f>AVERAGE(N162:P162)</f>
        <v/>
      </c>
      <c r="R162" t="n">
        <v>3</v>
      </c>
      <c r="S162" t="n">
        <v>1</v>
      </c>
      <c r="T162" s="7">
        <f>365*R162*Q162*S162/1000000</f>
        <v/>
      </c>
      <c r="U162" s="8">
        <f>I162/T162</f>
        <v/>
      </c>
      <c r="V162" s="8">
        <f>SUMIF($E$2:$E$599,E162,$I$2:$I$599)/SUMIF($E$2:$E$599,E162,$T$2:$T$599)</f>
        <v/>
      </c>
      <c r="W162" s="8">
        <f>V162+1.645*SQRT(V162/T162)+1/(2*T162)</f>
        <v/>
      </c>
      <c r="X162" s="5">
        <f>U162/W162</f>
        <v/>
      </c>
      <c r="Y162">
        <f>IF(U162&gt;W162,"high",IF(U162&gt;V162,"medium","low"))</f>
        <v/>
      </c>
      <c r="Z162">
        <f>CHOOSE(MAX(IF(M162="high",2,IF(M162="medium",1,0)),IF(Y162="high",2,IF(Y162="medium",1,0)))+1,"low","medium","high")</f>
        <v/>
      </c>
      <c r="AA162">
        <f>IF(IF(M162="high",2,IF(M162="medium",1,0))=IF(Y162="high",2,IF(Y162="medium",1,0)),"SI และ Rate เท่ากัน",IF(IF(M162="high",2,IF(M162="medium",1,0))&gt;IF(Y162="high",2,IF(Y162="medium",1,0)),"SI","Rate"))</f>
        <v/>
      </c>
    </row>
    <row r="163">
      <c r="A163" t="inlineStr">
        <is>
          <t>zone_525</t>
        </is>
      </c>
      <c r="B163" t="inlineStr">
        <is>
          <t>บางพลี-สุขสวัสดิ์</t>
        </is>
      </c>
      <c r="C163" t="inlineStr">
        <is>
          <t>สมุทรปราการ</t>
        </is>
      </c>
      <c r="D163" t="inlineStr">
        <is>
          <t>E007S013|U</t>
        </is>
      </c>
      <c r="E163" t="inlineStr">
        <is>
          <t>กทพ.</t>
        </is>
      </c>
      <c r="F163" t="inlineStr">
        <is>
          <t>10.8–11</t>
        </is>
      </c>
      <c r="G163" t="inlineStr">
        <is>
          <t>ทางพิเศษกาญจนาภิเษก(บางพลี-สุขสวัสดิ์)</t>
        </is>
      </c>
      <c r="H163" t="inlineStr">
        <is>
          <t>กทพ. ยอดผ่านด่านทั้งสาย ÷ 365</t>
        </is>
      </c>
      <c r="I163" t="n">
        <v>6</v>
      </c>
      <c r="J163" t="n">
        <v>0</v>
      </c>
      <c r="K163" t="n">
        <v>9</v>
      </c>
      <c r="L163" s="5" t="n">
        <v>1.5</v>
      </c>
      <c r="M163" t="inlineStr">
        <is>
          <t>medium</t>
        </is>
      </c>
      <c r="N163" s="6" t="n">
        <v>233037.0054794521</v>
      </c>
      <c r="O163" s="6" t="n">
        <v>233284.9890410959</v>
      </c>
      <c r="P163" s="6" t="n">
        <v>228365.901369863</v>
      </c>
      <c r="Q163" s="6">
        <f>AVERAGE(N163:P163)</f>
        <v/>
      </c>
      <c r="R163" t="n">
        <v>3</v>
      </c>
      <c r="S163" t="n">
        <v>1</v>
      </c>
      <c r="T163" s="7">
        <f>365*R163*Q163*S163/1000000</f>
        <v/>
      </c>
      <c r="U163" s="8">
        <f>I163/T163</f>
        <v/>
      </c>
      <c r="V163" s="8">
        <f>SUMIF($E$2:$E$599,E163,$I$2:$I$599)/SUMIF($E$2:$E$599,E163,$T$2:$T$599)</f>
        <v/>
      </c>
      <c r="W163" s="8">
        <f>V163+1.645*SQRT(V163/T163)+1/(2*T163)</f>
        <v/>
      </c>
      <c r="X163" s="5">
        <f>U163/W163</f>
        <v/>
      </c>
      <c r="Y163">
        <f>IF(U163&gt;W163,"high",IF(U163&gt;V163,"medium","low"))</f>
        <v/>
      </c>
      <c r="Z163">
        <f>CHOOSE(MAX(IF(M163="high",2,IF(M163="medium",1,0)),IF(Y163="high",2,IF(Y163="medium",1,0)))+1,"low","medium","high")</f>
        <v/>
      </c>
      <c r="AA163">
        <f>IF(IF(M163="high",2,IF(M163="medium",1,0))=IF(Y163="high",2,IF(Y163="medium",1,0)),"SI และ Rate เท่ากัน",IF(IF(M163="high",2,IF(M163="medium",1,0))&gt;IF(Y163="high",2,IF(Y163="medium",1,0)),"SI","Rate"))</f>
        <v/>
      </c>
    </row>
    <row r="164">
      <c r="A164" t="inlineStr">
        <is>
          <t>zone_164</t>
        </is>
      </c>
      <c r="B164" t="inlineStr">
        <is>
          <t>แขวงรามอินทรา - บางพลี</t>
        </is>
      </c>
      <c r="C164" t="inlineStr">
        <is>
          <t>กรุงเทพมหานคร</t>
        </is>
      </c>
      <c r="D164" t="inlineStr">
        <is>
          <t>9</t>
        </is>
      </c>
      <c r="E164" t="inlineStr">
        <is>
          <t>ทล.</t>
        </is>
      </c>
      <c r="F164" t="inlineStr">
        <is>
          <t>58.2–59</t>
        </is>
      </c>
      <c r="G164" t="inlineStr">
        <is>
          <t>station_id 348 (ทล.9 กม.59+500)</t>
        </is>
      </c>
      <c r="H164" t="inlineStr">
        <is>
          <t>ทล. สถานีตัวแทนตอนควบคุม</t>
        </is>
      </c>
      <c r="I164" t="n">
        <v>16</v>
      </c>
      <c r="J164" t="n">
        <v>0</v>
      </c>
      <c r="K164" t="n">
        <v>19</v>
      </c>
      <c r="L164" s="5" t="n">
        <v>1.1875</v>
      </c>
      <c r="M164" t="inlineStr">
        <is>
          <t>medium</t>
        </is>
      </c>
      <c r="N164" s="6" t="n">
        <v>110915</v>
      </c>
      <c r="O164" s="6" t="n">
        <v>117953</v>
      </c>
      <c r="P164" s="6" t="n">
        <v>117813</v>
      </c>
      <c r="Q164" s="6">
        <f>AVERAGE(N164:P164)</f>
        <v/>
      </c>
      <c r="R164" t="n">
        <v>3</v>
      </c>
      <c r="S164" t="n">
        <v>1</v>
      </c>
      <c r="T164" s="7">
        <f>365*R164*Q164*S164/1000000</f>
        <v/>
      </c>
      <c r="U164" s="8">
        <f>I164/T164</f>
        <v/>
      </c>
      <c r="V164" s="8">
        <f>SUMIF($E$2:$E$599,E164,$I$2:$I$599)/SUMIF($E$2:$E$599,E164,$T$2:$T$599)</f>
        <v/>
      </c>
      <c r="W164" s="8">
        <f>V164+1.645*SQRT(V164/T164)+1/(2*T164)</f>
        <v/>
      </c>
      <c r="X164" s="5">
        <f>U164/W164</f>
        <v/>
      </c>
      <c r="Y164">
        <f>IF(U164&gt;W164,"high",IF(U164&gt;V164,"medium","low"))</f>
        <v/>
      </c>
      <c r="Z164">
        <f>CHOOSE(MAX(IF(M164="high",2,IF(M164="medium",1,0)),IF(Y164="high",2,IF(Y164="medium",1,0)))+1,"low","medium","high")</f>
        <v/>
      </c>
      <c r="AA164">
        <f>IF(IF(M164="high",2,IF(M164="medium",1,0))=IF(Y164="high",2,IF(Y164="medium",1,0)),"SI และ Rate เท่ากัน",IF(IF(M164="high",2,IF(M164="medium",1,0))&gt;IF(Y164="high",2,IF(Y164="medium",1,0)),"SI","Rate"))</f>
        <v/>
      </c>
    </row>
    <row r="165">
      <c r="A165" t="inlineStr">
        <is>
          <t>zone_57</t>
        </is>
      </c>
      <c r="B165" t="inlineStr">
        <is>
          <t>ดาวคะนอง - แสมดำ</t>
        </is>
      </c>
      <c r="C165" t="inlineStr">
        <is>
          <t>กรุงเทพมหานคร</t>
        </is>
      </c>
      <c r="D165" t="inlineStr">
        <is>
          <t>35</t>
        </is>
      </c>
      <c r="E165" t="inlineStr">
        <is>
          <t>ทล.</t>
        </is>
      </c>
      <c r="F165" t="inlineStr">
        <is>
          <t>2.51–3.8</t>
        </is>
      </c>
      <c r="G165" t="inlineStr">
        <is>
          <t>station_id 127 (ทล.35 กม.6+500)</t>
        </is>
      </c>
      <c r="H165" t="inlineStr">
        <is>
          <t>ทล. สถานีตัวแทนตอนควบคุม</t>
        </is>
      </c>
      <c r="I165" t="n">
        <v>31</v>
      </c>
      <c r="J165" t="n">
        <v>1</v>
      </c>
      <c r="K165" t="n">
        <v>31</v>
      </c>
      <c r="L165" s="5" t="n">
        <v>1.0323</v>
      </c>
      <c r="M165" t="inlineStr">
        <is>
          <t>medium</t>
        </is>
      </c>
      <c r="N165" s="6" t="n">
        <v>256167</v>
      </c>
      <c r="O165" s="6" t="n">
        <v>260090</v>
      </c>
      <c r="P165" s="6" t="n">
        <v>259277</v>
      </c>
      <c r="Q165" s="6">
        <f>AVERAGE(N165:P165)</f>
        <v/>
      </c>
      <c r="R165" t="n">
        <v>3</v>
      </c>
      <c r="S165" t="n">
        <v>1</v>
      </c>
      <c r="T165" s="7">
        <f>365*R165*Q165*S165/1000000</f>
        <v/>
      </c>
      <c r="U165" s="8">
        <f>I165/T165</f>
        <v/>
      </c>
      <c r="V165" s="8">
        <f>SUMIF($E$2:$E$599,E165,$I$2:$I$599)/SUMIF($E$2:$E$599,E165,$T$2:$T$599)</f>
        <v/>
      </c>
      <c r="W165" s="8">
        <f>V165+1.645*SQRT(V165/T165)+1/(2*T165)</f>
        <v/>
      </c>
      <c r="X165" s="5">
        <f>U165/W165</f>
        <v/>
      </c>
      <c r="Y165">
        <f>IF(U165&gt;W165,"high",IF(U165&gt;V165,"medium","low"))</f>
        <v/>
      </c>
      <c r="Z165">
        <f>CHOOSE(MAX(IF(M165="high",2,IF(M165="medium",1,0)),IF(Y165="high",2,IF(Y165="medium",1,0)))+1,"low","medium","high")</f>
        <v/>
      </c>
      <c r="AA165">
        <f>IF(IF(M165="high",2,IF(M165="medium",1,0))=IF(Y165="high",2,IF(Y165="medium",1,0)),"SI และ Rate เท่ากัน",IF(IF(M165="high",2,IF(M165="medium",1,0))&gt;IF(Y165="high",2,IF(Y165="medium",1,0)),"SI","Rate"))</f>
        <v/>
      </c>
    </row>
    <row r="166">
      <c r="A166" t="inlineStr">
        <is>
          <t>zone_440</t>
        </is>
      </c>
      <c r="B166" t="inlineStr">
        <is>
          <t>วัดนาบุญ - คลอง14</t>
        </is>
      </c>
      <c r="C166" t="inlineStr">
        <is>
          <t>ปทุมธานี</t>
        </is>
      </c>
      <c r="D166" t="inlineStr">
        <is>
          <t>305</t>
        </is>
      </c>
      <c r="E166" t="inlineStr">
        <is>
          <t>ทล.</t>
        </is>
      </c>
      <c r="F166" t="inlineStr">
        <is>
          <t>15.4–15.8</t>
        </is>
      </c>
      <c r="G166" t="inlineStr">
        <is>
          <t>station_id 55 (ทล.305 กม.25+870)</t>
        </is>
      </c>
      <c r="H166" t="inlineStr">
        <is>
          <t>ทล. สถานีตัวแทนตอนควบคุม</t>
        </is>
      </c>
      <c r="I166" t="n">
        <v>5</v>
      </c>
      <c r="J166" t="n">
        <v>0</v>
      </c>
      <c r="K166" t="n">
        <v>4</v>
      </c>
      <c r="L166" s="5" t="n">
        <v>0.8</v>
      </c>
      <c r="M166" t="inlineStr">
        <is>
          <t>low</t>
        </is>
      </c>
      <c r="N166" s="6" t="n">
        <v>25444</v>
      </c>
      <c r="O166" s="6" t="n">
        <v>29884</v>
      </c>
      <c r="P166" s="6" t="n">
        <v>28156</v>
      </c>
      <c r="Q166" s="6">
        <f>AVERAGE(N166:P166)</f>
        <v/>
      </c>
      <c r="R166" t="n">
        <v>3</v>
      </c>
      <c r="S166" t="n">
        <v>1</v>
      </c>
      <c r="T166" s="7">
        <f>365*R166*Q166*S166/1000000</f>
        <v/>
      </c>
      <c r="U166" s="8">
        <f>I166/T166</f>
        <v/>
      </c>
      <c r="V166" s="8">
        <f>SUMIF($E$2:$E$599,E166,$I$2:$I$599)/SUMIF($E$2:$E$599,E166,$T$2:$T$599)</f>
        <v/>
      </c>
      <c r="W166" s="8">
        <f>V166+1.645*SQRT(V166/T166)+1/(2*T166)</f>
        <v/>
      </c>
      <c r="X166" s="5">
        <f>U166/W166</f>
        <v/>
      </c>
      <c r="Y166">
        <f>IF(U166&gt;W166,"high",IF(U166&gt;V166,"medium","low"))</f>
        <v/>
      </c>
      <c r="Z166">
        <f>CHOOSE(MAX(IF(M166="high",2,IF(M166="medium",1,0)),IF(Y166="high",2,IF(Y166="medium",1,0)))+1,"low","medium","high")</f>
        <v/>
      </c>
      <c r="AA166">
        <f>IF(IF(M166="high",2,IF(M166="medium",1,0))=IF(Y166="high",2,IF(Y166="medium",1,0)),"SI และ Rate เท่ากัน",IF(IF(M166="high",2,IF(M166="medium",1,0))&gt;IF(Y166="high",2,IF(Y166="medium",1,0)),"SI","Rate"))</f>
        <v/>
      </c>
    </row>
    <row r="167">
      <c r="A167" t="inlineStr">
        <is>
          <t>zone_434</t>
        </is>
      </c>
      <c r="B167" t="inlineStr">
        <is>
          <t>แยกบ้านกลาง - ต่างระดับลาดหลุมแก้ว</t>
        </is>
      </c>
      <c r="C167" t="inlineStr">
        <is>
          <t>ปทุมธานี</t>
        </is>
      </c>
      <c r="D167" t="inlineStr">
        <is>
          <t>346</t>
        </is>
      </c>
      <c r="E167" t="inlineStr">
        <is>
          <t>ทล.</t>
        </is>
      </c>
      <c r="F167" t="inlineStr">
        <is>
          <t>19.7–61.9</t>
        </is>
      </c>
      <c r="G167" t="inlineStr">
        <is>
          <t>station_id 115 (ทล.346 กม.34+560)</t>
        </is>
      </c>
      <c r="H167" t="inlineStr">
        <is>
          <t>ทล. สถานีตัวแทนตอนควบคุม</t>
        </is>
      </c>
      <c r="I167" t="n">
        <v>5</v>
      </c>
      <c r="J167" t="n">
        <v>1</v>
      </c>
      <c r="K167" t="n">
        <v>3</v>
      </c>
      <c r="L167" s="5" t="n">
        <v>0.8</v>
      </c>
      <c r="M167" t="inlineStr">
        <is>
          <t>low</t>
        </is>
      </c>
      <c r="N167" s="6" t="n">
        <v>25244</v>
      </c>
      <c r="O167" s="6" t="n">
        <v>26875</v>
      </c>
      <c r="P167" s="6" t="n">
        <v>31405</v>
      </c>
      <c r="Q167" s="6">
        <f>AVERAGE(N167:P167)</f>
        <v/>
      </c>
      <c r="R167" t="n">
        <v>3</v>
      </c>
      <c r="S167" t="n">
        <v>1</v>
      </c>
      <c r="T167" s="7">
        <f>365*R167*Q167*S167/1000000</f>
        <v/>
      </c>
      <c r="U167" s="8">
        <f>I167/T167</f>
        <v/>
      </c>
      <c r="V167" s="8">
        <f>SUMIF($E$2:$E$599,E167,$I$2:$I$599)/SUMIF($E$2:$E$599,E167,$T$2:$T$599)</f>
        <v/>
      </c>
      <c r="W167" s="8">
        <f>V167+1.645*SQRT(V167/T167)+1/(2*T167)</f>
        <v/>
      </c>
      <c r="X167" s="5">
        <f>U167/W167</f>
        <v/>
      </c>
      <c r="Y167">
        <f>IF(U167&gt;W167,"high",IF(U167&gt;V167,"medium","low"))</f>
        <v/>
      </c>
      <c r="Z167">
        <f>CHOOSE(MAX(IF(M167="high",2,IF(M167="medium",1,0)),IF(Y167="high",2,IF(Y167="medium",1,0)))+1,"low","medium","high")</f>
        <v/>
      </c>
      <c r="AA167">
        <f>IF(IF(M167="high",2,IF(M167="medium",1,0))=IF(Y167="high",2,IF(Y167="medium",1,0)),"SI และ Rate เท่ากัน",IF(IF(M167="high",2,IF(M167="medium",1,0))&gt;IF(Y167="high",2,IF(Y167="medium",1,0)),"SI","Rate"))</f>
        <v/>
      </c>
    </row>
    <row r="168">
      <c r="A168" t="inlineStr">
        <is>
          <t>zone_522</t>
        </is>
      </c>
      <c r="B168" t="inlineStr">
        <is>
          <t>ท้ายบ้าน - บางตำหรุ</t>
        </is>
      </c>
      <c r="C168" t="inlineStr">
        <is>
          <t>สมุทรปราการ</t>
        </is>
      </c>
      <c r="D168" t="inlineStr">
        <is>
          <t>3</t>
        </is>
      </c>
      <c r="E168" t="inlineStr">
        <is>
          <t>ทล.</t>
        </is>
      </c>
      <c r="F168" t="inlineStr">
        <is>
          <t>38.98–39.3</t>
        </is>
      </c>
      <c r="G168" t="inlineStr">
        <is>
          <t>station_id 137 (ทล.3 กม.40+800)</t>
        </is>
      </c>
      <c r="H168" t="inlineStr">
        <is>
          <t>ทล. สถานีตัวแทนตอนควบคุม</t>
        </is>
      </c>
      <c r="I168" t="n">
        <v>5</v>
      </c>
      <c r="J168" t="n">
        <v>0</v>
      </c>
      <c r="K168" t="n">
        <v>0</v>
      </c>
      <c r="L168" s="5" t="n">
        <v>0</v>
      </c>
      <c r="M168" t="inlineStr">
        <is>
          <t>low</t>
        </is>
      </c>
      <c r="N168" s="6" t="n">
        <v>30051</v>
      </c>
      <c r="O168" s="6" t="n">
        <v>27433</v>
      </c>
      <c r="P168" s="6" t="n">
        <v>26664</v>
      </c>
      <c r="Q168" s="6">
        <f>AVERAGE(N168:P168)</f>
        <v/>
      </c>
      <c r="R168" t="n">
        <v>3</v>
      </c>
      <c r="S168" t="n">
        <v>1</v>
      </c>
      <c r="T168" s="7">
        <f>365*R168*Q168*S168/1000000</f>
        <v/>
      </c>
      <c r="U168" s="8">
        <f>I168/T168</f>
        <v/>
      </c>
      <c r="V168" s="8">
        <f>SUMIF($E$2:$E$599,E168,$I$2:$I$599)/SUMIF($E$2:$E$599,E168,$T$2:$T$599)</f>
        <v/>
      </c>
      <c r="W168" s="8">
        <f>V168+1.645*SQRT(V168/T168)+1/(2*T168)</f>
        <v/>
      </c>
      <c r="X168" s="5">
        <f>U168/W168</f>
        <v/>
      </c>
      <c r="Y168">
        <f>IF(U168&gt;W168,"high",IF(U168&gt;V168,"medium","low"))</f>
        <v/>
      </c>
      <c r="Z168">
        <f>CHOOSE(MAX(IF(M168="high",2,IF(M168="medium",1,0)),IF(Y168="high",2,IF(Y168="medium",1,0)))+1,"low","medium","high")</f>
        <v/>
      </c>
      <c r="AA168">
        <f>IF(IF(M168="high",2,IF(M168="medium",1,0))=IF(Y168="high",2,IF(Y168="medium",1,0)),"SI และ Rate เท่ากัน",IF(IF(M168="high",2,IF(M168="medium",1,0))&gt;IF(Y168="high",2,IF(Y168="medium",1,0)),"SI","Rate"))</f>
        <v/>
      </c>
    </row>
    <row r="169">
      <c r="A169" t="inlineStr">
        <is>
          <t>zone_53</t>
        </is>
      </c>
      <c r="B169" t="inlineStr">
        <is>
          <t>ดาวคะนอง-ท่าเรือ</t>
        </is>
      </c>
      <c r="C169" t="inlineStr">
        <is>
          <t>กรุงเทพมหานคร</t>
        </is>
      </c>
      <c r="D169" t="inlineStr">
        <is>
          <t>E001S003|I</t>
        </is>
      </c>
      <c r="E169" t="inlineStr">
        <is>
          <t>กทพ.</t>
        </is>
      </c>
      <c r="F169" t="inlineStr">
        <is>
          <t>30.6–31</t>
        </is>
      </c>
      <c r="G169" t="inlineStr">
        <is>
          <t>เฉลิมมหานคร</t>
        </is>
      </c>
      <c r="H169" t="inlineStr">
        <is>
          <t>กทพ. ยอดผ่านด่านทั้งสาย ÷ 365</t>
        </is>
      </c>
      <c r="I169" t="n">
        <v>7</v>
      </c>
      <c r="J169" t="n">
        <v>0</v>
      </c>
      <c r="K169" t="n">
        <v>3</v>
      </c>
      <c r="L169" s="5" t="n">
        <v>0.4286</v>
      </c>
      <c r="M169" t="inlineStr">
        <is>
          <t>low</t>
        </is>
      </c>
      <c r="N169" s="6" t="n">
        <v>307323.093150685</v>
      </c>
      <c r="O169" s="6" t="n">
        <v>305804.9945205479</v>
      </c>
      <c r="P169" s="6" t="n">
        <v>304213.8739726027</v>
      </c>
      <c r="Q169" s="6">
        <f>AVERAGE(N169:P169)</f>
        <v/>
      </c>
      <c r="R169" t="n">
        <v>3</v>
      </c>
      <c r="S169" t="n">
        <v>1</v>
      </c>
      <c r="T169" s="7">
        <f>365*R169*Q169*S169/1000000</f>
        <v/>
      </c>
      <c r="U169" s="8">
        <f>I169/T169</f>
        <v/>
      </c>
      <c r="V169" s="8">
        <f>SUMIF($E$2:$E$599,E169,$I$2:$I$599)/SUMIF($E$2:$E$599,E169,$T$2:$T$599)</f>
        <v/>
      </c>
      <c r="W169" s="8">
        <f>V169+1.645*SQRT(V169/T169)+1/(2*T169)</f>
        <v/>
      </c>
      <c r="X169" s="5">
        <f>U169/W169</f>
        <v/>
      </c>
      <c r="Y169">
        <f>IF(U169&gt;W169,"high",IF(U169&gt;V169,"medium","low"))</f>
        <v/>
      </c>
      <c r="Z169">
        <f>CHOOSE(MAX(IF(M169="high",2,IF(M169="medium",1,0)),IF(Y169="high",2,IF(Y169="medium",1,0)))+1,"low","medium","high")</f>
        <v/>
      </c>
      <c r="AA169">
        <f>IF(IF(M169="high",2,IF(M169="medium",1,0))=IF(Y169="high",2,IF(Y169="medium",1,0)),"SI และ Rate เท่ากัน",IF(IF(M169="high",2,IF(M169="medium",1,0))&gt;IF(Y169="high",2,IF(Y169="medium",1,0)),"SI","Rate"))</f>
        <v/>
      </c>
    </row>
    <row r="170">
      <c r="A170" t="inlineStr">
        <is>
          <t>zone_437</t>
        </is>
      </c>
      <c r="B170" t="inlineStr">
        <is>
          <t>ลำลูกกา - คลอง16</t>
        </is>
      </c>
      <c r="C170" t="inlineStr">
        <is>
          <t>ปทุมธานี</t>
        </is>
      </c>
      <c r="D170" t="inlineStr">
        <is>
          <t>3312</t>
        </is>
      </c>
      <c r="E170" t="inlineStr">
        <is>
          <t>ทล.</t>
        </is>
      </c>
      <c r="F170" t="inlineStr">
        <is>
          <t>28.14–28.14</t>
        </is>
      </c>
      <c r="G170" t="inlineStr">
        <is>
          <t>station_id 3336 (ทล.3312 กม.14+300)</t>
        </is>
      </c>
      <c r="H170" t="inlineStr">
        <is>
          <t>ทล. สถานีตัวแทนตอนควบคุม</t>
        </is>
      </c>
      <c r="I170" t="n">
        <v>8</v>
      </c>
      <c r="J170" t="n">
        <v>1</v>
      </c>
      <c r="K170" t="n">
        <v>11</v>
      </c>
      <c r="L170" s="5" t="n">
        <v>1.5</v>
      </c>
      <c r="M170" t="inlineStr">
        <is>
          <t>medium</t>
        </is>
      </c>
      <c r="N170" s="6" t="n">
        <v>52657</v>
      </c>
      <c r="O170" s="6" t="n">
        <v>53358</v>
      </c>
      <c r="P170" s="6" t="n">
        <v>52975</v>
      </c>
      <c r="Q170" s="6">
        <f>AVERAGE(N170:P170)</f>
        <v/>
      </c>
      <c r="R170" t="n">
        <v>3</v>
      </c>
      <c r="S170" t="n">
        <v>1</v>
      </c>
      <c r="T170" s="7">
        <f>365*R170*Q170*S170/1000000</f>
        <v/>
      </c>
      <c r="U170" s="8">
        <f>I170/T170</f>
        <v/>
      </c>
      <c r="V170" s="8">
        <f>SUMIF($E$2:$E$599,E170,$I$2:$I$599)/SUMIF($E$2:$E$599,E170,$T$2:$T$599)</f>
        <v/>
      </c>
      <c r="W170" s="8">
        <f>V170+1.645*SQRT(V170/T170)+1/(2*T170)</f>
        <v/>
      </c>
      <c r="X170" s="5">
        <f>U170/W170</f>
        <v/>
      </c>
      <c r="Y170">
        <f>IF(U170&gt;W170,"high",IF(U170&gt;V170,"medium","low"))</f>
        <v/>
      </c>
      <c r="Z170">
        <f>CHOOSE(MAX(IF(M170="high",2,IF(M170="medium",1,0)),IF(Y170="high",2,IF(Y170="medium",1,0)))+1,"low","medium","high")</f>
        <v/>
      </c>
      <c r="AA170">
        <f>IF(IF(M170="high",2,IF(M170="medium",1,0))=IF(Y170="high",2,IF(Y170="medium",1,0)),"SI และ Rate เท่ากัน",IF(IF(M170="high",2,IF(M170="medium",1,0))&gt;IF(Y170="high",2,IF(Y170="medium",1,0)),"SI","Rate"))</f>
        <v/>
      </c>
    </row>
    <row r="171">
      <c r="A171" t="inlineStr">
        <is>
          <t>zone_458</t>
        </is>
      </c>
      <c r="B171" t="inlineStr">
        <is>
          <t>บางนา-ชลบุรี</t>
        </is>
      </c>
      <c r="C171" t="inlineStr">
        <is>
          <t>สมุทรปราการ</t>
        </is>
      </c>
      <c r="D171" t="inlineStr">
        <is>
          <t>E004S009|U</t>
        </is>
      </c>
      <c r="E171" t="inlineStr">
        <is>
          <t>กทพ.</t>
        </is>
      </c>
      <c r="F171" t="inlineStr">
        <is>
          <t>13–13.1</t>
        </is>
      </c>
      <c r="G171" t="inlineStr">
        <is>
          <t>บูรพาวิถี</t>
        </is>
      </c>
      <c r="H171" t="inlineStr">
        <is>
          <t>กทพ. ยอดผ่านด่านทั้งสาย ÷ 365</t>
        </is>
      </c>
      <c r="I171" t="n">
        <v>4</v>
      </c>
      <c r="J171" t="n">
        <v>0</v>
      </c>
      <c r="K171" t="n">
        <v>2</v>
      </c>
      <c r="L171" s="5" t="n">
        <v>0.5</v>
      </c>
      <c r="M171" t="inlineStr">
        <is>
          <t>low</t>
        </is>
      </c>
      <c r="N171" s="6" t="n">
        <v>143309.3260273973</v>
      </c>
      <c r="O171" s="6" t="n">
        <v>145474.1863013699</v>
      </c>
      <c r="P171" s="6" t="n">
        <v>147094.4356164384</v>
      </c>
      <c r="Q171" s="6">
        <f>AVERAGE(N171:P171)</f>
        <v/>
      </c>
      <c r="R171" t="n">
        <v>3</v>
      </c>
      <c r="S171" t="n">
        <v>1</v>
      </c>
      <c r="T171" s="7">
        <f>365*R171*Q171*S171/1000000</f>
        <v/>
      </c>
      <c r="U171" s="8">
        <f>I171/T171</f>
        <v/>
      </c>
      <c r="V171" s="8">
        <f>SUMIF($E$2:$E$599,E171,$I$2:$I$599)/SUMIF($E$2:$E$599,E171,$T$2:$T$599)</f>
        <v/>
      </c>
      <c r="W171" s="8">
        <f>V171+1.645*SQRT(V171/T171)+1/(2*T171)</f>
        <v/>
      </c>
      <c r="X171" s="5">
        <f>U171/W171</f>
        <v/>
      </c>
      <c r="Y171">
        <f>IF(U171&gt;W171,"high",IF(U171&gt;V171,"medium","low"))</f>
        <v/>
      </c>
      <c r="Z171">
        <f>CHOOSE(MAX(IF(M171="high",2,IF(M171="medium",1,0)),IF(Y171="high",2,IF(Y171="medium",1,0)))+1,"low","medium","high")</f>
        <v/>
      </c>
      <c r="AA171">
        <f>IF(IF(M171="high",2,IF(M171="medium",1,0))=IF(Y171="high",2,IF(Y171="medium",1,0)),"SI และ Rate เท่ากัน",IF(IF(M171="high",2,IF(M171="medium",1,0))&gt;IF(Y171="high",2,IF(Y171="medium",1,0)),"SI","Rate"))</f>
        <v/>
      </c>
    </row>
    <row r="172">
      <c r="A172" t="inlineStr">
        <is>
          <t>zone_482</t>
        </is>
      </c>
      <c r="B172" t="inlineStr">
        <is>
          <t>บางนา-ชลบุรี</t>
        </is>
      </c>
      <c r="C172" t="inlineStr">
        <is>
          <t>สมุทรปราการ</t>
        </is>
      </c>
      <c r="D172" t="inlineStr">
        <is>
          <t>E004S009|I</t>
        </is>
      </c>
      <c r="E172" t="inlineStr">
        <is>
          <t>กทพ.</t>
        </is>
      </c>
      <c r="F172" t="inlineStr">
        <is>
          <t>16–16.1</t>
        </is>
      </c>
      <c r="G172" t="inlineStr">
        <is>
          <t>บูรพาวิถี</t>
        </is>
      </c>
      <c r="H172" t="inlineStr">
        <is>
          <t>กทพ. ยอดผ่านด่านทั้งสาย ÷ 365</t>
        </is>
      </c>
      <c r="I172" t="n">
        <v>4</v>
      </c>
      <c r="J172" t="n">
        <v>0</v>
      </c>
      <c r="K172" t="n">
        <v>2</v>
      </c>
      <c r="L172" s="5" t="n">
        <v>0.5</v>
      </c>
      <c r="M172" t="inlineStr">
        <is>
          <t>low</t>
        </is>
      </c>
      <c r="N172" s="6" t="n">
        <v>143309.3260273973</v>
      </c>
      <c r="O172" s="6" t="n">
        <v>145474.1863013699</v>
      </c>
      <c r="P172" s="6" t="n">
        <v>147094.4356164384</v>
      </c>
      <c r="Q172" s="6">
        <f>AVERAGE(N172:P172)</f>
        <v/>
      </c>
      <c r="R172" t="n">
        <v>3</v>
      </c>
      <c r="S172" t="n">
        <v>1</v>
      </c>
      <c r="T172" s="7">
        <f>365*R172*Q172*S172/1000000</f>
        <v/>
      </c>
      <c r="U172" s="8">
        <f>I172/T172</f>
        <v/>
      </c>
      <c r="V172" s="8">
        <f>SUMIF($E$2:$E$599,E172,$I$2:$I$599)/SUMIF($E$2:$E$599,E172,$T$2:$T$599)</f>
        <v/>
      </c>
      <c r="W172" s="8">
        <f>V172+1.645*SQRT(V172/T172)+1/(2*T172)</f>
        <v/>
      </c>
      <c r="X172" s="5">
        <f>U172/W172</f>
        <v/>
      </c>
      <c r="Y172">
        <f>IF(U172&gt;W172,"high",IF(U172&gt;V172,"medium","low"))</f>
        <v/>
      </c>
      <c r="Z172">
        <f>CHOOSE(MAX(IF(M172="high",2,IF(M172="medium",1,0)),IF(Y172="high",2,IF(Y172="medium",1,0)))+1,"low","medium","high")</f>
        <v/>
      </c>
      <c r="AA172">
        <f>IF(IF(M172="high",2,IF(M172="medium",1,0))=IF(Y172="high",2,IF(Y172="medium",1,0)),"SI และ Rate เท่ากัน",IF(IF(M172="high",2,IF(M172="medium",1,0))&gt;IF(Y172="high",2,IF(Y172="medium",1,0)),"SI","Rate"))</f>
        <v/>
      </c>
    </row>
    <row r="173">
      <c r="A173" t="inlineStr">
        <is>
          <t>zone_518</t>
        </is>
      </c>
      <c r="B173" t="inlineStr">
        <is>
          <t>บางนา-ชลบุรี</t>
        </is>
      </c>
      <c r="C173" t="inlineStr">
        <is>
          <t>สมุทรปราการ</t>
        </is>
      </c>
      <c r="D173" t="inlineStr">
        <is>
          <t>E004S009|U</t>
        </is>
      </c>
      <c r="E173" t="inlineStr">
        <is>
          <t>กทพ.</t>
        </is>
      </c>
      <c r="F173" t="inlineStr">
        <is>
          <t>7–7</t>
        </is>
      </c>
      <c r="G173" t="inlineStr">
        <is>
          <t>บูรพาวิถี</t>
        </is>
      </c>
      <c r="H173" t="inlineStr">
        <is>
          <t>กทพ. ยอดผ่านด่านทั้งสาย ÷ 365</t>
        </is>
      </c>
      <c r="I173" t="n">
        <v>4</v>
      </c>
      <c r="J173" t="n">
        <v>0</v>
      </c>
      <c r="K173" t="n">
        <v>1</v>
      </c>
      <c r="L173" s="5" t="n">
        <v>0.25</v>
      </c>
      <c r="M173" t="inlineStr">
        <is>
          <t>low</t>
        </is>
      </c>
      <c r="N173" s="6" t="n">
        <v>143309.3260273973</v>
      </c>
      <c r="O173" s="6" t="n">
        <v>145474.1863013699</v>
      </c>
      <c r="P173" s="6" t="n">
        <v>147094.4356164384</v>
      </c>
      <c r="Q173" s="6">
        <f>AVERAGE(N173:P173)</f>
        <v/>
      </c>
      <c r="R173" t="n">
        <v>3</v>
      </c>
      <c r="S173" t="n">
        <v>1</v>
      </c>
      <c r="T173" s="7">
        <f>365*R173*Q173*S173/1000000</f>
        <v/>
      </c>
      <c r="U173" s="8">
        <f>I173/T173</f>
        <v/>
      </c>
      <c r="V173" s="8">
        <f>SUMIF($E$2:$E$599,E173,$I$2:$I$599)/SUMIF($E$2:$E$599,E173,$T$2:$T$599)</f>
        <v/>
      </c>
      <c r="W173" s="8">
        <f>V173+1.645*SQRT(V173/T173)+1/(2*T173)</f>
        <v/>
      </c>
      <c r="X173" s="5">
        <f>U173/W173</f>
        <v/>
      </c>
      <c r="Y173">
        <f>IF(U173&gt;W173,"high",IF(U173&gt;V173,"medium","low"))</f>
        <v/>
      </c>
      <c r="Z173">
        <f>CHOOSE(MAX(IF(M173="high",2,IF(M173="medium",1,0)),IF(Y173="high",2,IF(Y173="medium",1,0)))+1,"low","medium","high")</f>
        <v/>
      </c>
      <c r="AA173">
        <f>IF(IF(M173="high",2,IF(M173="medium",1,0))=IF(Y173="high",2,IF(Y173="medium",1,0)),"SI และ Rate เท่ากัน",IF(IF(M173="high",2,IF(M173="medium",1,0))&gt;IF(Y173="high",2,IF(Y173="medium",1,0)),"SI","Rate"))</f>
        <v/>
      </c>
    </row>
    <row r="174">
      <c r="A174" t="inlineStr">
        <is>
          <t>zone_26</t>
        </is>
      </c>
      <c r="B174" t="inlineStr">
        <is>
          <t>บางแค - คลองมหาสวัสดิ์</t>
        </is>
      </c>
      <c r="C174" t="inlineStr">
        <is>
          <t>กรุงเทพมหานคร</t>
        </is>
      </c>
      <c r="D174" t="inlineStr">
        <is>
          <t>3901</t>
        </is>
      </c>
      <c r="E174" t="inlineStr">
        <is>
          <t>ทล.</t>
        </is>
      </c>
      <c r="F174" t="inlineStr">
        <is>
          <t>29.6–30.85</t>
        </is>
      </c>
      <c r="G174" t="inlineStr">
        <is>
          <t>station_id 131 (ทล.3901 กม.20+430)</t>
        </is>
      </c>
      <c r="H174" t="inlineStr">
        <is>
          <t>ทล. สถานีตัวแทนตอนควบคุม</t>
        </is>
      </c>
      <c r="I174" t="n">
        <v>6</v>
      </c>
      <c r="J174" t="n">
        <v>0</v>
      </c>
      <c r="K174" t="n">
        <v>2</v>
      </c>
      <c r="L174" s="5" t="n">
        <v>0.3333</v>
      </c>
      <c r="M174" t="inlineStr">
        <is>
          <t>low</t>
        </is>
      </c>
      <c r="N174" s="6" t="n">
        <v>33842</v>
      </c>
      <c r="O174" s="6" t="n">
        <v>35924</v>
      </c>
      <c r="P174" s="6" t="n">
        <v>41328</v>
      </c>
      <c r="Q174" s="6">
        <f>AVERAGE(N174:P174)</f>
        <v/>
      </c>
      <c r="R174" t="n">
        <v>3</v>
      </c>
      <c r="S174" t="n">
        <v>1</v>
      </c>
      <c r="T174" s="7">
        <f>365*R174*Q174*S174/1000000</f>
        <v/>
      </c>
      <c r="U174" s="8">
        <f>I174/T174</f>
        <v/>
      </c>
      <c r="V174" s="8">
        <f>SUMIF($E$2:$E$599,E174,$I$2:$I$599)/SUMIF($E$2:$E$599,E174,$T$2:$T$599)</f>
        <v/>
      </c>
      <c r="W174" s="8">
        <f>V174+1.645*SQRT(V174/T174)+1/(2*T174)</f>
        <v/>
      </c>
      <c r="X174" s="5">
        <f>U174/W174</f>
        <v/>
      </c>
      <c r="Y174">
        <f>IF(U174&gt;W174,"high",IF(U174&gt;V174,"medium","low"))</f>
        <v/>
      </c>
      <c r="Z174">
        <f>CHOOSE(MAX(IF(M174="high",2,IF(M174="medium",1,0)),IF(Y174="high",2,IF(Y174="medium",1,0)))+1,"low","medium","high")</f>
        <v/>
      </c>
      <c r="AA174">
        <f>IF(IF(M174="high",2,IF(M174="medium",1,0))=IF(Y174="high",2,IF(Y174="medium",1,0)),"SI และ Rate เท่ากัน",IF(IF(M174="high",2,IF(M174="medium",1,0))&gt;IF(Y174="high",2,IF(Y174="medium",1,0)),"SI","Rate"))</f>
        <v/>
      </c>
    </row>
    <row r="175">
      <c r="A175" t="inlineStr">
        <is>
          <t>zone_294</t>
        </is>
      </c>
      <c r="B175" t="inlineStr">
        <is>
          <t>รามอินทรา-อาจณรงค์</t>
        </is>
      </c>
      <c r="C175" t="inlineStr">
        <is>
          <t>กรุงเทพมหานคร</t>
        </is>
      </c>
      <c r="D175" t="inlineStr">
        <is>
          <t>E003S008|U</t>
        </is>
      </c>
      <c r="E175" t="inlineStr">
        <is>
          <t>กทพ.</t>
        </is>
      </c>
      <c r="F175" t="inlineStr">
        <is>
          <t>6.7–7</t>
        </is>
      </c>
      <c r="G175" t="inlineStr">
        <is>
          <t>ฉลองรัช</t>
        </is>
      </c>
      <c r="H175" t="inlineStr">
        <is>
          <t>กทพ. ยอดผ่านด่านทั้งสาย ÷ 365</t>
        </is>
      </c>
      <c r="I175" t="n">
        <v>5</v>
      </c>
      <c r="J175" t="n">
        <v>0</v>
      </c>
      <c r="K175" t="n">
        <v>2</v>
      </c>
      <c r="L175" s="5" t="n">
        <v>0.4</v>
      </c>
      <c r="M175" t="inlineStr">
        <is>
          <t>low</t>
        </is>
      </c>
      <c r="N175" s="6" t="n">
        <v>213053.802739726</v>
      </c>
      <c r="O175" s="6" t="n">
        <v>207436.4739726027</v>
      </c>
      <c r="P175" s="6" t="n">
        <v>205336.6383561644</v>
      </c>
      <c r="Q175" s="6">
        <f>AVERAGE(N175:P175)</f>
        <v/>
      </c>
      <c r="R175" t="n">
        <v>3</v>
      </c>
      <c r="S175" t="n">
        <v>1</v>
      </c>
      <c r="T175" s="7">
        <f>365*R175*Q175*S175/1000000</f>
        <v/>
      </c>
      <c r="U175" s="8">
        <f>I175/T175</f>
        <v/>
      </c>
      <c r="V175" s="8">
        <f>SUMIF($E$2:$E$599,E175,$I$2:$I$599)/SUMIF($E$2:$E$599,E175,$T$2:$T$599)</f>
        <v/>
      </c>
      <c r="W175" s="8">
        <f>V175+1.645*SQRT(V175/T175)+1/(2*T175)</f>
        <v/>
      </c>
      <c r="X175" s="5">
        <f>U175/W175</f>
        <v/>
      </c>
      <c r="Y175">
        <f>IF(U175&gt;W175,"high",IF(U175&gt;V175,"medium","low"))</f>
        <v/>
      </c>
      <c r="Z175">
        <f>CHOOSE(MAX(IF(M175="high",2,IF(M175="medium",1,0)),IF(Y175="high",2,IF(Y175="medium",1,0)))+1,"low","medium","high")</f>
        <v/>
      </c>
      <c r="AA175">
        <f>IF(IF(M175="high",2,IF(M175="medium",1,0))=IF(Y175="high",2,IF(Y175="medium",1,0)),"SI และ Rate เท่ากัน",IF(IF(M175="high",2,IF(M175="medium",1,0))&gt;IF(Y175="high",2,IF(Y175="medium",1,0)),"SI","Rate"))</f>
        <v/>
      </c>
    </row>
    <row r="176">
      <c r="A176" t="inlineStr">
        <is>
          <t>zone_302</t>
        </is>
      </c>
      <c r="B176" t="inlineStr">
        <is>
          <t>รามอินทรา-อาจณรงค์</t>
        </is>
      </c>
      <c r="C176" t="inlineStr">
        <is>
          <t>กรุงเทพมหานคร</t>
        </is>
      </c>
      <c r="D176" t="inlineStr">
        <is>
          <t>E003S008|U</t>
        </is>
      </c>
      <c r="E176" t="inlineStr">
        <is>
          <t>กทพ.</t>
        </is>
      </c>
      <c r="F176" t="inlineStr">
        <is>
          <t>2.8–2.8</t>
        </is>
      </c>
      <c r="G176" t="inlineStr">
        <is>
          <t>ฉลองรัช</t>
        </is>
      </c>
      <c r="H176" t="inlineStr">
        <is>
          <t>กทพ. ยอดผ่านด่านทั้งสาย ÷ 365</t>
        </is>
      </c>
      <c r="I176" t="n">
        <v>5</v>
      </c>
      <c r="J176" t="n">
        <v>0</v>
      </c>
      <c r="K176" t="n">
        <v>1</v>
      </c>
      <c r="L176" s="5" t="n">
        <v>0.2</v>
      </c>
      <c r="M176" t="inlineStr">
        <is>
          <t>low</t>
        </is>
      </c>
      <c r="N176" s="6" t="n">
        <v>213053.802739726</v>
      </c>
      <c r="O176" s="6" t="n">
        <v>207436.4739726027</v>
      </c>
      <c r="P176" s="6" t="n">
        <v>205336.6383561644</v>
      </c>
      <c r="Q176" s="6">
        <f>AVERAGE(N176:P176)</f>
        <v/>
      </c>
      <c r="R176" t="n">
        <v>3</v>
      </c>
      <c r="S176" t="n">
        <v>1</v>
      </c>
      <c r="T176" s="7">
        <f>365*R176*Q176*S176/1000000</f>
        <v/>
      </c>
      <c r="U176" s="8">
        <f>I176/T176</f>
        <v/>
      </c>
      <c r="V176" s="8">
        <f>SUMIF($E$2:$E$599,E176,$I$2:$I$599)/SUMIF($E$2:$E$599,E176,$T$2:$T$599)</f>
        <v/>
      </c>
      <c r="W176" s="8">
        <f>V176+1.645*SQRT(V176/T176)+1/(2*T176)</f>
        <v/>
      </c>
      <c r="X176" s="5">
        <f>U176/W176</f>
        <v/>
      </c>
      <c r="Y176">
        <f>IF(U176&gt;W176,"high",IF(U176&gt;V176,"medium","low"))</f>
        <v/>
      </c>
      <c r="Z176">
        <f>CHOOSE(MAX(IF(M176="high",2,IF(M176="medium",1,0)),IF(Y176="high",2,IF(Y176="medium",1,0)))+1,"low","medium","high")</f>
        <v/>
      </c>
      <c r="AA176">
        <f>IF(IF(M176="high",2,IF(M176="medium",1,0))=IF(Y176="high",2,IF(Y176="medium",1,0)),"SI และ Rate เท่ากัน",IF(IF(M176="high",2,IF(M176="medium",1,0))&gt;IF(Y176="high",2,IF(Y176="medium",1,0)),"SI","Rate"))</f>
        <v/>
      </c>
    </row>
    <row r="177">
      <c r="A177" t="inlineStr">
        <is>
          <t>zone_309</t>
        </is>
      </c>
      <c r="B177" t="inlineStr">
        <is>
          <t>รามอินทรา-อาจณรงค์</t>
        </is>
      </c>
      <c r="C177" t="inlineStr">
        <is>
          <t>กรุงเทพมหานคร</t>
        </is>
      </c>
      <c r="D177" t="inlineStr">
        <is>
          <t>E003S008|U</t>
        </is>
      </c>
      <c r="E177" t="inlineStr">
        <is>
          <t>กทพ.</t>
        </is>
      </c>
      <c r="F177" t="inlineStr">
        <is>
          <t>0.8–1.2</t>
        </is>
      </c>
      <c r="G177" t="inlineStr">
        <is>
          <t>ฉลองรัช</t>
        </is>
      </c>
      <c r="H177" t="inlineStr">
        <is>
          <t>กทพ. ยอดผ่านด่านทั้งสาย ÷ 365</t>
        </is>
      </c>
      <c r="I177" t="n">
        <v>5</v>
      </c>
      <c r="J177" t="n">
        <v>0</v>
      </c>
      <c r="K177" t="n">
        <v>2</v>
      </c>
      <c r="L177" s="5" t="n">
        <v>0.4</v>
      </c>
      <c r="M177" t="inlineStr">
        <is>
          <t>low</t>
        </is>
      </c>
      <c r="N177" s="6" t="n">
        <v>213053.802739726</v>
      </c>
      <c r="O177" s="6" t="n">
        <v>207436.4739726027</v>
      </c>
      <c r="P177" s="6" t="n">
        <v>205336.6383561644</v>
      </c>
      <c r="Q177" s="6">
        <f>AVERAGE(N177:P177)</f>
        <v/>
      </c>
      <c r="R177" t="n">
        <v>3</v>
      </c>
      <c r="S177" t="n">
        <v>1</v>
      </c>
      <c r="T177" s="7">
        <f>365*R177*Q177*S177/1000000</f>
        <v/>
      </c>
      <c r="U177" s="8">
        <f>I177/T177</f>
        <v/>
      </c>
      <c r="V177" s="8">
        <f>SUMIF($E$2:$E$599,E177,$I$2:$I$599)/SUMIF($E$2:$E$599,E177,$T$2:$T$599)</f>
        <v/>
      </c>
      <c r="W177" s="8">
        <f>V177+1.645*SQRT(V177/T177)+1/(2*T177)</f>
        <v/>
      </c>
      <c r="X177" s="5">
        <f>U177/W177</f>
        <v/>
      </c>
      <c r="Y177">
        <f>IF(U177&gt;W177,"high",IF(U177&gt;V177,"medium","low"))</f>
        <v/>
      </c>
      <c r="Z177">
        <f>CHOOSE(MAX(IF(M177="high",2,IF(M177="medium",1,0)),IF(Y177="high",2,IF(Y177="medium",1,0)))+1,"low","medium","high")</f>
        <v/>
      </c>
      <c r="AA177">
        <f>IF(IF(M177="high",2,IF(M177="medium",1,0))=IF(Y177="high",2,IF(Y177="medium",1,0)),"SI และ Rate เท่ากัน",IF(IF(M177="high",2,IF(M177="medium",1,0))&gt;IF(Y177="high",2,IF(Y177="medium",1,0)),"SI","Rate"))</f>
        <v/>
      </c>
    </row>
    <row r="178">
      <c r="A178" t="inlineStr">
        <is>
          <t>zone_239</t>
        </is>
      </c>
      <c r="B178" t="inlineStr">
        <is>
          <t>บางบอน - โรงพยาบาลบางปะกอก8</t>
        </is>
      </c>
      <c r="C178" t="inlineStr">
        <is>
          <t>กรุงเทพมหานคร</t>
        </is>
      </c>
      <c r="D178" t="inlineStr">
        <is>
          <t>3242</t>
        </is>
      </c>
      <c r="E178" t="inlineStr">
        <is>
          <t>ทล.</t>
        </is>
      </c>
      <c r="F178" t="inlineStr">
        <is>
          <t>14.32–14.8</t>
        </is>
      </c>
      <c r="G178" t="inlineStr">
        <is>
          <t>station_id 129 (ทล.3242 กม.15+600)</t>
        </is>
      </c>
      <c r="H178" t="inlineStr">
        <is>
          <t>ทล. สถานีตัวแทนตอนควบคุม</t>
        </is>
      </c>
      <c r="I178" t="n">
        <v>11</v>
      </c>
      <c r="J178" t="n">
        <v>0</v>
      </c>
      <c r="K178" t="n">
        <v>13</v>
      </c>
      <c r="L178" s="5" t="n">
        <v>1.1818</v>
      </c>
      <c r="M178" t="inlineStr">
        <is>
          <t>medium</t>
        </is>
      </c>
      <c r="N178" s="6" t="n">
        <v>99272</v>
      </c>
      <c r="O178" s="6" t="n">
        <v>83416</v>
      </c>
      <c r="P178" s="6" t="n">
        <v>81423</v>
      </c>
      <c r="Q178" s="6">
        <f>AVERAGE(N178:P178)</f>
        <v/>
      </c>
      <c r="R178" t="n">
        <v>3</v>
      </c>
      <c r="S178" t="n">
        <v>1</v>
      </c>
      <c r="T178" s="7">
        <f>365*R178*Q178*S178/1000000</f>
        <v/>
      </c>
      <c r="U178" s="8">
        <f>I178/T178</f>
        <v/>
      </c>
      <c r="V178" s="8">
        <f>SUMIF($E$2:$E$599,E178,$I$2:$I$599)/SUMIF($E$2:$E$599,E178,$T$2:$T$599)</f>
        <v/>
      </c>
      <c r="W178" s="8">
        <f>V178+1.645*SQRT(V178/T178)+1/(2*T178)</f>
        <v/>
      </c>
      <c r="X178" s="5">
        <f>U178/W178</f>
        <v/>
      </c>
      <c r="Y178">
        <f>IF(U178&gt;W178,"high",IF(U178&gt;V178,"medium","low"))</f>
        <v/>
      </c>
      <c r="Z178">
        <f>CHOOSE(MAX(IF(M178="high",2,IF(M178="medium",1,0)),IF(Y178="high",2,IF(Y178="medium",1,0)))+1,"low","medium","high")</f>
        <v/>
      </c>
      <c r="AA178">
        <f>IF(IF(M178="high",2,IF(M178="medium",1,0))=IF(Y178="high",2,IF(Y178="medium",1,0)),"SI และ Rate เท่ากัน",IF(IF(M178="high",2,IF(M178="medium",1,0))&gt;IF(Y178="high",2,IF(Y178="medium",1,0)),"SI","Rate"))</f>
        <v/>
      </c>
    </row>
    <row r="179">
      <c r="A179" t="inlineStr">
        <is>
          <t>zone_292</t>
        </is>
      </c>
      <c r="B179" t="inlineStr">
        <is>
          <t>พระประแดง - บางแค</t>
        </is>
      </c>
      <c r="C179" t="inlineStr">
        <is>
          <t>กรุงเทพมหานคร</t>
        </is>
      </c>
      <c r="D179" t="inlineStr">
        <is>
          <t>3902</t>
        </is>
      </c>
      <c r="E179" t="inlineStr">
        <is>
          <t>ทล.</t>
        </is>
      </c>
      <c r="F179" t="inlineStr">
        <is>
          <t>5.6–5.9</t>
        </is>
      </c>
      <c r="G179" t="inlineStr">
        <is>
          <t>station_id 130 (ทล.3902 กม.20+430)</t>
        </is>
      </c>
      <c r="H179" t="inlineStr">
        <is>
          <t>ทล. สถานีตัวแทนตอนควบคุม</t>
        </is>
      </c>
      <c r="I179" t="n">
        <v>5</v>
      </c>
      <c r="J179" t="n">
        <v>1</v>
      </c>
      <c r="K179" t="n">
        <v>7</v>
      </c>
      <c r="L179" s="5" t="n">
        <v>1.6</v>
      </c>
      <c r="M179" t="inlineStr">
        <is>
          <t>medium</t>
        </is>
      </c>
      <c r="N179" s="6" t="n">
        <v>27004</v>
      </c>
      <c r="O179" s="6" t="n">
        <v>33591</v>
      </c>
      <c r="P179" s="6" t="n">
        <v>38106</v>
      </c>
      <c r="Q179" s="6">
        <f>AVERAGE(N179:P179)</f>
        <v/>
      </c>
      <c r="R179" t="n">
        <v>3</v>
      </c>
      <c r="S179" t="n">
        <v>1</v>
      </c>
      <c r="T179" s="7">
        <f>365*R179*Q179*S179/1000000</f>
        <v/>
      </c>
      <c r="U179" s="8">
        <f>I179/T179</f>
        <v/>
      </c>
      <c r="V179" s="8">
        <f>SUMIF($E$2:$E$599,E179,$I$2:$I$599)/SUMIF($E$2:$E$599,E179,$T$2:$T$599)</f>
        <v/>
      </c>
      <c r="W179" s="8">
        <f>V179+1.645*SQRT(V179/T179)+1/(2*T179)</f>
        <v/>
      </c>
      <c r="X179" s="5">
        <f>U179/W179</f>
        <v/>
      </c>
      <c r="Y179">
        <f>IF(U179&gt;W179,"high",IF(U179&gt;V179,"medium","low"))</f>
        <v/>
      </c>
      <c r="Z179">
        <f>CHOOSE(MAX(IF(M179="high",2,IF(M179="medium",1,0)),IF(Y179="high",2,IF(Y179="medium",1,0)))+1,"low","medium","high")</f>
        <v/>
      </c>
      <c r="AA179">
        <f>IF(IF(M179="high",2,IF(M179="medium",1,0))=IF(Y179="high",2,IF(Y179="medium",1,0)),"SI และ Rate เท่ากัน",IF(IF(M179="high",2,IF(M179="medium",1,0))&gt;IF(Y179="high",2,IF(Y179="medium",1,0)),"SI","Rate"))</f>
        <v/>
      </c>
    </row>
    <row r="180">
      <c r="A180" t="inlineStr">
        <is>
          <t>zone_297</t>
        </is>
      </c>
      <c r="B180" t="inlineStr">
        <is>
          <t>พระประแดง - บางแค</t>
        </is>
      </c>
      <c r="C180" t="inlineStr">
        <is>
          <t>กรุงเทพมหานคร</t>
        </is>
      </c>
      <c r="D180" t="inlineStr">
        <is>
          <t>3902</t>
        </is>
      </c>
      <c r="E180" t="inlineStr">
        <is>
          <t>ทล.</t>
        </is>
      </c>
      <c r="F180" t="inlineStr">
        <is>
          <t>10.7–11</t>
        </is>
      </c>
      <c r="G180" t="inlineStr">
        <is>
          <t>station_id 130 (ทล.3902 กม.20+430)</t>
        </is>
      </c>
      <c r="H180" t="inlineStr">
        <is>
          <t>ทล. สถานีตัวแทนตอนควบคุม</t>
        </is>
      </c>
      <c r="I180" t="n">
        <v>5</v>
      </c>
      <c r="J180" t="n">
        <v>0</v>
      </c>
      <c r="K180" t="n">
        <v>3</v>
      </c>
      <c r="L180" s="5" t="n">
        <v>0.6</v>
      </c>
      <c r="M180" t="inlineStr">
        <is>
          <t>low</t>
        </is>
      </c>
      <c r="N180" s="6" t="n">
        <v>27004</v>
      </c>
      <c r="O180" s="6" t="n">
        <v>33591</v>
      </c>
      <c r="P180" s="6" t="n">
        <v>38106</v>
      </c>
      <c r="Q180" s="6">
        <f>AVERAGE(N180:P180)</f>
        <v/>
      </c>
      <c r="R180" t="n">
        <v>3</v>
      </c>
      <c r="S180" t="n">
        <v>1</v>
      </c>
      <c r="T180" s="7">
        <f>365*R180*Q180*S180/1000000</f>
        <v/>
      </c>
      <c r="U180" s="8">
        <f>I180/T180</f>
        <v/>
      </c>
      <c r="V180" s="8">
        <f>SUMIF($E$2:$E$599,E180,$I$2:$I$599)/SUMIF($E$2:$E$599,E180,$T$2:$T$599)</f>
        <v/>
      </c>
      <c r="W180" s="8">
        <f>V180+1.645*SQRT(V180/T180)+1/(2*T180)</f>
        <v/>
      </c>
      <c r="X180" s="5">
        <f>U180/W180</f>
        <v/>
      </c>
      <c r="Y180">
        <f>IF(U180&gt;W180,"high",IF(U180&gt;V180,"medium","low"))</f>
        <v/>
      </c>
      <c r="Z180">
        <f>CHOOSE(MAX(IF(M180="high",2,IF(M180="medium",1,0)),IF(Y180="high",2,IF(Y180="medium",1,0)))+1,"low","medium","high")</f>
        <v/>
      </c>
      <c r="AA180">
        <f>IF(IF(M180="high",2,IF(M180="medium",1,0))=IF(Y180="high",2,IF(Y180="medium",1,0)),"SI และ Rate เท่ากัน",IF(IF(M180="high",2,IF(M180="medium",1,0))&gt;IF(Y180="high",2,IF(Y180="medium",1,0)),"SI","Rate"))</f>
        <v/>
      </c>
    </row>
    <row r="181">
      <c r="A181" t="inlineStr">
        <is>
          <t>zone_519</t>
        </is>
      </c>
      <c r="B181" t="inlineStr">
        <is>
          <t>บางพลี-สุขสวัสดิ์</t>
        </is>
      </c>
      <c r="C181" t="inlineStr">
        <is>
          <t>สมุทรปราการ</t>
        </is>
      </c>
      <c r="D181" t="inlineStr">
        <is>
          <t>E007S013|I</t>
        </is>
      </c>
      <c r="E181" t="inlineStr">
        <is>
          <t>กทพ.</t>
        </is>
      </c>
      <c r="F181" t="inlineStr">
        <is>
          <t>7.5–7.6</t>
        </is>
      </c>
      <c r="G181" t="inlineStr">
        <is>
          <t>ทางพิเศษกาญจนาภิเษก(บางพลี-สุขสวัสดิ์)</t>
        </is>
      </c>
      <c r="H181" t="inlineStr">
        <is>
          <t>กทพ. ยอดผ่านด่านทั้งสาย ÷ 365</t>
        </is>
      </c>
      <c r="I181" t="n">
        <v>5</v>
      </c>
      <c r="J181" t="n">
        <v>0</v>
      </c>
      <c r="K181" t="n">
        <v>6</v>
      </c>
      <c r="L181" s="5" t="n">
        <v>1.2</v>
      </c>
      <c r="M181" t="inlineStr">
        <is>
          <t>medium</t>
        </is>
      </c>
      <c r="N181" s="6" t="n">
        <v>233037.0054794521</v>
      </c>
      <c r="O181" s="6" t="n">
        <v>233284.9890410959</v>
      </c>
      <c r="P181" s="6" t="n">
        <v>228365.901369863</v>
      </c>
      <c r="Q181" s="6">
        <f>AVERAGE(N181:P181)</f>
        <v/>
      </c>
      <c r="R181" t="n">
        <v>3</v>
      </c>
      <c r="S181" t="n">
        <v>1</v>
      </c>
      <c r="T181" s="7">
        <f>365*R181*Q181*S181/1000000</f>
        <v/>
      </c>
      <c r="U181" s="8">
        <f>I181/T181</f>
        <v/>
      </c>
      <c r="V181" s="8">
        <f>SUMIF($E$2:$E$599,E181,$I$2:$I$599)/SUMIF($E$2:$E$599,E181,$T$2:$T$599)</f>
        <v/>
      </c>
      <c r="W181" s="8">
        <f>V181+1.645*SQRT(V181/T181)+1/(2*T181)</f>
        <v/>
      </c>
      <c r="X181" s="5">
        <f>U181/W181</f>
        <v/>
      </c>
      <c r="Y181">
        <f>IF(U181&gt;W181,"high",IF(U181&gt;V181,"medium","low"))</f>
        <v/>
      </c>
      <c r="Z181">
        <f>CHOOSE(MAX(IF(M181="high",2,IF(M181="medium",1,0)),IF(Y181="high",2,IF(Y181="medium",1,0)))+1,"low","medium","high")</f>
        <v/>
      </c>
      <c r="AA181">
        <f>IF(IF(M181="high",2,IF(M181="medium",1,0))=IF(Y181="high",2,IF(Y181="medium",1,0)),"SI และ Rate เท่ากัน",IF(IF(M181="high",2,IF(M181="medium",1,0))&gt;IF(Y181="high",2,IF(Y181="medium",1,0)),"SI","Rate"))</f>
        <v/>
      </c>
    </row>
    <row r="182">
      <c r="A182" t="inlineStr">
        <is>
          <t>zone_532</t>
        </is>
      </c>
      <c r="B182" t="inlineStr">
        <is>
          <t>บางพลี-สุขสวัสดิ์</t>
        </is>
      </c>
      <c r="C182" t="inlineStr">
        <is>
          <t>สมุทรปราการ</t>
        </is>
      </c>
      <c r="D182" t="inlineStr">
        <is>
          <t>E007S013|I</t>
        </is>
      </c>
      <c r="E182" t="inlineStr">
        <is>
          <t>กทพ.</t>
        </is>
      </c>
      <c r="F182" t="inlineStr">
        <is>
          <t>4.2–4.5</t>
        </is>
      </c>
      <c r="G182" t="inlineStr">
        <is>
          <t>ทางพิเศษกาญจนาภิเษก(บางพลี-สุขสวัสดิ์)</t>
        </is>
      </c>
      <c r="H182" t="inlineStr">
        <is>
          <t>กทพ. ยอดผ่านด่านทั้งสาย ÷ 365</t>
        </is>
      </c>
      <c r="I182" t="n">
        <v>5</v>
      </c>
      <c r="J182" t="n">
        <v>0</v>
      </c>
      <c r="K182" t="n">
        <v>1</v>
      </c>
      <c r="L182" s="5" t="n">
        <v>0.2</v>
      </c>
      <c r="M182" t="inlineStr">
        <is>
          <t>low</t>
        </is>
      </c>
      <c r="N182" s="6" t="n">
        <v>233037.0054794521</v>
      </c>
      <c r="O182" s="6" t="n">
        <v>233284.9890410959</v>
      </c>
      <c r="P182" s="6" t="n">
        <v>228365.901369863</v>
      </c>
      <c r="Q182" s="6">
        <f>AVERAGE(N182:P182)</f>
        <v/>
      </c>
      <c r="R182" t="n">
        <v>3</v>
      </c>
      <c r="S182" t="n">
        <v>1</v>
      </c>
      <c r="T182" s="7">
        <f>365*R182*Q182*S182/1000000</f>
        <v/>
      </c>
      <c r="U182" s="8">
        <f>I182/T182</f>
        <v/>
      </c>
      <c r="V182" s="8">
        <f>SUMIF($E$2:$E$599,E182,$I$2:$I$599)/SUMIF($E$2:$E$599,E182,$T$2:$T$599)</f>
        <v/>
      </c>
      <c r="W182" s="8">
        <f>V182+1.645*SQRT(V182/T182)+1/(2*T182)</f>
        <v/>
      </c>
      <c r="X182" s="5">
        <f>U182/W182</f>
        <v/>
      </c>
      <c r="Y182">
        <f>IF(U182&gt;W182,"high",IF(U182&gt;V182,"medium","low"))</f>
        <v/>
      </c>
      <c r="Z182">
        <f>CHOOSE(MAX(IF(M182="high",2,IF(M182="medium",1,0)),IF(Y182="high",2,IF(Y182="medium",1,0)))+1,"low","medium","high")</f>
        <v/>
      </c>
      <c r="AA182">
        <f>IF(IF(M182="high",2,IF(M182="medium",1,0))=IF(Y182="high",2,IF(Y182="medium",1,0)),"SI และ Rate เท่ากัน",IF(IF(M182="high",2,IF(M182="medium",1,0))&gt;IF(Y182="high",2,IF(Y182="medium",1,0)),"SI","Rate"))</f>
        <v/>
      </c>
    </row>
    <row r="183">
      <c r="A183" t="inlineStr">
        <is>
          <t>zone_544</t>
        </is>
      </c>
      <c r="B183" t="inlineStr">
        <is>
          <t>บางพลี-สุขสวัสดิ์</t>
        </is>
      </c>
      <c r="C183" t="inlineStr">
        <is>
          <t>สมุทรปราการ</t>
        </is>
      </c>
      <c r="D183" t="inlineStr">
        <is>
          <t>E007S013|U</t>
        </is>
      </c>
      <c r="E183" t="inlineStr">
        <is>
          <t>กทพ.</t>
        </is>
      </c>
      <c r="F183" t="inlineStr">
        <is>
          <t>15.2–15.5</t>
        </is>
      </c>
      <c r="G183" t="inlineStr">
        <is>
          <t>ทางพิเศษกาญจนาภิเษก(บางพลี-สุขสวัสดิ์)</t>
        </is>
      </c>
      <c r="H183" t="inlineStr">
        <is>
          <t>กทพ. ยอดผ่านด่านทั้งสาย ÷ 365</t>
        </is>
      </c>
      <c r="I183" t="n">
        <v>5</v>
      </c>
      <c r="J183" t="n">
        <v>0</v>
      </c>
      <c r="K183" t="n">
        <v>0</v>
      </c>
      <c r="L183" s="5" t="n">
        <v>0</v>
      </c>
      <c r="M183" t="inlineStr">
        <is>
          <t>low</t>
        </is>
      </c>
      <c r="N183" s="6" t="n">
        <v>233037.0054794521</v>
      </c>
      <c r="O183" s="6" t="n">
        <v>233284.9890410959</v>
      </c>
      <c r="P183" s="6" t="n">
        <v>228365.901369863</v>
      </c>
      <c r="Q183" s="6">
        <f>AVERAGE(N183:P183)</f>
        <v/>
      </c>
      <c r="R183" t="n">
        <v>3</v>
      </c>
      <c r="S183" t="n">
        <v>1</v>
      </c>
      <c r="T183" s="7">
        <f>365*R183*Q183*S183/1000000</f>
        <v/>
      </c>
      <c r="U183" s="8">
        <f>I183/T183</f>
        <v/>
      </c>
      <c r="V183" s="8">
        <f>SUMIF($E$2:$E$599,E183,$I$2:$I$599)/SUMIF($E$2:$E$599,E183,$T$2:$T$599)</f>
        <v/>
      </c>
      <c r="W183" s="8">
        <f>V183+1.645*SQRT(V183/T183)+1/(2*T183)</f>
        <v/>
      </c>
      <c r="X183" s="5">
        <f>U183/W183</f>
        <v/>
      </c>
      <c r="Y183">
        <f>IF(U183&gt;W183,"high",IF(U183&gt;V183,"medium","low"))</f>
        <v/>
      </c>
      <c r="Z183">
        <f>CHOOSE(MAX(IF(M183="high",2,IF(M183="medium",1,0)),IF(Y183="high",2,IF(Y183="medium",1,0)))+1,"low","medium","high")</f>
        <v/>
      </c>
      <c r="AA183">
        <f>IF(IF(M183="high",2,IF(M183="medium",1,0))=IF(Y183="high",2,IF(Y183="medium",1,0)),"SI และ Rate เท่ากัน",IF(IF(M183="high",2,IF(M183="medium",1,0))&gt;IF(Y183="high",2,IF(Y183="medium",1,0)),"SI","Rate"))</f>
        <v/>
      </c>
    </row>
    <row r="184">
      <c r="A184" t="inlineStr">
        <is>
          <t>zone_563</t>
        </is>
      </c>
      <c r="B184" t="inlineStr">
        <is>
          <t>บางพลี-สุขสวัสดิ์</t>
        </is>
      </c>
      <c r="C184" t="inlineStr">
        <is>
          <t>สมุทรปราการ</t>
        </is>
      </c>
      <c r="D184" t="inlineStr">
        <is>
          <t>E007S013|I</t>
        </is>
      </c>
      <c r="E184" t="inlineStr">
        <is>
          <t>กทพ.</t>
        </is>
      </c>
      <c r="F184" t="inlineStr">
        <is>
          <t>17.5–18</t>
        </is>
      </c>
      <c r="G184" t="inlineStr">
        <is>
          <t>ทางพิเศษกาญจนาภิเษก(บางพลี-สุขสวัสดิ์)</t>
        </is>
      </c>
      <c r="H184" t="inlineStr">
        <is>
          <t>กทพ. ยอดผ่านด่านทั้งสาย ÷ 365</t>
        </is>
      </c>
      <c r="I184" t="n">
        <v>5</v>
      </c>
      <c r="J184" t="n">
        <v>0</v>
      </c>
      <c r="K184" t="n">
        <v>1</v>
      </c>
      <c r="L184" s="5" t="n">
        <v>0.2</v>
      </c>
      <c r="M184" t="inlineStr">
        <is>
          <t>low</t>
        </is>
      </c>
      <c r="N184" s="6" t="n">
        <v>233037.0054794521</v>
      </c>
      <c r="O184" s="6" t="n">
        <v>233284.9890410959</v>
      </c>
      <c r="P184" s="6" t="n">
        <v>228365.901369863</v>
      </c>
      <c r="Q184" s="6">
        <f>AVERAGE(N184:P184)</f>
        <v/>
      </c>
      <c r="R184" t="n">
        <v>3</v>
      </c>
      <c r="S184" t="n">
        <v>1</v>
      </c>
      <c r="T184" s="7">
        <f>365*R184*Q184*S184/1000000</f>
        <v/>
      </c>
      <c r="U184" s="8">
        <f>I184/T184</f>
        <v/>
      </c>
      <c r="V184" s="8">
        <f>SUMIF($E$2:$E$599,E184,$I$2:$I$599)/SUMIF($E$2:$E$599,E184,$T$2:$T$599)</f>
        <v/>
      </c>
      <c r="W184" s="8">
        <f>V184+1.645*SQRT(V184/T184)+1/(2*T184)</f>
        <v/>
      </c>
      <c r="X184" s="5">
        <f>U184/W184</f>
        <v/>
      </c>
      <c r="Y184">
        <f>IF(U184&gt;W184,"high",IF(U184&gt;V184,"medium","low"))</f>
        <v/>
      </c>
      <c r="Z184">
        <f>CHOOSE(MAX(IF(M184="high",2,IF(M184="medium",1,0)),IF(Y184="high",2,IF(Y184="medium",1,0)))+1,"low","medium","high")</f>
        <v/>
      </c>
      <c r="AA184">
        <f>IF(IF(M184="high",2,IF(M184="medium",1,0))=IF(Y184="high",2,IF(Y184="medium",1,0)),"SI และ Rate เท่ากัน",IF(IF(M184="high",2,IF(M184="medium",1,0))&gt;IF(Y184="high",2,IF(Y184="medium",1,0)),"SI","Rate"))</f>
        <v/>
      </c>
    </row>
    <row r="185">
      <c r="A185" t="inlineStr">
        <is>
          <t>zone_564</t>
        </is>
      </c>
      <c r="B185" t="inlineStr">
        <is>
          <t>บางพลี-สุขสวัสดิ์</t>
        </is>
      </c>
      <c r="C185" t="inlineStr">
        <is>
          <t>สมุทรปราการ</t>
        </is>
      </c>
      <c r="D185" t="inlineStr">
        <is>
          <t>E007S013|U</t>
        </is>
      </c>
      <c r="E185" t="inlineStr">
        <is>
          <t>กทพ.</t>
        </is>
      </c>
      <c r="F185" t="inlineStr">
        <is>
          <t>16.8–16.9</t>
        </is>
      </c>
      <c r="G185" t="inlineStr">
        <is>
          <t>ทางพิเศษกาญจนาภิเษก(บางพลี-สุขสวัสดิ์)</t>
        </is>
      </c>
      <c r="H185" t="inlineStr">
        <is>
          <t>กทพ. ยอดผ่านด่านทั้งสาย ÷ 365</t>
        </is>
      </c>
      <c r="I185" t="n">
        <v>5</v>
      </c>
      <c r="J185" t="n">
        <v>0</v>
      </c>
      <c r="K185" t="n">
        <v>0</v>
      </c>
      <c r="L185" s="5" t="n">
        <v>0</v>
      </c>
      <c r="M185" t="inlineStr">
        <is>
          <t>low</t>
        </is>
      </c>
      <c r="N185" s="6" t="n">
        <v>233037.0054794521</v>
      </c>
      <c r="O185" s="6" t="n">
        <v>233284.9890410959</v>
      </c>
      <c r="P185" s="6" t="n">
        <v>228365.901369863</v>
      </c>
      <c r="Q185" s="6">
        <f>AVERAGE(N185:P185)</f>
        <v/>
      </c>
      <c r="R185" t="n">
        <v>3</v>
      </c>
      <c r="S185" t="n">
        <v>1</v>
      </c>
      <c r="T185" s="7">
        <f>365*R185*Q185*S185/1000000</f>
        <v/>
      </c>
      <c r="U185" s="8">
        <f>I185/T185</f>
        <v/>
      </c>
      <c r="V185" s="8">
        <f>SUMIF($E$2:$E$599,E185,$I$2:$I$599)/SUMIF($E$2:$E$599,E185,$T$2:$T$599)</f>
        <v/>
      </c>
      <c r="W185" s="8">
        <f>V185+1.645*SQRT(V185/T185)+1/(2*T185)</f>
        <v/>
      </c>
      <c r="X185" s="5">
        <f>U185/W185</f>
        <v/>
      </c>
      <c r="Y185">
        <f>IF(U185&gt;W185,"high",IF(U185&gt;V185,"medium","low"))</f>
        <v/>
      </c>
      <c r="Z185">
        <f>CHOOSE(MAX(IF(M185="high",2,IF(M185="medium",1,0)),IF(Y185="high",2,IF(Y185="medium",1,0)))+1,"low","medium","high")</f>
        <v/>
      </c>
      <c r="AA185">
        <f>IF(IF(M185="high",2,IF(M185="medium",1,0))=IF(Y185="high",2,IF(Y185="medium",1,0)),"SI และ Rate เท่ากัน",IF(IF(M185="high",2,IF(M185="medium",1,0))&gt;IF(Y185="high",2,IF(Y185="medium",1,0)),"SI","Rate"))</f>
        <v/>
      </c>
    </row>
    <row r="186">
      <c r="A186" t="inlineStr">
        <is>
          <t>zone_614</t>
        </is>
      </c>
      <c r="B186" t="inlineStr">
        <is>
          <t>แยกสาครเกษม - คลองมะเดื่อ</t>
        </is>
      </c>
      <c r="C186" t="inlineStr">
        <is>
          <t>สมุทรสาคร</t>
        </is>
      </c>
      <c r="D186" t="inlineStr">
        <is>
          <t>3651</t>
        </is>
      </c>
      <c r="E186" t="inlineStr">
        <is>
          <t>ทล.</t>
        </is>
      </c>
      <c r="F186" t="inlineStr">
        <is>
          <t>1.92–2.48</t>
        </is>
      </c>
      <c r="G186" t="inlineStr">
        <is>
          <t>station_id 61 (ทล.3091 กม.0+500)</t>
        </is>
      </c>
      <c r="H186" t="inlineStr">
        <is>
          <t>ทล. สถานีตัวแทนตอนควบคุม</t>
        </is>
      </c>
      <c r="I186" t="n">
        <v>5</v>
      </c>
      <c r="J186" t="n">
        <v>2</v>
      </c>
      <c r="K186" t="n">
        <v>4</v>
      </c>
      <c r="L186" s="5" t="n">
        <v>1.2</v>
      </c>
      <c r="M186" t="inlineStr">
        <is>
          <t>medium</t>
        </is>
      </c>
      <c r="N186" s="6" t="n">
        <v>35856</v>
      </c>
      <c r="O186" s="6" t="n">
        <v>37288</v>
      </c>
      <c r="P186" s="6" t="n">
        <v>37588</v>
      </c>
      <c r="Q186" s="6">
        <f>AVERAGE(N186:P186)</f>
        <v/>
      </c>
      <c r="R186" t="n">
        <v>3</v>
      </c>
      <c r="S186" t="n">
        <v>1</v>
      </c>
      <c r="T186" s="7">
        <f>365*R186*Q186*S186/1000000</f>
        <v/>
      </c>
      <c r="U186" s="8">
        <f>I186/T186</f>
        <v/>
      </c>
      <c r="V186" s="8">
        <f>SUMIF($E$2:$E$599,E186,$I$2:$I$599)/SUMIF($E$2:$E$599,E186,$T$2:$T$599)</f>
        <v/>
      </c>
      <c r="W186" s="8">
        <f>V186+1.645*SQRT(V186/T186)+1/(2*T186)</f>
        <v/>
      </c>
      <c r="X186" s="5">
        <f>U186/W186</f>
        <v/>
      </c>
      <c r="Y186">
        <f>IF(U186&gt;W186,"high",IF(U186&gt;V186,"medium","low"))</f>
        <v/>
      </c>
      <c r="Z186">
        <f>CHOOSE(MAX(IF(M186="high",2,IF(M186="medium",1,0)),IF(Y186="high",2,IF(Y186="medium",1,0)))+1,"low","medium","high")</f>
        <v/>
      </c>
      <c r="AA186">
        <f>IF(IF(M186="high",2,IF(M186="medium",1,0))=IF(Y186="high",2,IF(Y186="medium",1,0)),"SI และ Rate เท่ากัน",IF(IF(M186="high",2,IF(M186="medium",1,0))&gt;IF(Y186="high",2,IF(Y186="medium",1,0)),"SI","Rate"))</f>
        <v/>
      </c>
    </row>
    <row r="187">
      <c r="A187" t="inlineStr">
        <is>
          <t>zone_389</t>
        </is>
      </c>
      <c r="B187" t="inlineStr">
        <is>
          <t>วัดนาบุญ - คลอง14</t>
        </is>
      </c>
      <c r="C187" t="inlineStr">
        <is>
          <t>ปทุมธานี</t>
        </is>
      </c>
      <c r="D187" t="inlineStr">
        <is>
          <t>305</t>
        </is>
      </c>
      <c r="E187" t="inlineStr">
        <is>
          <t>ทล.</t>
        </is>
      </c>
      <c r="F187" t="inlineStr">
        <is>
          <t>19.6–19.651</t>
        </is>
      </c>
      <c r="G187" t="inlineStr">
        <is>
          <t>station_id 55 (ทล.305 กม.25+870)</t>
        </is>
      </c>
      <c r="H187" t="inlineStr">
        <is>
          <t>ทล. สถานีตัวแทนตอนควบคุม</t>
        </is>
      </c>
      <c r="I187" t="n">
        <v>4</v>
      </c>
      <c r="J187" t="n">
        <v>0</v>
      </c>
      <c r="K187" t="n">
        <v>4</v>
      </c>
      <c r="L187" s="5" t="n">
        <v>1</v>
      </c>
      <c r="M187" t="inlineStr">
        <is>
          <t>medium</t>
        </is>
      </c>
      <c r="N187" s="6" t="n">
        <v>25444</v>
      </c>
      <c r="O187" s="6" t="n">
        <v>29884</v>
      </c>
      <c r="P187" s="6" t="n">
        <v>28156</v>
      </c>
      <c r="Q187" s="6">
        <f>AVERAGE(N187:P187)</f>
        <v/>
      </c>
      <c r="R187" t="n">
        <v>3</v>
      </c>
      <c r="S187" t="n">
        <v>1</v>
      </c>
      <c r="T187" s="7">
        <f>365*R187*Q187*S187/1000000</f>
        <v/>
      </c>
      <c r="U187" s="8">
        <f>I187/T187</f>
        <v/>
      </c>
      <c r="V187" s="8">
        <f>SUMIF($E$2:$E$599,E187,$I$2:$I$599)/SUMIF($E$2:$E$599,E187,$T$2:$T$599)</f>
        <v/>
      </c>
      <c r="W187" s="8">
        <f>V187+1.645*SQRT(V187/T187)+1/(2*T187)</f>
        <v/>
      </c>
      <c r="X187" s="5">
        <f>U187/W187</f>
        <v/>
      </c>
      <c r="Y187">
        <f>IF(U187&gt;W187,"high",IF(U187&gt;V187,"medium","low"))</f>
        <v/>
      </c>
      <c r="Z187">
        <f>CHOOSE(MAX(IF(M187="high",2,IF(M187="medium",1,0)),IF(Y187="high",2,IF(Y187="medium",1,0)))+1,"low","medium","high")</f>
        <v/>
      </c>
      <c r="AA187">
        <f>IF(IF(M187="high",2,IF(M187="medium",1,0))=IF(Y187="high",2,IF(Y187="medium",1,0)),"SI และ Rate เท่ากัน",IF(IF(M187="high",2,IF(M187="medium",1,0))&gt;IF(Y187="high",2,IF(Y187="medium",1,0)),"SI","Rate"))</f>
        <v/>
      </c>
    </row>
    <row r="188">
      <c r="A188" t="inlineStr">
        <is>
          <t>zone_515</t>
        </is>
      </c>
      <c r="B188" t="inlineStr">
        <is>
          <t>บางตำหรุ - คลองด่าน</t>
        </is>
      </c>
      <c r="C188" t="inlineStr">
        <is>
          <t>สมุทรปราการ</t>
        </is>
      </c>
      <c r="D188" t="inlineStr">
        <is>
          <t>3</t>
        </is>
      </c>
      <c r="E188" t="inlineStr">
        <is>
          <t>ทล.</t>
        </is>
      </c>
      <c r="F188" t="inlineStr">
        <is>
          <t>51.85–52.02</t>
        </is>
      </c>
      <c r="G188" t="inlineStr">
        <is>
          <t>station_id 137 (ทล.3 กม.40+800)</t>
        </is>
      </c>
      <c r="H188" t="inlineStr">
        <is>
          <t>ทล. สถานีตัวแทนตอนควบคุม</t>
        </is>
      </c>
      <c r="I188" t="n">
        <v>4</v>
      </c>
      <c r="J188" t="n">
        <v>1</v>
      </c>
      <c r="K188" t="n">
        <v>4</v>
      </c>
      <c r="L188" s="5" t="n">
        <v>1.25</v>
      </c>
      <c r="M188" t="inlineStr">
        <is>
          <t>medium</t>
        </is>
      </c>
      <c r="N188" s="6" t="n">
        <v>30051</v>
      </c>
      <c r="O188" s="6" t="n">
        <v>27433</v>
      </c>
      <c r="P188" s="6" t="n">
        <v>26664</v>
      </c>
      <c r="Q188" s="6">
        <f>AVERAGE(N188:P188)</f>
        <v/>
      </c>
      <c r="R188" t="n">
        <v>3</v>
      </c>
      <c r="S188" t="n">
        <v>1</v>
      </c>
      <c r="T188" s="7">
        <f>365*R188*Q188*S188/1000000</f>
        <v/>
      </c>
      <c r="U188" s="8">
        <f>I188/T188</f>
        <v/>
      </c>
      <c r="V188" s="8">
        <f>SUMIF($E$2:$E$599,E188,$I$2:$I$599)/SUMIF($E$2:$E$599,E188,$T$2:$T$599)</f>
        <v/>
      </c>
      <c r="W188" s="8">
        <f>V188+1.645*SQRT(V188/T188)+1/(2*T188)</f>
        <v/>
      </c>
      <c r="X188" s="5">
        <f>U188/W188</f>
        <v/>
      </c>
      <c r="Y188">
        <f>IF(U188&gt;W188,"high",IF(U188&gt;V188,"medium","low"))</f>
        <v/>
      </c>
      <c r="Z188">
        <f>CHOOSE(MAX(IF(M188="high",2,IF(M188="medium",1,0)),IF(Y188="high",2,IF(Y188="medium",1,0)))+1,"low","medium","high")</f>
        <v/>
      </c>
      <c r="AA188">
        <f>IF(IF(M188="high",2,IF(M188="medium",1,0))=IF(Y188="high",2,IF(Y188="medium",1,0)),"SI และ Rate เท่ากัน",IF(IF(M188="high",2,IF(M188="medium",1,0))&gt;IF(Y188="high",2,IF(Y188="medium",1,0)),"SI","Rate"))</f>
        <v/>
      </c>
    </row>
    <row r="189">
      <c r="A189" t="inlineStr">
        <is>
          <t>zone_323</t>
        </is>
      </c>
      <c r="B189" t="inlineStr">
        <is>
          <t>แยกทางหลวงหมายเลข 9 (กม.ที่ 42+500) - บ้านหนองเพรางาย</t>
        </is>
      </c>
      <c r="C189" t="inlineStr">
        <is>
          <t>นนทบุรี</t>
        </is>
      </c>
      <c r="D189" t="inlineStr">
        <is>
          <t>นบ.1002</t>
        </is>
      </c>
      <c r="E189" t="inlineStr">
        <is>
          <t>ทช.</t>
        </is>
      </c>
      <c r="F189" t="inlineStr">
        <is>
          <t>3.25–3.31</t>
        </is>
      </c>
      <c r="G189" t="inlineStr">
        <is>
          <t>นบ.1002</t>
        </is>
      </c>
      <c r="H189" t="inlineStr">
        <is>
          <t>ทช. AADT รายสายทาง</t>
        </is>
      </c>
      <c r="I189" t="n">
        <v>4</v>
      </c>
      <c r="J189" t="n">
        <v>0</v>
      </c>
      <c r="K189" t="n">
        <v>4</v>
      </c>
      <c r="L189" s="5" t="n">
        <v>1</v>
      </c>
      <c r="M189" t="inlineStr">
        <is>
          <t>medium</t>
        </is>
      </c>
      <c r="N189" s="6" t="n">
        <v>19261</v>
      </c>
      <c r="O189" s="6" t="n">
        <v>20230</v>
      </c>
      <c r="P189" s="6" t="n">
        <v>18338</v>
      </c>
      <c r="Q189" s="6">
        <f>AVERAGE(N189:P189)</f>
        <v/>
      </c>
      <c r="R189" t="n">
        <v>3</v>
      </c>
      <c r="S189" t="n">
        <v>1</v>
      </c>
      <c r="T189" s="7">
        <f>365*R189*Q189*S189/1000000</f>
        <v/>
      </c>
      <c r="U189" s="8">
        <f>I189/T189</f>
        <v/>
      </c>
      <c r="V189" s="8">
        <f>SUMIF($E$2:$E$599,E189,$I$2:$I$599)/SUMIF($E$2:$E$599,E189,$T$2:$T$599)</f>
        <v/>
      </c>
      <c r="W189" s="8">
        <f>V189+1.645*SQRT(V189/T189)+1/(2*T189)</f>
        <v/>
      </c>
      <c r="X189" s="5">
        <f>U189/W189</f>
        <v/>
      </c>
      <c r="Y189">
        <f>IF(U189&gt;W189,"high",IF(U189&gt;V189,"medium","low"))</f>
        <v/>
      </c>
      <c r="Z189">
        <f>CHOOSE(MAX(IF(M189="high",2,IF(M189="medium",1,0)),IF(Y189="high",2,IF(Y189="medium",1,0)))+1,"low","medium","high")</f>
        <v/>
      </c>
      <c r="AA189">
        <f>IF(IF(M189="high",2,IF(M189="medium",1,0))=IF(Y189="high",2,IF(Y189="medium",1,0)),"SI และ Rate เท่ากัน",IF(IF(M189="high",2,IF(M189="medium",1,0))&gt;IF(Y189="high",2,IF(Y189="medium",1,0)),"SI","Rate"))</f>
        <v/>
      </c>
    </row>
    <row r="190">
      <c r="A190" t="inlineStr">
        <is>
          <t>zone_315</t>
        </is>
      </c>
      <c r="B190" t="inlineStr">
        <is>
          <t>รามอินทรา-อาจณรงค์</t>
        </is>
      </c>
      <c r="C190" t="inlineStr">
        <is>
          <t>กรุงเทพมหานคร</t>
        </is>
      </c>
      <c r="D190" t="inlineStr">
        <is>
          <t>E003S008|U</t>
        </is>
      </c>
      <c r="E190" t="inlineStr">
        <is>
          <t>กทพ.</t>
        </is>
      </c>
      <c r="F190" t="inlineStr">
        <is>
          <t>8.9–9</t>
        </is>
      </c>
      <c r="G190" t="inlineStr">
        <is>
          <t>ฉลองรัช</t>
        </is>
      </c>
      <c r="H190" t="inlineStr">
        <is>
          <t>กทพ. ยอดผ่านด่านทั้งสาย ÷ 365</t>
        </is>
      </c>
      <c r="I190" t="n">
        <v>4</v>
      </c>
      <c r="J190" t="n">
        <v>0</v>
      </c>
      <c r="K190" t="n">
        <v>4</v>
      </c>
      <c r="L190" s="5" t="n">
        <v>1</v>
      </c>
      <c r="M190" t="inlineStr">
        <is>
          <t>medium</t>
        </is>
      </c>
      <c r="N190" s="6" t="n">
        <v>213053.802739726</v>
      </c>
      <c r="O190" s="6" t="n">
        <v>207436.4739726027</v>
      </c>
      <c r="P190" s="6" t="n">
        <v>205336.6383561644</v>
      </c>
      <c r="Q190" s="6">
        <f>AVERAGE(N190:P190)</f>
        <v/>
      </c>
      <c r="R190" t="n">
        <v>3</v>
      </c>
      <c r="S190" t="n">
        <v>1</v>
      </c>
      <c r="T190" s="7">
        <f>365*R190*Q190*S190/1000000</f>
        <v/>
      </c>
      <c r="U190" s="8">
        <f>I190/T190</f>
        <v/>
      </c>
      <c r="V190" s="8">
        <f>SUMIF($E$2:$E$599,E190,$I$2:$I$599)/SUMIF($E$2:$E$599,E190,$T$2:$T$599)</f>
        <v/>
      </c>
      <c r="W190" s="8">
        <f>V190+1.645*SQRT(V190/T190)+1/(2*T190)</f>
        <v/>
      </c>
      <c r="X190" s="5">
        <f>U190/W190</f>
        <v/>
      </c>
      <c r="Y190">
        <f>IF(U190&gt;W190,"high",IF(U190&gt;V190,"medium","low"))</f>
        <v/>
      </c>
      <c r="Z190">
        <f>CHOOSE(MAX(IF(M190="high",2,IF(M190="medium",1,0)),IF(Y190="high",2,IF(Y190="medium",1,0)))+1,"low","medium","high")</f>
        <v/>
      </c>
      <c r="AA190">
        <f>IF(IF(M190="high",2,IF(M190="medium",1,0))=IF(Y190="high",2,IF(Y190="medium",1,0)),"SI และ Rate เท่ากัน",IF(IF(M190="high",2,IF(M190="medium",1,0))&gt;IF(Y190="high",2,IF(Y190="medium",1,0)),"SI","Rate"))</f>
        <v/>
      </c>
    </row>
    <row r="191">
      <c r="A191" t="inlineStr">
        <is>
          <t>zone_264</t>
        </is>
      </c>
      <c r="B191" t="inlineStr">
        <is>
          <t>พญาไท-ศรีนครินทร์</t>
        </is>
      </c>
      <c r="C191" t="inlineStr">
        <is>
          <t>กรุงเทพมหานคร</t>
        </is>
      </c>
      <c r="D191" t="inlineStr">
        <is>
          <t>E002S016|I</t>
        </is>
      </c>
      <c r="E191" t="inlineStr">
        <is>
          <t>กทพ.</t>
        </is>
      </c>
      <c r="F191" t="inlineStr">
        <is>
          <t>8–8.4</t>
        </is>
      </c>
      <c r="G191" t="inlineStr">
        <is>
          <t>ศรีรัช</t>
        </is>
      </c>
      <c r="H191" t="inlineStr">
        <is>
          <t>กทพ. ยอดผ่านด่านทั้งสาย ÷ 365</t>
        </is>
      </c>
      <c r="I191" t="n">
        <v>9</v>
      </c>
      <c r="J191" t="n">
        <v>0</v>
      </c>
      <c r="K191" t="n">
        <v>9</v>
      </c>
      <c r="L191" s="5" t="n">
        <v>1</v>
      </c>
      <c r="M191" t="inlineStr">
        <is>
          <t>medium</t>
        </is>
      </c>
      <c r="N191" s="6" t="n">
        <v>613083.1506849315</v>
      </c>
      <c r="O191" s="6" t="n">
        <v>601127.7068493151</v>
      </c>
      <c r="P191" s="6" t="n">
        <v>607857.5287671232</v>
      </c>
      <c r="Q191" s="6">
        <f>AVERAGE(N191:P191)</f>
        <v/>
      </c>
      <c r="R191" t="n">
        <v>3</v>
      </c>
      <c r="S191" t="n">
        <v>1</v>
      </c>
      <c r="T191" s="7">
        <f>365*R191*Q191*S191/1000000</f>
        <v/>
      </c>
      <c r="U191" s="8">
        <f>I191/T191</f>
        <v/>
      </c>
      <c r="V191" s="8">
        <f>SUMIF($E$2:$E$599,E191,$I$2:$I$599)/SUMIF($E$2:$E$599,E191,$T$2:$T$599)</f>
        <v/>
      </c>
      <c r="W191" s="8">
        <f>V191+1.645*SQRT(V191/T191)+1/(2*T191)</f>
        <v/>
      </c>
      <c r="X191" s="5">
        <f>U191/W191</f>
        <v/>
      </c>
      <c r="Y191">
        <f>IF(U191&gt;W191,"high",IF(U191&gt;V191,"medium","low"))</f>
        <v/>
      </c>
      <c r="Z191">
        <f>CHOOSE(MAX(IF(M191="high",2,IF(M191="medium",1,0)),IF(Y191="high",2,IF(Y191="medium",1,0)))+1,"low","medium","high")</f>
        <v/>
      </c>
      <c r="AA191">
        <f>IF(IF(M191="high",2,IF(M191="medium",1,0))=IF(Y191="high",2,IF(Y191="medium",1,0)),"SI และ Rate เท่ากัน",IF(IF(M191="high",2,IF(M191="medium",1,0))&gt;IF(Y191="high",2,IF(Y191="medium",1,0)),"SI","Rate"))</f>
        <v/>
      </c>
    </row>
    <row r="192">
      <c r="A192" t="inlineStr">
        <is>
          <t>zone_492</t>
        </is>
      </c>
      <c r="B192" t="inlineStr">
        <is>
          <t>บางนา-ชลบุรี</t>
        </is>
      </c>
      <c r="C192" t="inlineStr">
        <is>
          <t>สมุทรปราการ</t>
        </is>
      </c>
      <c r="D192" t="inlineStr">
        <is>
          <t>E004S009|U</t>
        </is>
      </c>
      <c r="E192" t="inlineStr">
        <is>
          <t>กทพ.</t>
        </is>
      </c>
      <c r="F192" t="inlineStr">
        <is>
          <t>29.3–29.3</t>
        </is>
      </c>
      <c r="G192" t="inlineStr">
        <is>
          <t>บูรพาวิถี</t>
        </is>
      </c>
      <c r="H192" t="inlineStr">
        <is>
          <t>กทพ. ยอดผ่านด่านทั้งสาย ÷ 365</t>
        </is>
      </c>
      <c r="I192" t="n">
        <v>3</v>
      </c>
      <c r="J192" t="n">
        <v>0</v>
      </c>
      <c r="K192" t="n">
        <v>3</v>
      </c>
      <c r="L192" s="5" t="n">
        <v>1</v>
      </c>
      <c r="M192" t="inlineStr">
        <is>
          <t>medium</t>
        </is>
      </c>
      <c r="N192" s="6" t="n">
        <v>143309.3260273973</v>
      </c>
      <c r="O192" s="6" t="n">
        <v>145474.1863013699</v>
      </c>
      <c r="P192" s="6" t="n">
        <v>147094.4356164384</v>
      </c>
      <c r="Q192" s="6">
        <f>AVERAGE(N192:P192)</f>
        <v/>
      </c>
      <c r="R192" t="n">
        <v>3</v>
      </c>
      <c r="S192" t="n">
        <v>1</v>
      </c>
      <c r="T192" s="7">
        <f>365*R192*Q192*S192/1000000</f>
        <v/>
      </c>
      <c r="U192" s="8">
        <f>I192/T192</f>
        <v/>
      </c>
      <c r="V192" s="8">
        <f>SUMIF($E$2:$E$599,E192,$I$2:$I$599)/SUMIF($E$2:$E$599,E192,$T$2:$T$599)</f>
        <v/>
      </c>
      <c r="W192" s="8">
        <f>V192+1.645*SQRT(V192/T192)+1/(2*T192)</f>
        <v/>
      </c>
      <c r="X192" s="5">
        <f>U192/W192</f>
        <v/>
      </c>
      <c r="Y192">
        <f>IF(U192&gt;W192,"high",IF(U192&gt;V192,"medium","low"))</f>
        <v/>
      </c>
      <c r="Z192">
        <f>CHOOSE(MAX(IF(M192="high",2,IF(M192="medium",1,0)),IF(Y192="high",2,IF(Y192="medium",1,0)))+1,"low","medium","high")</f>
        <v/>
      </c>
      <c r="AA192">
        <f>IF(IF(M192="high",2,IF(M192="medium",1,0))=IF(Y192="high",2,IF(Y192="medium",1,0)),"SI และ Rate เท่ากัน",IF(IF(M192="high",2,IF(M192="medium",1,0))&gt;IF(Y192="high",2,IF(Y192="medium",1,0)),"SI","Rate"))</f>
        <v/>
      </c>
    </row>
    <row r="193">
      <c r="A193" t="inlineStr">
        <is>
          <t>zone_494</t>
        </is>
      </c>
      <c r="B193" t="inlineStr">
        <is>
          <t>บางนา-ชลบุรี</t>
        </is>
      </c>
      <c r="C193" t="inlineStr">
        <is>
          <t>สมุทรปราการ</t>
        </is>
      </c>
      <c r="D193" t="inlineStr">
        <is>
          <t>E004S009|I</t>
        </is>
      </c>
      <c r="E193" t="inlineStr">
        <is>
          <t>กทพ.</t>
        </is>
      </c>
      <c r="F193" t="inlineStr">
        <is>
          <t>5.6–5.7</t>
        </is>
      </c>
      <c r="G193" t="inlineStr">
        <is>
          <t>บูรพาวิถี</t>
        </is>
      </c>
      <c r="H193" t="inlineStr">
        <is>
          <t>กทพ. ยอดผ่านด่านทั้งสาย ÷ 365</t>
        </is>
      </c>
      <c r="I193" t="n">
        <v>3</v>
      </c>
      <c r="J193" t="n">
        <v>0</v>
      </c>
      <c r="K193" t="n">
        <v>4</v>
      </c>
      <c r="L193" s="5" t="n">
        <v>1.3333</v>
      </c>
      <c r="M193" t="inlineStr">
        <is>
          <t>medium</t>
        </is>
      </c>
      <c r="N193" s="6" t="n">
        <v>143309.3260273973</v>
      </c>
      <c r="O193" s="6" t="n">
        <v>145474.1863013699</v>
      </c>
      <c r="P193" s="6" t="n">
        <v>147094.4356164384</v>
      </c>
      <c r="Q193" s="6">
        <f>AVERAGE(N193:P193)</f>
        <v/>
      </c>
      <c r="R193" t="n">
        <v>3</v>
      </c>
      <c r="S193" t="n">
        <v>1</v>
      </c>
      <c r="T193" s="7">
        <f>365*R193*Q193*S193/1000000</f>
        <v/>
      </c>
      <c r="U193" s="8">
        <f>I193/T193</f>
        <v/>
      </c>
      <c r="V193" s="8">
        <f>SUMIF($E$2:$E$599,E193,$I$2:$I$599)/SUMIF($E$2:$E$599,E193,$T$2:$T$599)</f>
        <v/>
      </c>
      <c r="W193" s="8">
        <f>V193+1.645*SQRT(V193/T193)+1/(2*T193)</f>
        <v/>
      </c>
      <c r="X193" s="5">
        <f>U193/W193</f>
        <v/>
      </c>
      <c r="Y193">
        <f>IF(U193&gt;W193,"high",IF(U193&gt;V193,"medium","low"))</f>
        <v/>
      </c>
      <c r="Z193">
        <f>CHOOSE(MAX(IF(M193="high",2,IF(M193="medium",1,0)),IF(Y193="high",2,IF(Y193="medium",1,0)))+1,"low","medium","high")</f>
        <v/>
      </c>
      <c r="AA193">
        <f>IF(IF(M193="high",2,IF(M193="medium",1,0))=IF(Y193="high",2,IF(Y193="medium",1,0)),"SI และ Rate เท่ากัน",IF(IF(M193="high",2,IF(M193="medium",1,0))&gt;IF(Y193="high",2,IF(Y193="medium",1,0)),"SI","Rate"))</f>
        <v/>
      </c>
    </row>
    <row r="194">
      <c r="A194" t="inlineStr">
        <is>
          <t>zone_543</t>
        </is>
      </c>
      <c r="B194" t="inlineStr">
        <is>
          <t>บางนา-ชลบุรี</t>
        </is>
      </c>
      <c r="C194" t="inlineStr">
        <is>
          <t>สมุทรปราการ</t>
        </is>
      </c>
      <c r="D194" t="inlineStr">
        <is>
          <t>E004S009|U</t>
        </is>
      </c>
      <c r="E194" t="inlineStr">
        <is>
          <t>กทพ.</t>
        </is>
      </c>
      <c r="F194" t="inlineStr">
        <is>
          <t>12.4–12.4</t>
        </is>
      </c>
      <c r="G194" t="inlineStr">
        <is>
          <t>บูรพาวิถี</t>
        </is>
      </c>
      <c r="H194" t="inlineStr">
        <is>
          <t>กทพ. ยอดผ่านด่านทั้งสาย ÷ 365</t>
        </is>
      </c>
      <c r="I194" t="n">
        <v>3</v>
      </c>
      <c r="J194" t="n">
        <v>0</v>
      </c>
      <c r="K194" t="n">
        <v>4</v>
      </c>
      <c r="L194" s="5" t="n">
        <v>1.3333</v>
      </c>
      <c r="M194" t="inlineStr">
        <is>
          <t>medium</t>
        </is>
      </c>
      <c r="N194" s="6" t="n">
        <v>143309.3260273973</v>
      </c>
      <c r="O194" s="6" t="n">
        <v>145474.1863013699</v>
      </c>
      <c r="P194" s="6" t="n">
        <v>147094.4356164384</v>
      </c>
      <c r="Q194" s="6">
        <f>AVERAGE(N194:P194)</f>
        <v/>
      </c>
      <c r="R194" t="n">
        <v>3</v>
      </c>
      <c r="S194" t="n">
        <v>1</v>
      </c>
      <c r="T194" s="7">
        <f>365*R194*Q194*S194/1000000</f>
        <v/>
      </c>
      <c r="U194" s="8">
        <f>I194/T194</f>
        <v/>
      </c>
      <c r="V194" s="8">
        <f>SUMIF($E$2:$E$599,E194,$I$2:$I$599)/SUMIF($E$2:$E$599,E194,$T$2:$T$599)</f>
        <v/>
      </c>
      <c r="W194" s="8">
        <f>V194+1.645*SQRT(V194/T194)+1/(2*T194)</f>
        <v/>
      </c>
      <c r="X194" s="5">
        <f>U194/W194</f>
        <v/>
      </c>
      <c r="Y194">
        <f>IF(U194&gt;W194,"high",IF(U194&gt;V194,"medium","low"))</f>
        <v/>
      </c>
      <c r="Z194">
        <f>CHOOSE(MAX(IF(M194="high",2,IF(M194="medium",1,0)),IF(Y194="high",2,IF(Y194="medium",1,0)))+1,"low","medium","high")</f>
        <v/>
      </c>
      <c r="AA194">
        <f>IF(IF(M194="high",2,IF(M194="medium",1,0))=IF(Y194="high",2,IF(Y194="medium",1,0)),"SI และ Rate เท่ากัน",IF(IF(M194="high",2,IF(M194="medium",1,0))&gt;IF(Y194="high",2,IF(Y194="medium",1,0)),"SI","Rate"))</f>
        <v/>
      </c>
    </row>
    <row r="195">
      <c r="A195" t="inlineStr">
        <is>
          <t>zone_247</t>
        </is>
      </c>
      <c r="B195" t="inlineStr">
        <is>
          <t>พระประแดง - บางแค</t>
        </is>
      </c>
      <c r="C195" t="inlineStr">
        <is>
          <t>กรุงเทพมหานคร</t>
        </is>
      </c>
      <c r="D195" t="inlineStr">
        <is>
          <t>3902</t>
        </is>
      </c>
      <c r="E195" t="inlineStr">
        <is>
          <t>ทล.</t>
        </is>
      </c>
      <c r="F195" t="inlineStr">
        <is>
          <t>4.5–5.2</t>
        </is>
      </c>
      <c r="G195" t="inlineStr">
        <is>
          <t>station_id 130 (ทล.3902 กม.20+430)</t>
        </is>
      </c>
      <c r="H195" t="inlineStr">
        <is>
          <t>ทล. สถานีตัวแทนตอนควบคุม</t>
        </is>
      </c>
      <c r="I195" t="n">
        <v>4</v>
      </c>
      <c r="J195" t="n">
        <v>1</v>
      </c>
      <c r="K195" t="n">
        <v>5</v>
      </c>
      <c r="L195" s="5" t="n">
        <v>1.5</v>
      </c>
      <c r="M195" t="inlineStr">
        <is>
          <t>medium</t>
        </is>
      </c>
      <c r="N195" s="6" t="n">
        <v>27004</v>
      </c>
      <c r="O195" s="6" t="n">
        <v>33591</v>
      </c>
      <c r="P195" s="6" t="n">
        <v>38106</v>
      </c>
      <c r="Q195" s="6">
        <f>AVERAGE(N195:P195)</f>
        <v/>
      </c>
      <c r="R195" t="n">
        <v>3</v>
      </c>
      <c r="S195" t="n">
        <v>1</v>
      </c>
      <c r="T195" s="7">
        <f>365*R195*Q195*S195/1000000</f>
        <v/>
      </c>
      <c r="U195" s="8">
        <f>I195/T195</f>
        <v/>
      </c>
      <c r="V195" s="8">
        <f>SUMIF($E$2:$E$599,E195,$I$2:$I$599)/SUMIF($E$2:$E$599,E195,$T$2:$T$599)</f>
        <v/>
      </c>
      <c r="W195" s="8">
        <f>V195+1.645*SQRT(V195/T195)+1/(2*T195)</f>
        <v/>
      </c>
      <c r="X195" s="5">
        <f>U195/W195</f>
        <v/>
      </c>
      <c r="Y195">
        <f>IF(U195&gt;W195,"high",IF(U195&gt;V195,"medium","low"))</f>
        <v/>
      </c>
      <c r="Z195">
        <f>CHOOSE(MAX(IF(M195="high",2,IF(M195="medium",1,0)),IF(Y195="high",2,IF(Y195="medium",1,0)))+1,"low","medium","high")</f>
        <v/>
      </c>
      <c r="AA195">
        <f>IF(IF(M195="high",2,IF(M195="medium",1,0))=IF(Y195="high",2,IF(Y195="medium",1,0)),"SI และ Rate เท่ากัน",IF(IF(M195="high",2,IF(M195="medium",1,0))&gt;IF(Y195="high",2,IF(Y195="medium",1,0)),"SI","Rate"))</f>
        <v/>
      </c>
    </row>
    <row r="196">
      <c r="A196" t="inlineStr">
        <is>
          <t>zone_288</t>
        </is>
      </c>
      <c r="B196" t="inlineStr">
        <is>
          <t>พระประแดง - บางแค</t>
        </is>
      </c>
      <c r="C196" t="inlineStr">
        <is>
          <t>กรุงเทพมหานคร</t>
        </is>
      </c>
      <c r="D196" t="inlineStr">
        <is>
          <t>3902</t>
        </is>
      </c>
      <c r="E196" t="inlineStr">
        <is>
          <t>ทล.</t>
        </is>
      </c>
      <c r="F196" t="inlineStr">
        <is>
          <t>3.57–3.71</t>
        </is>
      </c>
      <c r="G196" t="inlineStr">
        <is>
          <t>station_id 130 (ทล.3902 กม.20+430)</t>
        </is>
      </c>
      <c r="H196" t="inlineStr">
        <is>
          <t>ทล. สถานีตัวแทนตอนควบคุม</t>
        </is>
      </c>
      <c r="I196" t="n">
        <v>4</v>
      </c>
      <c r="J196" t="n">
        <v>1</v>
      </c>
      <c r="K196" t="n">
        <v>6</v>
      </c>
      <c r="L196" s="5" t="n">
        <v>1.75</v>
      </c>
      <c r="M196" t="inlineStr">
        <is>
          <t>medium</t>
        </is>
      </c>
      <c r="N196" s="6" t="n">
        <v>27004</v>
      </c>
      <c r="O196" s="6" t="n">
        <v>33591</v>
      </c>
      <c r="P196" s="6" t="n">
        <v>38106</v>
      </c>
      <c r="Q196" s="6">
        <f>AVERAGE(N196:P196)</f>
        <v/>
      </c>
      <c r="R196" t="n">
        <v>3</v>
      </c>
      <c r="S196" t="n">
        <v>1</v>
      </c>
      <c r="T196" s="7">
        <f>365*R196*Q196*S196/1000000</f>
        <v/>
      </c>
      <c r="U196" s="8">
        <f>I196/T196</f>
        <v/>
      </c>
      <c r="V196" s="8">
        <f>SUMIF($E$2:$E$599,E196,$I$2:$I$599)/SUMIF($E$2:$E$599,E196,$T$2:$T$599)</f>
        <v/>
      </c>
      <c r="W196" s="8">
        <f>V196+1.645*SQRT(V196/T196)+1/(2*T196)</f>
        <v/>
      </c>
      <c r="X196" s="5">
        <f>U196/W196</f>
        <v/>
      </c>
      <c r="Y196">
        <f>IF(U196&gt;W196,"high",IF(U196&gt;V196,"medium","low"))</f>
        <v/>
      </c>
      <c r="Z196">
        <f>CHOOSE(MAX(IF(M196="high",2,IF(M196="medium",1,0)),IF(Y196="high",2,IF(Y196="medium",1,0)))+1,"low","medium","high")</f>
        <v/>
      </c>
      <c r="AA196">
        <f>IF(IF(M196="high",2,IF(M196="medium",1,0))=IF(Y196="high",2,IF(Y196="medium",1,0)),"SI และ Rate เท่ากัน",IF(IF(M196="high",2,IF(M196="medium",1,0))&gt;IF(Y196="high",2,IF(Y196="medium",1,0)),"SI","Rate"))</f>
        <v/>
      </c>
    </row>
    <row r="197">
      <c r="A197" t="inlineStr">
        <is>
          <t>zone_390</t>
        </is>
      </c>
      <c r="B197" t="inlineStr">
        <is>
          <t>แยกทางหลวงหมายเลข 305 (กม.ที่ 15+700) - บ้านลำลูกกา</t>
        </is>
      </c>
      <c r="C197" t="inlineStr">
        <is>
          <t>ปทุมธานี</t>
        </is>
      </c>
      <c r="D197" t="inlineStr">
        <is>
          <t>ปท.3004</t>
        </is>
      </c>
      <c r="E197" t="inlineStr">
        <is>
          <t>ทช.</t>
        </is>
      </c>
      <c r="F197" t="inlineStr">
        <is>
          <t>7.51–7.6</t>
        </is>
      </c>
      <c r="G197" t="inlineStr">
        <is>
          <t>ปท.3004</t>
        </is>
      </c>
      <c r="H197" t="inlineStr">
        <is>
          <t>ทช. AADT รายสายทาง</t>
        </is>
      </c>
      <c r="I197" t="n">
        <v>4</v>
      </c>
      <c r="J197" t="n">
        <v>4</v>
      </c>
      <c r="K197" t="n">
        <v>2</v>
      </c>
      <c r="L197" s="5" t="n">
        <v>1.5</v>
      </c>
      <c r="M197" t="inlineStr">
        <is>
          <t>medium</t>
        </is>
      </c>
      <c r="N197" s="6" t="n">
        <v>24945</v>
      </c>
      <c r="O197" s="6" t="n">
        <v>26199</v>
      </c>
      <c r="P197" s="6" t="n">
        <v>27029</v>
      </c>
      <c r="Q197" s="6">
        <f>AVERAGE(N197:P197)</f>
        <v/>
      </c>
      <c r="R197" t="n">
        <v>3</v>
      </c>
      <c r="S197" t="n">
        <v>1</v>
      </c>
      <c r="T197" s="7">
        <f>365*R197*Q197*S197/1000000</f>
        <v/>
      </c>
      <c r="U197" s="8">
        <f>I197/T197</f>
        <v/>
      </c>
      <c r="V197" s="8">
        <f>SUMIF($E$2:$E$599,E197,$I$2:$I$599)/SUMIF($E$2:$E$599,E197,$T$2:$T$599)</f>
        <v/>
      </c>
      <c r="W197" s="8">
        <f>V197+1.645*SQRT(V197/T197)+1/(2*T197)</f>
        <v/>
      </c>
      <c r="X197" s="5">
        <f>U197/W197</f>
        <v/>
      </c>
      <c r="Y197">
        <f>IF(U197&gt;W197,"high",IF(U197&gt;V197,"medium","low"))</f>
        <v/>
      </c>
      <c r="Z197">
        <f>CHOOSE(MAX(IF(M197="high",2,IF(M197="medium",1,0)),IF(Y197="high",2,IF(Y197="medium",1,0)))+1,"low","medium","high")</f>
        <v/>
      </c>
      <c r="AA197">
        <f>IF(IF(M197="high",2,IF(M197="medium",1,0))=IF(Y197="high",2,IF(Y197="medium",1,0)),"SI และ Rate เท่ากัน",IF(IF(M197="high",2,IF(M197="medium",1,0))&gt;IF(Y197="high",2,IF(Y197="medium",1,0)),"SI","Rate"))</f>
        <v/>
      </c>
    </row>
    <row r="198">
      <c r="A198" t="inlineStr">
        <is>
          <t>zone_120</t>
        </is>
      </c>
      <c r="B198" t="inlineStr">
        <is>
          <t>ดินแดง - งามวงศ์วาน</t>
        </is>
      </c>
      <c r="C198" t="inlineStr">
        <is>
          <t>กรุงเทพมหานคร</t>
        </is>
      </c>
      <c r="D198" t="inlineStr">
        <is>
          <t>31</t>
        </is>
      </c>
      <c r="E198" t="inlineStr">
        <is>
          <t>ทล.</t>
        </is>
      </c>
      <c r="F198" t="inlineStr">
        <is>
          <t>10.56–10.873</t>
        </is>
      </c>
      <c r="G198" t="inlineStr">
        <is>
          <t>station_id 104 (ทล.302 กม.5+822)</t>
        </is>
      </c>
      <c r="H198" t="inlineStr">
        <is>
          <t>ทล. สถานีตัวแทนตอนควบคุม</t>
        </is>
      </c>
      <c r="I198" t="n">
        <v>9</v>
      </c>
      <c r="J198" t="n">
        <v>0</v>
      </c>
      <c r="K198" t="n">
        <v>11</v>
      </c>
      <c r="L198" s="5" t="n">
        <v>1.2222</v>
      </c>
      <c r="M198" t="inlineStr">
        <is>
          <t>medium</t>
        </is>
      </c>
      <c r="N198" s="6" t="n">
        <v>111493</v>
      </c>
      <c r="O198" s="6" t="n">
        <v>113776</v>
      </c>
      <c r="P198" s="6" t="n">
        <v>111297</v>
      </c>
      <c r="Q198" s="6">
        <f>AVERAGE(N198:P198)</f>
        <v/>
      </c>
      <c r="R198" t="n">
        <v>3</v>
      </c>
      <c r="S198" t="n">
        <v>1</v>
      </c>
      <c r="T198" s="7">
        <f>365*R198*Q198*S198/1000000</f>
        <v/>
      </c>
      <c r="U198" s="8">
        <f>I198/T198</f>
        <v/>
      </c>
      <c r="V198" s="8">
        <f>SUMIF($E$2:$E$599,E198,$I$2:$I$599)/SUMIF($E$2:$E$599,E198,$T$2:$T$599)</f>
        <v/>
      </c>
      <c r="W198" s="8">
        <f>V198+1.645*SQRT(V198/T198)+1/(2*T198)</f>
        <v/>
      </c>
      <c r="X198" s="5">
        <f>U198/W198</f>
        <v/>
      </c>
      <c r="Y198">
        <f>IF(U198&gt;W198,"high",IF(U198&gt;V198,"medium","low"))</f>
        <v/>
      </c>
      <c r="Z198">
        <f>CHOOSE(MAX(IF(M198="high",2,IF(M198="medium",1,0)),IF(Y198="high",2,IF(Y198="medium",1,0)))+1,"low","medium","high")</f>
        <v/>
      </c>
      <c r="AA198">
        <f>IF(IF(M198="high",2,IF(M198="medium",1,0))=IF(Y198="high",2,IF(Y198="medium",1,0)),"SI และ Rate เท่ากัน",IF(IF(M198="high",2,IF(M198="medium",1,0))&gt;IF(Y198="high",2,IF(Y198="medium",1,0)),"SI","Rate"))</f>
        <v/>
      </c>
    </row>
    <row r="199">
      <c r="A199" t="inlineStr">
        <is>
          <t>zone_446</t>
        </is>
      </c>
      <c r="B199" t="inlineStr">
        <is>
          <t>วัดนาบุญ - คลอง14</t>
        </is>
      </c>
      <c r="C199" t="inlineStr">
        <is>
          <t>ปทุมธานี</t>
        </is>
      </c>
      <c r="D199" t="inlineStr">
        <is>
          <t>305</t>
        </is>
      </c>
      <c r="E199" t="inlineStr">
        <is>
          <t>ทล.</t>
        </is>
      </c>
      <c r="F199" t="inlineStr">
        <is>
          <t>29–29.2</t>
        </is>
      </c>
      <c r="G199" t="inlineStr">
        <is>
          <t>station_id 55 (ทล.305 กม.25+870)</t>
        </is>
      </c>
      <c r="H199" t="inlineStr">
        <is>
          <t>ทล. สถานีตัวแทนตอนควบคุม</t>
        </is>
      </c>
      <c r="I199" t="n">
        <v>3</v>
      </c>
      <c r="J199" t="n">
        <v>2</v>
      </c>
      <c r="K199" t="n">
        <v>1</v>
      </c>
      <c r="L199" s="5" t="n">
        <v>1</v>
      </c>
      <c r="M199" t="inlineStr">
        <is>
          <t>medium</t>
        </is>
      </c>
      <c r="N199" s="6" t="n">
        <v>25444</v>
      </c>
      <c r="O199" s="6" t="n">
        <v>29884</v>
      </c>
      <c r="P199" s="6" t="n">
        <v>28156</v>
      </c>
      <c r="Q199" s="6">
        <f>AVERAGE(N199:P199)</f>
        <v/>
      </c>
      <c r="R199" t="n">
        <v>3</v>
      </c>
      <c r="S199" t="n">
        <v>1</v>
      </c>
      <c r="T199" s="7">
        <f>365*R199*Q199*S199/1000000</f>
        <v/>
      </c>
      <c r="U199" s="8">
        <f>I199/T199</f>
        <v/>
      </c>
      <c r="V199" s="8">
        <f>SUMIF($E$2:$E$599,E199,$I$2:$I$599)/SUMIF($E$2:$E$599,E199,$T$2:$T$599)</f>
        <v/>
      </c>
      <c r="W199" s="8">
        <f>V199+1.645*SQRT(V199/T199)+1/(2*T199)</f>
        <v/>
      </c>
      <c r="X199" s="5">
        <f>U199/W199</f>
        <v/>
      </c>
      <c r="Y199">
        <f>IF(U199&gt;W199,"high",IF(U199&gt;V199,"medium","low"))</f>
        <v/>
      </c>
      <c r="Z199">
        <f>CHOOSE(MAX(IF(M199="high",2,IF(M199="medium",1,0)),IF(Y199="high",2,IF(Y199="medium",1,0)))+1,"low","medium","high")</f>
        <v/>
      </c>
      <c r="AA199">
        <f>IF(IF(M199="high",2,IF(M199="medium",1,0))=IF(Y199="high",2,IF(Y199="medium",1,0)),"SI และ Rate เท่ากัน",IF(IF(M199="high",2,IF(M199="medium",1,0))&gt;IF(Y199="high",2,IF(Y199="medium",1,0)),"SI","Rate"))</f>
        <v/>
      </c>
    </row>
    <row r="200">
      <c r="A200" t="inlineStr">
        <is>
          <t>zone_204</t>
        </is>
      </c>
      <c r="B200" t="inlineStr">
        <is>
          <t>แยกเข้ามีนบุรี - คลองหลวงแพ่ง</t>
        </is>
      </c>
      <c r="C200" t="inlineStr">
        <is>
          <t>กรุงเทพมหานคร</t>
        </is>
      </c>
      <c r="D200" t="inlineStr">
        <is>
          <t>304</t>
        </is>
      </c>
      <c r="E200" t="inlineStr">
        <is>
          <t>ทล.</t>
        </is>
      </c>
      <c r="F200" t="inlineStr">
        <is>
          <t>39.85–40</t>
        </is>
      </c>
      <c r="G200" t="inlineStr">
        <is>
          <t>station_id 2 (ทล.304 กม.28+250)</t>
        </is>
      </c>
      <c r="H200" t="inlineStr">
        <is>
          <t>ทล. สถานีตัวแทนตอนควบคุม</t>
        </is>
      </c>
      <c r="I200" t="n">
        <v>5</v>
      </c>
      <c r="J200" t="n">
        <v>1</v>
      </c>
      <c r="K200" t="n">
        <v>4</v>
      </c>
      <c r="L200" s="5" t="n">
        <v>1</v>
      </c>
      <c r="M200" t="inlineStr">
        <is>
          <t>medium</t>
        </is>
      </c>
      <c r="N200" s="6" t="n">
        <v>51653</v>
      </c>
      <c r="O200" s="6" t="n">
        <v>53216</v>
      </c>
      <c r="P200" s="6" t="n">
        <v>78286</v>
      </c>
      <c r="Q200" s="6">
        <f>AVERAGE(N200:P200)</f>
        <v/>
      </c>
      <c r="R200" t="n">
        <v>3</v>
      </c>
      <c r="S200" t="n">
        <v>1</v>
      </c>
      <c r="T200" s="7">
        <f>365*R200*Q200*S200/1000000</f>
        <v/>
      </c>
      <c r="U200" s="8">
        <f>I200/T200</f>
        <v/>
      </c>
      <c r="V200" s="8">
        <f>SUMIF($E$2:$E$599,E200,$I$2:$I$599)/SUMIF($E$2:$E$599,E200,$T$2:$T$599)</f>
        <v/>
      </c>
      <c r="W200" s="8">
        <f>V200+1.645*SQRT(V200/T200)+1/(2*T200)</f>
        <v/>
      </c>
      <c r="X200" s="5">
        <f>U200/W200</f>
        <v/>
      </c>
      <c r="Y200">
        <f>IF(U200&gt;W200,"high",IF(U200&gt;V200,"medium","low"))</f>
        <v/>
      </c>
      <c r="Z200">
        <f>CHOOSE(MAX(IF(M200="high",2,IF(M200="medium",1,0)),IF(Y200="high",2,IF(Y200="medium",1,0)))+1,"low","medium","high")</f>
        <v/>
      </c>
      <c r="AA200">
        <f>IF(IF(M200="high",2,IF(M200="medium",1,0))=IF(Y200="high",2,IF(Y200="medium",1,0)),"SI และ Rate เท่ากัน",IF(IF(M200="high",2,IF(M200="medium",1,0))&gt;IF(Y200="high",2,IF(Y200="medium",1,0)),"SI","Rate"))</f>
        <v/>
      </c>
    </row>
    <row r="201">
      <c r="A201" t="inlineStr">
        <is>
          <t>zone_295</t>
        </is>
      </c>
      <c r="B201" t="inlineStr">
        <is>
          <t>พระประแดง - บางแค</t>
        </is>
      </c>
      <c r="C201" t="inlineStr">
        <is>
          <t>กรุงเทพมหานคร</t>
        </is>
      </c>
      <c r="D201" t="inlineStr">
        <is>
          <t>3902</t>
        </is>
      </c>
      <c r="E201" t="inlineStr">
        <is>
          <t>ทล.</t>
        </is>
      </c>
      <c r="F201" t="inlineStr">
        <is>
          <t>11.8–11.85</t>
        </is>
      </c>
      <c r="G201" t="inlineStr">
        <is>
          <t>station_id 130 (ทล.3902 กม.20+430)</t>
        </is>
      </c>
      <c r="H201" t="inlineStr">
        <is>
          <t>ทล. สถานีตัวแทนตอนควบคุม</t>
        </is>
      </c>
      <c r="I201" t="n">
        <v>3</v>
      </c>
      <c r="J201" t="n">
        <v>0</v>
      </c>
      <c r="K201" t="n">
        <v>5</v>
      </c>
      <c r="L201" s="5" t="n">
        <v>1.6667</v>
      </c>
      <c r="M201" t="inlineStr">
        <is>
          <t>medium</t>
        </is>
      </c>
      <c r="N201" s="6" t="n">
        <v>27004</v>
      </c>
      <c r="O201" s="6" t="n">
        <v>33591</v>
      </c>
      <c r="P201" s="6" t="n">
        <v>38106</v>
      </c>
      <c r="Q201" s="6">
        <f>AVERAGE(N201:P201)</f>
        <v/>
      </c>
      <c r="R201" t="n">
        <v>3</v>
      </c>
      <c r="S201" t="n">
        <v>1</v>
      </c>
      <c r="T201" s="7">
        <f>365*R201*Q201*S201/1000000</f>
        <v/>
      </c>
      <c r="U201" s="8">
        <f>I201/T201</f>
        <v/>
      </c>
      <c r="V201" s="8">
        <f>SUMIF($E$2:$E$599,E201,$I$2:$I$599)/SUMIF($E$2:$E$599,E201,$T$2:$T$599)</f>
        <v/>
      </c>
      <c r="W201" s="8">
        <f>V201+1.645*SQRT(V201/T201)+1/(2*T201)</f>
        <v/>
      </c>
      <c r="X201" s="5">
        <f>U201/W201</f>
        <v/>
      </c>
      <c r="Y201">
        <f>IF(U201&gt;W201,"high",IF(U201&gt;V201,"medium","low"))</f>
        <v/>
      </c>
      <c r="Z201">
        <f>CHOOSE(MAX(IF(M201="high",2,IF(M201="medium",1,0)),IF(Y201="high",2,IF(Y201="medium",1,0)))+1,"low","medium","high")</f>
        <v/>
      </c>
      <c r="AA201">
        <f>IF(IF(M201="high",2,IF(M201="medium",1,0))=IF(Y201="high",2,IF(Y201="medium",1,0)),"SI และ Rate เท่ากัน",IF(IF(M201="high",2,IF(M201="medium",1,0))&gt;IF(Y201="high",2,IF(Y201="medium",1,0)),"SI","Rate"))</f>
        <v/>
      </c>
    </row>
    <row r="202">
      <c r="A202" t="inlineStr">
        <is>
          <t>zone_558</t>
        </is>
      </c>
      <c r="B202" t="inlineStr">
        <is>
          <t>พระประแดง - บางแค</t>
        </is>
      </c>
      <c r="C202" t="inlineStr">
        <is>
          <t>สมุทรปราการ</t>
        </is>
      </c>
      <c r="D202" t="inlineStr">
        <is>
          <t>3902</t>
        </is>
      </c>
      <c r="E202" t="inlineStr">
        <is>
          <t>ทล.</t>
        </is>
      </c>
      <c r="F202" t="inlineStr">
        <is>
          <t>1.995–2.1</t>
        </is>
      </c>
      <c r="G202" t="inlineStr">
        <is>
          <t>station_id 130 (ทล.3902 กม.20+430)</t>
        </is>
      </c>
      <c r="H202" t="inlineStr">
        <is>
          <t>ทล. สถานีตัวแทนตอนควบคุม</t>
        </is>
      </c>
      <c r="I202" t="n">
        <v>3</v>
      </c>
      <c r="J202" t="n">
        <v>0</v>
      </c>
      <c r="K202" t="n">
        <v>4</v>
      </c>
      <c r="L202" s="5" t="n">
        <v>1.3333</v>
      </c>
      <c r="M202" t="inlineStr">
        <is>
          <t>medium</t>
        </is>
      </c>
      <c r="N202" s="6" t="n">
        <v>27004</v>
      </c>
      <c r="O202" s="6" t="n">
        <v>33591</v>
      </c>
      <c r="P202" s="6" t="n">
        <v>38106</v>
      </c>
      <c r="Q202" s="6">
        <f>AVERAGE(N202:P202)</f>
        <v/>
      </c>
      <c r="R202" t="n">
        <v>3</v>
      </c>
      <c r="S202" t="n">
        <v>1</v>
      </c>
      <c r="T202" s="7">
        <f>365*R202*Q202*S202/1000000</f>
        <v/>
      </c>
      <c r="U202" s="8">
        <f>I202/T202</f>
        <v/>
      </c>
      <c r="V202" s="8">
        <f>SUMIF($E$2:$E$599,E202,$I$2:$I$599)/SUMIF($E$2:$E$599,E202,$T$2:$T$599)</f>
        <v/>
      </c>
      <c r="W202" s="8">
        <f>V202+1.645*SQRT(V202/T202)+1/(2*T202)</f>
        <v/>
      </c>
      <c r="X202" s="5">
        <f>U202/W202</f>
        <v/>
      </c>
      <c r="Y202">
        <f>IF(U202&gt;W202,"high",IF(U202&gt;V202,"medium","low"))</f>
        <v/>
      </c>
      <c r="Z202">
        <f>CHOOSE(MAX(IF(M202="high",2,IF(M202="medium",1,0)),IF(Y202="high",2,IF(Y202="medium",1,0)))+1,"low","medium","high")</f>
        <v/>
      </c>
      <c r="AA202">
        <f>IF(IF(M202="high",2,IF(M202="medium",1,0))=IF(Y202="high",2,IF(Y202="medium",1,0)),"SI และ Rate เท่ากัน",IF(IF(M202="high",2,IF(M202="medium",1,0))&gt;IF(Y202="high",2,IF(Y202="medium",1,0)),"SI","Rate"))</f>
        <v/>
      </c>
    </row>
    <row r="203">
      <c r="A203" t="inlineStr">
        <is>
          <t>zone_526</t>
        </is>
      </c>
      <c r="B203" t="inlineStr">
        <is>
          <t>บางพลี-สุขสวัสดิ์</t>
        </is>
      </c>
      <c r="C203" t="inlineStr">
        <is>
          <t>สมุทรปราการ</t>
        </is>
      </c>
      <c r="D203" t="inlineStr">
        <is>
          <t>E007S013|U</t>
        </is>
      </c>
      <c r="E203" t="inlineStr">
        <is>
          <t>กทพ.</t>
        </is>
      </c>
      <c r="F203" t="inlineStr">
        <is>
          <t>12–12</t>
        </is>
      </c>
      <c r="G203" t="inlineStr">
        <is>
          <t>ทางพิเศษกาญจนาภิเษก(บางพลี-สุขสวัสดิ์)</t>
        </is>
      </c>
      <c r="H203" t="inlineStr">
        <is>
          <t>กทพ. ยอดผ่านด่านทั้งสาย ÷ 365</t>
        </is>
      </c>
      <c r="I203" t="n">
        <v>3</v>
      </c>
      <c r="J203" t="n">
        <v>0</v>
      </c>
      <c r="K203" t="n">
        <v>5</v>
      </c>
      <c r="L203" s="5" t="n">
        <v>1.6667</v>
      </c>
      <c r="M203" t="inlineStr">
        <is>
          <t>medium</t>
        </is>
      </c>
      <c r="N203" s="6" t="n">
        <v>233037.0054794521</v>
      </c>
      <c r="O203" s="6" t="n">
        <v>233284.9890410959</v>
      </c>
      <c r="P203" s="6" t="n">
        <v>228365.901369863</v>
      </c>
      <c r="Q203" s="6">
        <f>AVERAGE(N203:P203)</f>
        <v/>
      </c>
      <c r="R203" t="n">
        <v>3</v>
      </c>
      <c r="S203" t="n">
        <v>1</v>
      </c>
      <c r="T203" s="7">
        <f>365*R203*Q203*S203/1000000</f>
        <v/>
      </c>
      <c r="U203" s="8">
        <f>I203/T203</f>
        <v/>
      </c>
      <c r="V203" s="8">
        <f>SUMIF($E$2:$E$599,E203,$I$2:$I$599)/SUMIF($E$2:$E$599,E203,$T$2:$T$599)</f>
        <v/>
      </c>
      <c r="W203" s="8">
        <f>V203+1.645*SQRT(V203/T203)+1/(2*T203)</f>
        <v/>
      </c>
      <c r="X203" s="5">
        <f>U203/W203</f>
        <v/>
      </c>
      <c r="Y203">
        <f>IF(U203&gt;W203,"high",IF(U203&gt;V203,"medium","low"))</f>
        <v/>
      </c>
      <c r="Z203">
        <f>CHOOSE(MAX(IF(M203="high",2,IF(M203="medium",1,0)),IF(Y203="high",2,IF(Y203="medium",1,0)))+1,"low","medium","high")</f>
        <v/>
      </c>
      <c r="AA203">
        <f>IF(IF(M203="high",2,IF(M203="medium",1,0))=IF(Y203="high",2,IF(Y203="medium",1,0)),"SI และ Rate เท่ากัน",IF(IF(M203="high",2,IF(M203="medium",1,0))&gt;IF(Y203="high",2,IF(Y203="medium",1,0)),"SI","Rate"))</f>
        <v/>
      </c>
    </row>
    <row r="204">
      <c r="A204" t="inlineStr">
        <is>
          <t>zone_550</t>
        </is>
      </c>
      <c r="B204" t="inlineStr">
        <is>
          <t>บางพลี-สุขสวัสดิ์</t>
        </is>
      </c>
      <c r="C204" t="inlineStr">
        <is>
          <t>สมุทรปราการ</t>
        </is>
      </c>
      <c r="D204" t="inlineStr">
        <is>
          <t>E007S013|I</t>
        </is>
      </c>
      <c r="E204" t="inlineStr">
        <is>
          <t>กทพ.</t>
        </is>
      </c>
      <c r="F204" t="inlineStr">
        <is>
          <t>5–5</t>
        </is>
      </c>
      <c r="G204" t="inlineStr">
        <is>
          <t>ทางพิเศษกาญจนาภิเษก(บางพลี-สุขสวัสดิ์)</t>
        </is>
      </c>
      <c r="H204" t="inlineStr">
        <is>
          <t>กทพ. ยอดผ่านด่านทั้งสาย ÷ 365</t>
        </is>
      </c>
      <c r="I204" t="n">
        <v>3</v>
      </c>
      <c r="J204" t="n">
        <v>0</v>
      </c>
      <c r="K204" t="n">
        <v>4</v>
      </c>
      <c r="L204" s="5" t="n">
        <v>1.3333</v>
      </c>
      <c r="M204" t="inlineStr">
        <is>
          <t>medium</t>
        </is>
      </c>
      <c r="N204" s="6" t="n">
        <v>233037.0054794521</v>
      </c>
      <c r="O204" s="6" t="n">
        <v>233284.9890410959</v>
      </c>
      <c r="P204" s="6" t="n">
        <v>228365.901369863</v>
      </c>
      <c r="Q204" s="6">
        <f>AVERAGE(N204:P204)</f>
        <v/>
      </c>
      <c r="R204" t="n">
        <v>3</v>
      </c>
      <c r="S204" t="n">
        <v>1</v>
      </c>
      <c r="T204" s="7">
        <f>365*R204*Q204*S204/1000000</f>
        <v/>
      </c>
      <c r="U204" s="8">
        <f>I204/T204</f>
        <v/>
      </c>
      <c r="V204" s="8">
        <f>SUMIF($E$2:$E$599,E204,$I$2:$I$599)/SUMIF($E$2:$E$599,E204,$T$2:$T$599)</f>
        <v/>
      </c>
      <c r="W204" s="8">
        <f>V204+1.645*SQRT(V204/T204)+1/(2*T204)</f>
        <v/>
      </c>
      <c r="X204" s="5">
        <f>U204/W204</f>
        <v/>
      </c>
      <c r="Y204">
        <f>IF(U204&gt;W204,"high",IF(U204&gt;V204,"medium","low"))</f>
        <v/>
      </c>
      <c r="Z204">
        <f>CHOOSE(MAX(IF(M204="high",2,IF(M204="medium",1,0)),IF(Y204="high",2,IF(Y204="medium",1,0)))+1,"low","medium","high")</f>
        <v/>
      </c>
      <c r="AA204">
        <f>IF(IF(M204="high",2,IF(M204="medium",1,0))=IF(Y204="high",2,IF(Y204="medium",1,0)),"SI และ Rate เท่ากัน",IF(IF(M204="high",2,IF(M204="medium",1,0))&gt;IF(Y204="high",2,IF(Y204="medium",1,0)),"SI","Rate"))</f>
        <v/>
      </c>
    </row>
    <row r="205">
      <c r="A205" t="inlineStr">
        <is>
          <t>zone_104</t>
        </is>
      </c>
      <c r="B205" t="inlineStr">
        <is>
          <t>บางปะอิน - แขวงรามอินทรา</t>
        </is>
      </c>
      <c r="C205" t="inlineStr">
        <is>
          <t>กรุงเทพมหานคร</t>
        </is>
      </c>
      <c r="D205" t="inlineStr">
        <is>
          <t>9</t>
        </is>
      </c>
      <c r="E205" t="inlineStr">
        <is>
          <t>ทล.</t>
        </is>
      </c>
      <c r="F205" t="inlineStr">
        <is>
          <t>39.2–40.77</t>
        </is>
      </c>
      <c r="G205" t="inlineStr">
        <is>
          <t>station_id 347 (ทล.9 กม.1+500)</t>
        </is>
      </c>
      <c r="H205" t="inlineStr">
        <is>
          <t>ทล. สถานีตัวแทนตอนควบคุม</t>
        </is>
      </c>
      <c r="I205" t="n">
        <v>10</v>
      </c>
      <c r="J205" t="n">
        <v>0</v>
      </c>
      <c r="K205" t="n">
        <v>10</v>
      </c>
      <c r="L205" s="5" t="n">
        <v>1</v>
      </c>
      <c r="M205" t="inlineStr">
        <is>
          <t>medium</t>
        </is>
      </c>
      <c r="N205" s="6" t="n">
        <v>146870</v>
      </c>
      <c r="O205" s="6" t="n">
        <v>165212</v>
      </c>
      <c r="P205" s="6" t="n">
        <v>160792</v>
      </c>
      <c r="Q205" s="6">
        <f>AVERAGE(N205:P205)</f>
        <v/>
      </c>
      <c r="R205" t="n">
        <v>3</v>
      </c>
      <c r="S205" t="n">
        <v>1</v>
      </c>
      <c r="T205" s="7">
        <f>365*R205*Q205*S205/1000000</f>
        <v/>
      </c>
      <c r="U205" s="8">
        <f>I205/T205</f>
        <v/>
      </c>
      <c r="V205" s="8">
        <f>SUMIF($E$2:$E$599,E205,$I$2:$I$599)/SUMIF($E$2:$E$599,E205,$T$2:$T$599)</f>
        <v/>
      </c>
      <c r="W205" s="8">
        <f>V205+1.645*SQRT(V205/T205)+1/(2*T205)</f>
        <v/>
      </c>
      <c r="X205" s="5">
        <f>U205/W205</f>
        <v/>
      </c>
      <c r="Y205">
        <f>IF(U205&gt;W205,"high",IF(U205&gt;V205,"medium","low"))</f>
        <v/>
      </c>
      <c r="Z205">
        <f>CHOOSE(MAX(IF(M205="high",2,IF(M205="medium",1,0)),IF(Y205="high",2,IF(Y205="medium",1,0)))+1,"low","medium","high")</f>
        <v/>
      </c>
      <c r="AA205">
        <f>IF(IF(M205="high",2,IF(M205="medium",1,0))=IF(Y205="high",2,IF(Y205="medium",1,0)),"SI และ Rate เท่ากัน",IF(IF(M205="high",2,IF(M205="medium",1,0))&gt;IF(Y205="high",2,IF(Y205="medium",1,0)),"SI","Rate"))</f>
        <v/>
      </c>
    </row>
    <row r="206">
      <c r="A206" t="inlineStr">
        <is>
          <t>zone_618</t>
        </is>
      </c>
      <c r="B206" t="inlineStr">
        <is>
          <t>แสมดำ - สะพานข้ามแม่น้ำท่าจีนฝั่งตะวันตก</t>
        </is>
      </c>
      <c r="C206" t="inlineStr">
        <is>
          <t>สมุทรสาคร</t>
        </is>
      </c>
      <c r="D206" t="inlineStr">
        <is>
          <t>35</t>
        </is>
      </c>
      <c r="E206" t="inlineStr">
        <is>
          <t>ทล.</t>
        </is>
      </c>
      <c r="F206" t="inlineStr">
        <is>
          <t>26–26.58</t>
        </is>
      </c>
      <c r="G206" t="inlineStr">
        <is>
          <t>station_id 57 (ทล.35 กม.24+550)</t>
        </is>
      </c>
      <c r="H206" t="inlineStr">
        <is>
          <t>ทล. สถานีตัวแทนตอนควบคุม</t>
        </is>
      </c>
      <c r="I206" t="n">
        <v>9</v>
      </c>
      <c r="J206" t="n">
        <v>0</v>
      </c>
      <c r="K206" t="n">
        <v>12</v>
      </c>
      <c r="L206" s="5" t="n">
        <v>1.3333</v>
      </c>
      <c r="M206" t="inlineStr">
        <is>
          <t>medium</t>
        </is>
      </c>
      <c r="N206" s="6" t="n">
        <v>129063</v>
      </c>
      <c r="O206" s="6" t="n">
        <v>149020</v>
      </c>
      <c r="P206" s="6" t="n">
        <v>143116</v>
      </c>
      <c r="Q206" s="6">
        <f>AVERAGE(N206:P206)</f>
        <v/>
      </c>
      <c r="R206" t="n">
        <v>3</v>
      </c>
      <c r="S206" t="n">
        <v>1</v>
      </c>
      <c r="T206" s="7">
        <f>365*R206*Q206*S206/1000000</f>
        <v/>
      </c>
      <c r="U206" s="8">
        <f>I206/T206</f>
        <v/>
      </c>
      <c r="V206" s="8">
        <f>SUMIF($E$2:$E$599,E206,$I$2:$I$599)/SUMIF($E$2:$E$599,E206,$T$2:$T$599)</f>
        <v/>
      </c>
      <c r="W206" s="8">
        <f>V206+1.645*SQRT(V206/T206)+1/(2*T206)</f>
        <v/>
      </c>
      <c r="X206" s="5">
        <f>U206/W206</f>
        <v/>
      </c>
      <c r="Y206">
        <f>IF(U206&gt;W206,"high",IF(U206&gt;V206,"medium","low"))</f>
        <v/>
      </c>
      <c r="Z206">
        <f>CHOOSE(MAX(IF(M206="high",2,IF(M206="medium",1,0)),IF(Y206="high",2,IF(Y206="medium",1,0)))+1,"low","medium","high")</f>
        <v/>
      </c>
      <c r="AA206">
        <f>IF(IF(M206="high",2,IF(M206="medium",1,0))=IF(Y206="high",2,IF(Y206="medium",1,0)),"SI และ Rate เท่ากัน",IF(IF(M206="high",2,IF(M206="medium",1,0))&gt;IF(Y206="high",2,IF(Y206="medium",1,0)),"SI","Rate"))</f>
        <v/>
      </c>
    </row>
    <row r="207">
      <c r="A207" t="inlineStr">
        <is>
          <t>zone_258</t>
        </is>
      </c>
      <c r="B207" t="inlineStr">
        <is>
          <t>พญาไท-บางโคล่</t>
        </is>
      </c>
      <c r="C207" t="inlineStr">
        <is>
          <t>กรุงเทพมหานคร</t>
        </is>
      </c>
      <c r="D207" t="inlineStr">
        <is>
          <t>E002S007|U</t>
        </is>
      </c>
      <c r="E207" t="inlineStr">
        <is>
          <t>กทพ.</t>
        </is>
      </c>
      <c r="F207" t="inlineStr">
        <is>
          <t>2.5–2.7</t>
        </is>
      </c>
      <c r="G207" t="inlineStr">
        <is>
          <t>ศรีรัช</t>
        </is>
      </c>
      <c r="H207" t="inlineStr">
        <is>
          <t>กทพ. ยอดผ่านด่านทั้งสาย ÷ 365</t>
        </is>
      </c>
      <c r="I207" t="n">
        <v>6</v>
      </c>
      <c r="J207" t="n">
        <v>0</v>
      </c>
      <c r="K207" t="n">
        <v>7</v>
      </c>
      <c r="L207" s="5" t="n">
        <v>1.1667</v>
      </c>
      <c r="M207" t="inlineStr">
        <is>
          <t>medium</t>
        </is>
      </c>
      <c r="N207" s="6" t="n">
        <v>613083.1506849315</v>
      </c>
      <c r="O207" s="6" t="n">
        <v>601127.7068493151</v>
      </c>
      <c r="P207" s="6" t="n">
        <v>607857.5287671232</v>
      </c>
      <c r="Q207" s="6">
        <f>AVERAGE(N207:P207)</f>
        <v/>
      </c>
      <c r="R207" t="n">
        <v>3</v>
      </c>
      <c r="S207" t="n">
        <v>1</v>
      </c>
      <c r="T207" s="7">
        <f>365*R207*Q207*S207/1000000</f>
        <v/>
      </c>
      <c r="U207" s="8">
        <f>I207/T207</f>
        <v/>
      </c>
      <c r="V207" s="8">
        <f>SUMIF($E$2:$E$599,E207,$I$2:$I$599)/SUMIF($E$2:$E$599,E207,$T$2:$T$599)</f>
        <v/>
      </c>
      <c r="W207" s="8">
        <f>V207+1.645*SQRT(V207/T207)+1/(2*T207)</f>
        <v/>
      </c>
      <c r="X207" s="5">
        <f>U207/W207</f>
        <v/>
      </c>
      <c r="Y207">
        <f>IF(U207&gt;W207,"high",IF(U207&gt;V207,"medium","low"))</f>
        <v/>
      </c>
      <c r="Z207">
        <f>CHOOSE(MAX(IF(M207="high",2,IF(M207="medium",1,0)),IF(Y207="high",2,IF(Y207="medium",1,0)))+1,"low","medium","high")</f>
        <v/>
      </c>
      <c r="AA207">
        <f>IF(IF(M207="high",2,IF(M207="medium",1,0))=IF(Y207="high",2,IF(Y207="medium",1,0)),"SI และ Rate เท่ากัน",IF(IF(M207="high",2,IF(M207="medium",1,0))&gt;IF(Y207="high",2,IF(Y207="medium",1,0)),"SI","Rate"))</f>
        <v/>
      </c>
    </row>
    <row r="208">
      <c r="A208" t="inlineStr">
        <is>
          <t>zone_442</t>
        </is>
      </c>
      <c r="B208" t="inlineStr">
        <is>
          <t>ลำลูกกา - คลอง16</t>
        </is>
      </c>
      <c r="C208" t="inlineStr">
        <is>
          <t>ปทุมธานี</t>
        </is>
      </c>
      <c r="D208" t="inlineStr">
        <is>
          <t>3312</t>
        </is>
      </c>
      <c r="E208" t="inlineStr">
        <is>
          <t>ทล.</t>
        </is>
      </c>
      <c r="F208" t="inlineStr">
        <is>
          <t>17.7–17.95</t>
        </is>
      </c>
      <c r="G208" t="inlineStr">
        <is>
          <t>station_id 3336 (ทล.3312 กม.14+300)</t>
        </is>
      </c>
      <c r="H208" t="inlineStr">
        <is>
          <t>ทล. สถานีตัวแทนตอนควบคุม</t>
        </is>
      </c>
      <c r="I208" t="n">
        <v>4</v>
      </c>
      <c r="J208" t="n">
        <v>1</v>
      </c>
      <c r="K208" t="n">
        <v>3</v>
      </c>
      <c r="L208" s="5" t="n">
        <v>1</v>
      </c>
      <c r="M208" t="inlineStr">
        <is>
          <t>medium</t>
        </is>
      </c>
      <c r="N208" s="6" t="n">
        <v>52657</v>
      </c>
      <c r="O208" s="6" t="n">
        <v>53358</v>
      </c>
      <c r="P208" s="6" t="n">
        <v>52975</v>
      </c>
      <c r="Q208" s="6">
        <f>AVERAGE(N208:P208)</f>
        <v/>
      </c>
      <c r="R208" t="n">
        <v>3</v>
      </c>
      <c r="S208" t="n">
        <v>1</v>
      </c>
      <c r="T208" s="7">
        <f>365*R208*Q208*S208/1000000</f>
        <v/>
      </c>
      <c r="U208" s="8">
        <f>I208/T208</f>
        <v/>
      </c>
      <c r="V208" s="8">
        <f>SUMIF($E$2:$E$599,E208,$I$2:$I$599)/SUMIF($E$2:$E$599,E208,$T$2:$T$599)</f>
        <v/>
      </c>
      <c r="W208" s="8">
        <f>V208+1.645*SQRT(V208/T208)+1/(2*T208)</f>
        <v/>
      </c>
      <c r="X208" s="5">
        <f>U208/W208</f>
        <v/>
      </c>
      <c r="Y208">
        <f>IF(U208&gt;W208,"high",IF(U208&gt;V208,"medium","low"))</f>
        <v/>
      </c>
      <c r="Z208">
        <f>CHOOSE(MAX(IF(M208="high",2,IF(M208="medium",1,0)),IF(Y208="high",2,IF(Y208="medium",1,0)))+1,"low","medium","high")</f>
        <v/>
      </c>
      <c r="AA208">
        <f>IF(IF(M208="high",2,IF(M208="medium",1,0))=IF(Y208="high",2,IF(Y208="medium",1,0)),"SI และ Rate เท่ากัน",IF(IF(M208="high",2,IF(M208="medium",1,0))&gt;IF(Y208="high",2,IF(Y208="medium",1,0)),"SI","Rate"))</f>
        <v/>
      </c>
    </row>
    <row r="209">
      <c r="A209" t="inlineStr">
        <is>
          <t>zone_58</t>
        </is>
      </c>
      <c r="B209" t="inlineStr">
        <is>
          <t>ดาวคะนอง - แสมดำ</t>
        </is>
      </c>
      <c r="C209" t="inlineStr">
        <is>
          <t>กรุงเทพมหานคร</t>
        </is>
      </c>
      <c r="D209" t="inlineStr">
        <is>
          <t>35</t>
        </is>
      </c>
      <c r="E209" t="inlineStr">
        <is>
          <t>ทล.</t>
        </is>
      </c>
      <c r="F209" t="inlineStr">
        <is>
          <t>1–1.5</t>
        </is>
      </c>
      <c r="G209" t="inlineStr">
        <is>
          <t>station_id 127 (ทล.35 กม.6+500)</t>
        </is>
      </c>
      <c r="H209" t="inlineStr">
        <is>
          <t>ทล. สถานีตัวแทนตอนควบคุม</t>
        </is>
      </c>
      <c r="I209" t="n">
        <v>15</v>
      </c>
      <c r="J209" t="n">
        <v>1</v>
      </c>
      <c r="K209" t="n">
        <v>15</v>
      </c>
      <c r="L209" s="5" t="n">
        <v>1.0667</v>
      </c>
      <c r="M209" t="inlineStr">
        <is>
          <t>medium</t>
        </is>
      </c>
      <c r="N209" s="6" t="n">
        <v>256167</v>
      </c>
      <c r="O209" s="6" t="n">
        <v>260090</v>
      </c>
      <c r="P209" s="6" t="n">
        <v>259277</v>
      </c>
      <c r="Q209" s="6">
        <f>AVERAGE(N209:P209)</f>
        <v/>
      </c>
      <c r="R209" t="n">
        <v>3</v>
      </c>
      <c r="S209" t="n">
        <v>1</v>
      </c>
      <c r="T209" s="7">
        <f>365*R209*Q209*S209/1000000</f>
        <v/>
      </c>
      <c r="U209" s="8">
        <f>I209/T209</f>
        <v/>
      </c>
      <c r="V209" s="8">
        <f>SUMIF($E$2:$E$599,E209,$I$2:$I$599)/SUMIF($E$2:$E$599,E209,$T$2:$T$599)</f>
        <v/>
      </c>
      <c r="W209" s="8">
        <f>V209+1.645*SQRT(V209/T209)+1/(2*T209)</f>
        <v/>
      </c>
      <c r="X209" s="5">
        <f>U209/W209</f>
        <v/>
      </c>
      <c r="Y209">
        <f>IF(U209&gt;W209,"high",IF(U209&gt;V209,"medium","low"))</f>
        <v/>
      </c>
      <c r="Z209">
        <f>CHOOSE(MAX(IF(M209="high",2,IF(M209="medium",1,0)),IF(Y209="high",2,IF(Y209="medium",1,0)))+1,"low","medium","high")</f>
        <v/>
      </c>
      <c r="AA209">
        <f>IF(IF(M209="high",2,IF(M209="medium",1,0))=IF(Y209="high",2,IF(Y209="medium",1,0)),"SI และ Rate เท่ากัน",IF(IF(M209="high",2,IF(M209="medium",1,0))&gt;IF(Y209="high",2,IF(Y209="medium",1,0)),"SI","Rate"))</f>
        <v/>
      </c>
    </row>
    <row r="210">
      <c r="A210" t="inlineStr">
        <is>
          <t>zone_604</t>
        </is>
      </c>
      <c r="B210" t="inlineStr">
        <is>
          <t>แยกสาครเกษม - คลองมะเดื่อ</t>
        </is>
      </c>
      <c r="C210" t="inlineStr">
        <is>
          <t>สมุทรสาคร</t>
        </is>
      </c>
      <c r="D210" t="inlineStr">
        <is>
          <t>3651</t>
        </is>
      </c>
      <c r="E210" t="inlineStr">
        <is>
          <t>ทล.</t>
        </is>
      </c>
      <c r="F210" t="inlineStr">
        <is>
          <t>3.25–3.45</t>
        </is>
      </c>
      <c r="G210" t="inlineStr">
        <is>
          <t>station_id 61 (ทล.3091 กม.0+500)</t>
        </is>
      </c>
      <c r="H210" t="inlineStr">
        <is>
          <t>ทล. สถานีตัวแทนตอนควบคุม</t>
        </is>
      </c>
      <c r="I210" t="n">
        <v>3</v>
      </c>
      <c r="J210" t="n">
        <v>0</v>
      </c>
      <c r="K210" t="n">
        <v>5</v>
      </c>
      <c r="L210" s="5" t="n">
        <v>1.6667</v>
      </c>
      <c r="M210" t="inlineStr">
        <is>
          <t>medium</t>
        </is>
      </c>
      <c r="N210" s="6" t="n">
        <v>35856</v>
      </c>
      <c r="O210" s="6" t="n">
        <v>37288</v>
      </c>
      <c r="P210" s="6" t="n">
        <v>37588</v>
      </c>
      <c r="Q210" s="6">
        <f>AVERAGE(N210:P210)</f>
        <v/>
      </c>
      <c r="R210" t="n">
        <v>3</v>
      </c>
      <c r="S210" t="n">
        <v>1</v>
      </c>
      <c r="T210" s="7">
        <f>365*R210*Q210*S210/1000000</f>
        <v/>
      </c>
      <c r="U210" s="8">
        <f>I210/T210</f>
        <v/>
      </c>
      <c r="V210" s="8">
        <f>SUMIF($E$2:$E$599,E210,$I$2:$I$599)/SUMIF($E$2:$E$599,E210,$T$2:$T$599)</f>
        <v/>
      </c>
      <c r="W210" s="8">
        <f>V210+1.645*SQRT(V210/T210)+1/(2*T210)</f>
        <v/>
      </c>
      <c r="X210" s="5">
        <f>U210/W210</f>
        <v/>
      </c>
      <c r="Y210">
        <f>IF(U210&gt;W210,"high",IF(U210&gt;V210,"medium","low"))</f>
        <v/>
      </c>
      <c r="Z210">
        <f>CHOOSE(MAX(IF(M210="high",2,IF(M210="medium",1,0)),IF(Y210="high",2,IF(Y210="medium",1,0)))+1,"low","medium","high")</f>
        <v/>
      </c>
      <c r="AA210">
        <f>IF(IF(M210="high",2,IF(M210="medium",1,0))=IF(Y210="high",2,IF(Y210="medium",1,0)),"SI และ Rate เท่ากัน",IF(IF(M210="high",2,IF(M210="medium",1,0))&gt;IF(Y210="high",2,IF(Y210="medium",1,0)),"SI","Rate"))</f>
        <v/>
      </c>
    </row>
    <row r="211">
      <c r="A211" t="inlineStr">
        <is>
          <t>zone_605</t>
        </is>
      </c>
      <c r="B211" t="inlineStr">
        <is>
          <t>อ้อมน้อย - สมุทรสาคร</t>
        </is>
      </c>
      <c r="C211" t="inlineStr">
        <is>
          <t>สมุทรสาคร</t>
        </is>
      </c>
      <c r="D211" t="inlineStr">
        <is>
          <t>3091</t>
        </is>
      </c>
      <c r="E211" t="inlineStr">
        <is>
          <t>ทล.</t>
        </is>
      </c>
      <c r="F211" t="inlineStr">
        <is>
          <t>17.79–17.9</t>
        </is>
      </c>
      <c r="G211" t="inlineStr">
        <is>
          <t>station_id 61 (ทล.3091 กม.0+500)</t>
        </is>
      </c>
      <c r="H211" t="inlineStr">
        <is>
          <t>ทล. สถานีตัวแทนตอนควบคุม</t>
        </is>
      </c>
      <c r="I211" t="n">
        <v>3</v>
      </c>
      <c r="J211" t="n">
        <v>0</v>
      </c>
      <c r="K211" t="n">
        <v>4</v>
      </c>
      <c r="L211" s="5" t="n">
        <v>1.3333</v>
      </c>
      <c r="M211" t="inlineStr">
        <is>
          <t>medium</t>
        </is>
      </c>
      <c r="N211" s="6" t="n">
        <v>35856</v>
      </c>
      <c r="O211" s="6" t="n">
        <v>37288</v>
      </c>
      <c r="P211" s="6" t="n">
        <v>37588</v>
      </c>
      <c r="Q211" s="6">
        <f>AVERAGE(N211:P211)</f>
        <v/>
      </c>
      <c r="R211" t="n">
        <v>3</v>
      </c>
      <c r="S211" t="n">
        <v>1</v>
      </c>
      <c r="T211" s="7">
        <f>365*R211*Q211*S211/1000000</f>
        <v/>
      </c>
      <c r="U211" s="8">
        <f>I211/T211</f>
        <v/>
      </c>
      <c r="V211" s="8">
        <f>SUMIF($E$2:$E$599,E211,$I$2:$I$599)/SUMIF($E$2:$E$599,E211,$T$2:$T$599)</f>
        <v/>
      </c>
      <c r="W211" s="8">
        <f>V211+1.645*SQRT(V211/T211)+1/(2*T211)</f>
        <v/>
      </c>
      <c r="X211" s="5">
        <f>U211/W211</f>
        <v/>
      </c>
      <c r="Y211">
        <f>IF(U211&gt;W211,"high",IF(U211&gt;V211,"medium","low"))</f>
        <v/>
      </c>
      <c r="Z211">
        <f>CHOOSE(MAX(IF(M211="high",2,IF(M211="medium",1,0)),IF(Y211="high",2,IF(Y211="medium",1,0)))+1,"low","medium","high")</f>
        <v/>
      </c>
      <c r="AA211">
        <f>IF(IF(M211="high",2,IF(M211="medium",1,0))=IF(Y211="high",2,IF(Y211="medium",1,0)),"SI และ Rate เท่ากัน",IF(IF(M211="high",2,IF(M211="medium",1,0))&gt;IF(Y211="high",2,IF(Y211="medium",1,0)),"SI","Rate"))</f>
        <v/>
      </c>
    </row>
    <row r="212">
      <c r="A212" t="inlineStr">
        <is>
          <t>zone_609</t>
        </is>
      </c>
      <c r="B212" t="inlineStr">
        <is>
          <t>อ้อมน้อย - สมุทรสาคร</t>
        </is>
      </c>
      <c r="C212" t="inlineStr">
        <is>
          <t>สมุทรสาคร</t>
        </is>
      </c>
      <c r="D212" t="inlineStr">
        <is>
          <t>3091</t>
        </is>
      </c>
      <c r="E212" t="inlineStr">
        <is>
          <t>ทล.</t>
        </is>
      </c>
      <c r="F212" t="inlineStr">
        <is>
          <t>19.69–19.8</t>
        </is>
      </c>
      <c r="G212" t="inlineStr">
        <is>
          <t>station_id 61 (ทล.3091 กม.0+500)</t>
        </is>
      </c>
      <c r="H212" t="inlineStr">
        <is>
          <t>ทล. สถานีตัวแทนตอนควบคุม</t>
        </is>
      </c>
      <c r="I212" t="n">
        <v>3</v>
      </c>
      <c r="J212" t="n">
        <v>2</v>
      </c>
      <c r="K212" t="n">
        <v>2</v>
      </c>
      <c r="L212" s="5" t="n">
        <v>1.3333</v>
      </c>
      <c r="M212" t="inlineStr">
        <is>
          <t>medium</t>
        </is>
      </c>
      <c r="N212" s="6" t="n">
        <v>35856</v>
      </c>
      <c r="O212" s="6" t="n">
        <v>37288</v>
      </c>
      <c r="P212" s="6" t="n">
        <v>37588</v>
      </c>
      <c r="Q212" s="6">
        <f>AVERAGE(N212:P212)</f>
        <v/>
      </c>
      <c r="R212" t="n">
        <v>3</v>
      </c>
      <c r="S212" t="n">
        <v>1</v>
      </c>
      <c r="T212" s="7">
        <f>365*R212*Q212*S212/1000000</f>
        <v/>
      </c>
      <c r="U212" s="8">
        <f>I212/T212</f>
        <v/>
      </c>
      <c r="V212" s="8">
        <f>SUMIF($E$2:$E$599,E212,$I$2:$I$599)/SUMIF($E$2:$E$599,E212,$T$2:$T$599)</f>
        <v/>
      </c>
      <c r="W212" s="8">
        <f>V212+1.645*SQRT(V212/T212)+1/(2*T212)</f>
        <v/>
      </c>
      <c r="X212" s="5">
        <f>U212/W212</f>
        <v/>
      </c>
      <c r="Y212">
        <f>IF(U212&gt;W212,"high",IF(U212&gt;V212,"medium","low"))</f>
        <v/>
      </c>
      <c r="Z212">
        <f>CHOOSE(MAX(IF(M212="high",2,IF(M212="medium",1,0)),IF(Y212="high",2,IF(Y212="medium",1,0)))+1,"low","medium","high")</f>
        <v/>
      </c>
      <c r="AA212">
        <f>IF(IF(M212="high",2,IF(M212="medium",1,0))=IF(Y212="high",2,IF(Y212="medium",1,0)),"SI และ Rate เท่ากัน",IF(IF(M212="high",2,IF(M212="medium",1,0))&gt;IF(Y212="high",2,IF(Y212="medium",1,0)),"SI","Rate"))</f>
        <v/>
      </c>
    </row>
    <row r="213">
      <c r="A213" t="inlineStr">
        <is>
          <t>zone_283</t>
        </is>
      </c>
      <c r="B213" t="inlineStr">
        <is>
          <t>พระประแดง - บางแค</t>
        </is>
      </c>
      <c r="C213" t="inlineStr">
        <is>
          <t>กรุงเทพมหานคร</t>
        </is>
      </c>
      <c r="D213" t="inlineStr">
        <is>
          <t>3901</t>
        </is>
      </c>
      <c r="E213" t="inlineStr">
        <is>
          <t>ทล.</t>
        </is>
      </c>
      <c r="F213" t="inlineStr">
        <is>
          <t>16.93–17</t>
        </is>
      </c>
      <c r="G213" t="inlineStr">
        <is>
          <t>station_id 131 (ทล.3901 กม.20+430)</t>
        </is>
      </c>
      <c r="H213" t="inlineStr">
        <is>
          <t>ทล. สถานีตัวแทนตอนควบคุม</t>
        </is>
      </c>
      <c r="I213" t="n">
        <v>3</v>
      </c>
      <c r="J213" t="n">
        <v>0</v>
      </c>
      <c r="K213" t="n">
        <v>4</v>
      </c>
      <c r="L213" s="5" t="n">
        <v>1.3333</v>
      </c>
      <c r="M213" t="inlineStr">
        <is>
          <t>medium</t>
        </is>
      </c>
      <c r="N213" s="6" t="n">
        <v>33842</v>
      </c>
      <c r="O213" s="6" t="n">
        <v>35924</v>
      </c>
      <c r="P213" s="6" t="n">
        <v>41328</v>
      </c>
      <c r="Q213" s="6">
        <f>AVERAGE(N213:P213)</f>
        <v/>
      </c>
      <c r="R213" t="n">
        <v>3</v>
      </c>
      <c r="S213" t="n">
        <v>1</v>
      </c>
      <c r="T213" s="7">
        <f>365*R213*Q213*S213/1000000</f>
        <v/>
      </c>
      <c r="U213" s="8">
        <f>I213/T213</f>
        <v/>
      </c>
      <c r="V213" s="8">
        <f>SUMIF($E$2:$E$599,E213,$I$2:$I$599)/SUMIF($E$2:$E$599,E213,$T$2:$T$599)</f>
        <v/>
      </c>
      <c r="W213" s="8">
        <f>V213+1.645*SQRT(V213/T213)+1/(2*T213)</f>
        <v/>
      </c>
      <c r="X213" s="5">
        <f>U213/W213</f>
        <v/>
      </c>
      <c r="Y213">
        <f>IF(U213&gt;W213,"high",IF(U213&gt;V213,"medium","low"))</f>
        <v/>
      </c>
      <c r="Z213">
        <f>CHOOSE(MAX(IF(M213="high",2,IF(M213="medium",1,0)),IF(Y213="high",2,IF(Y213="medium",1,0)))+1,"low","medium","high")</f>
        <v/>
      </c>
      <c r="AA213">
        <f>IF(IF(M213="high",2,IF(M213="medium",1,0))=IF(Y213="high",2,IF(Y213="medium",1,0)),"SI และ Rate เท่ากัน",IF(IF(M213="high",2,IF(M213="medium",1,0))&gt;IF(Y213="high",2,IF(Y213="medium",1,0)),"SI","Rate"))</f>
        <v/>
      </c>
    </row>
    <row r="214">
      <c r="A214" t="inlineStr">
        <is>
          <t>zone_447</t>
        </is>
      </c>
      <c r="B214" t="inlineStr">
        <is>
          <t>แยกทางหลวงหมายเลข 305 (กม.ที่ 15+700) - บ้านลำลูกกา</t>
        </is>
      </c>
      <c r="C214" t="inlineStr">
        <is>
          <t>ปทุมธานี</t>
        </is>
      </c>
      <c r="D214" t="inlineStr">
        <is>
          <t>ปท.3004</t>
        </is>
      </c>
      <c r="E214" t="inlineStr">
        <is>
          <t>ทช.</t>
        </is>
      </c>
      <c r="F214" t="inlineStr">
        <is>
          <t>5.2–5.3</t>
        </is>
      </c>
      <c r="G214" t="inlineStr">
        <is>
          <t>ปท.3004</t>
        </is>
      </c>
      <c r="H214" t="inlineStr">
        <is>
          <t>ทช. AADT รายสายทาง</t>
        </is>
      </c>
      <c r="I214" t="n">
        <v>3</v>
      </c>
      <c r="J214" t="n">
        <v>2</v>
      </c>
      <c r="K214" t="n">
        <v>2</v>
      </c>
      <c r="L214" s="5" t="n">
        <v>1.3333</v>
      </c>
      <c r="M214" t="inlineStr">
        <is>
          <t>medium</t>
        </is>
      </c>
      <c r="N214" s="6" t="n">
        <v>24945</v>
      </c>
      <c r="O214" s="6" t="n">
        <v>26199</v>
      </c>
      <c r="P214" s="6" t="n">
        <v>27029</v>
      </c>
      <c r="Q214" s="6">
        <f>AVERAGE(N214:P214)</f>
        <v/>
      </c>
      <c r="R214" t="n">
        <v>3</v>
      </c>
      <c r="S214" t="n">
        <v>1</v>
      </c>
      <c r="T214" s="7">
        <f>365*R214*Q214*S214/1000000</f>
        <v/>
      </c>
      <c r="U214" s="8">
        <f>I214/T214</f>
        <v/>
      </c>
      <c r="V214" s="8">
        <f>SUMIF($E$2:$E$599,E214,$I$2:$I$599)/SUMIF($E$2:$E$599,E214,$T$2:$T$599)</f>
        <v/>
      </c>
      <c r="W214" s="8">
        <f>V214+1.645*SQRT(V214/T214)+1/(2*T214)</f>
        <v/>
      </c>
      <c r="X214" s="5">
        <f>U214/W214</f>
        <v/>
      </c>
      <c r="Y214">
        <f>IF(U214&gt;W214,"high",IF(U214&gt;V214,"medium","low"))</f>
        <v/>
      </c>
      <c r="Z214">
        <f>CHOOSE(MAX(IF(M214="high",2,IF(M214="medium",1,0)),IF(Y214="high",2,IF(Y214="medium",1,0)))+1,"low","medium","high")</f>
        <v/>
      </c>
      <c r="AA214">
        <f>IF(IF(M214="high",2,IF(M214="medium",1,0))=IF(Y214="high",2,IF(Y214="medium",1,0)),"SI และ Rate เท่ากัน",IF(IF(M214="high",2,IF(M214="medium",1,0))&gt;IF(Y214="high",2,IF(Y214="medium",1,0)),"SI","Rate"))</f>
        <v/>
      </c>
    </row>
    <row r="215">
      <c r="A215" t="inlineStr">
        <is>
          <t>zone_229</t>
        </is>
      </c>
      <c r="B215" t="inlineStr">
        <is>
          <t>แขวงรามอินทรา - บางพลี</t>
        </is>
      </c>
      <c r="C215" t="inlineStr">
        <is>
          <t>กรุงเทพมหานคร</t>
        </is>
      </c>
      <c r="D215" t="inlineStr">
        <is>
          <t>9</t>
        </is>
      </c>
      <c r="E215" t="inlineStr">
        <is>
          <t>ทล.</t>
        </is>
      </c>
      <c r="F215" t="inlineStr">
        <is>
          <t>59.7–60</t>
        </is>
      </c>
      <c r="G215" t="inlineStr">
        <is>
          <t>station_id 348 (ทล.9 กม.59+500)</t>
        </is>
      </c>
      <c r="H215" t="inlineStr">
        <is>
          <t>ทล. สถานีตัวแทนตอนควบคุม</t>
        </is>
      </c>
      <c r="I215" t="n">
        <v>7</v>
      </c>
      <c r="J215" t="n">
        <v>0</v>
      </c>
      <c r="K215" t="n">
        <v>7</v>
      </c>
      <c r="L215" s="5" t="n">
        <v>1</v>
      </c>
      <c r="M215" t="inlineStr">
        <is>
          <t>medium</t>
        </is>
      </c>
      <c r="N215" s="6" t="n">
        <v>110915</v>
      </c>
      <c r="O215" s="6" t="n">
        <v>117953</v>
      </c>
      <c r="P215" s="6" t="n">
        <v>117813</v>
      </c>
      <c r="Q215" s="6">
        <f>AVERAGE(N215:P215)</f>
        <v/>
      </c>
      <c r="R215" t="n">
        <v>3</v>
      </c>
      <c r="S215" t="n">
        <v>1</v>
      </c>
      <c r="T215" s="7">
        <f>365*R215*Q215*S215/1000000</f>
        <v/>
      </c>
      <c r="U215" s="8">
        <f>I215/T215</f>
        <v/>
      </c>
      <c r="V215" s="8">
        <f>SUMIF($E$2:$E$599,E215,$I$2:$I$599)/SUMIF($E$2:$E$599,E215,$T$2:$T$599)</f>
        <v/>
      </c>
      <c r="W215" s="8">
        <f>V215+1.645*SQRT(V215/T215)+1/(2*T215)</f>
        <v/>
      </c>
      <c r="X215" s="5">
        <f>U215/W215</f>
        <v/>
      </c>
      <c r="Y215">
        <f>IF(U215&gt;W215,"high",IF(U215&gt;V215,"medium","low"))</f>
        <v/>
      </c>
      <c r="Z215">
        <f>CHOOSE(MAX(IF(M215="high",2,IF(M215="medium",1,0)),IF(Y215="high",2,IF(Y215="medium",1,0)))+1,"low","medium","high")</f>
        <v/>
      </c>
      <c r="AA215">
        <f>IF(IF(M215="high",2,IF(M215="medium",1,0))=IF(Y215="high",2,IF(Y215="medium",1,0)),"SI และ Rate เท่ากัน",IF(IF(M215="high",2,IF(M215="medium",1,0))&gt;IF(Y215="high",2,IF(Y215="medium",1,0)),"SI","Rate"))</f>
        <v/>
      </c>
    </row>
    <row r="216">
      <c r="A216" t="inlineStr">
        <is>
          <t>zone_441</t>
        </is>
      </c>
      <c r="B216" t="inlineStr">
        <is>
          <t>บางบัวทอง - ลาดบัวหลวง</t>
        </is>
      </c>
      <c r="C216" t="inlineStr">
        <is>
          <t>ปทุมธานี</t>
        </is>
      </c>
      <c r="D216" t="inlineStr">
        <is>
          <t>340</t>
        </is>
      </c>
      <c r="E216" t="inlineStr">
        <is>
          <t>ทล.</t>
        </is>
      </c>
      <c r="F216" t="inlineStr">
        <is>
          <t>11.29–11.37</t>
        </is>
      </c>
      <c r="G216" t="inlineStr">
        <is>
          <t>station_id 113 (ทล.340 กม.7+941)</t>
        </is>
      </c>
      <c r="H216" t="inlineStr">
        <is>
          <t>ทล. สถานีตัวแทนตอนควบคุม</t>
        </is>
      </c>
      <c r="I216" t="n">
        <v>3</v>
      </c>
      <c r="J216" t="n">
        <v>2</v>
      </c>
      <c r="K216" t="n">
        <v>2</v>
      </c>
      <c r="L216" s="5" t="n">
        <v>1.3333</v>
      </c>
      <c r="M216" t="inlineStr">
        <is>
          <t>medium</t>
        </is>
      </c>
      <c r="N216" s="6" t="n">
        <v>35985</v>
      </c>
      <c r="O216" s="6" t="n">
        <v>40424</v>
      </c>
      <c r="P216" s="6" t="n">
        <v>45289</v>
      </c>
      <c r="Q216" s="6">
        <f>AVERAGE(N216:P216)</f>
        <v/>
      </c>
      <c r="R216" t="n">
        <v>3</v>
      </c>
      <c r="S216" t="n">
        <v>1</v>
      </c>
      <c r="T216" s="7">
        <f>365*R216*Q216*S216/1000000</f>
        <v/>
      </c>
      <c r="U216" s="8">
        <f>I216/T216</f>
        <v/>
      </c>
      <c r="V216" s="8">
        <f>SUMIF($E$2:$E$599,E216,$I$2:$I$599)/SUMIF($E$2:$E$599,E216,$T$2:$T$599)</f>
        <v/>
      </c>
      <c r="W216" s="8">
        <f>V216+1.645*SQRT(V216/T216)+1/(2*T216)</f>
        <v/>
      </c>
      <c r="X216" s="5">
        <f>U216/W216</f>
        <v/>
      </c>
      <c r="Y216">
        <f>IF(U216&gt;W216,"high",IF(U216&gt;V216,"medium","low"))</f>
        <v/>
      </c>
      <c r="Z216">
        <f>CHOOSE(MAX(IF(M216="high",2,IF(M216="medium",1,0)),IF(Y216="high",2,IF(Y216="medium",1,0)))+1,"low","medium","high")</f>
        <v/>
      </c>
      <c r="AA216">
        <f>IF(IF(M216="high",2,IF(M216="medium",1,0))=IF(Y216="high",2,IF(Y216="medium",1,0)),"SI และ Rate เท่ากัน",IF(IF(M216="high",2,IF(M216="medium",1,0))&gt;IF(Y216="high",2,IF(Y216="medium",1,0)),"SI","Rate"))</f>
        <v/>
      </c>
    </row>
    <row r="217">
      <c r="A217" t="inlineStr">
        <is>
          <t>zone_143</t>
        </is>
      </c>
      <c r="B217" t="inlineStr">
        <is>
          <t>ดาวคะนอง-ท่าเรือ</t>
        </is>
      </c>
      <c r="C217" t="inlineStr">
        <is>
          <t>กรุงเทพมหานคร</t>
        </is>
      </c>
      <c r="D217" t="inlineStr">
        <is>
          <t>E001S003|I</t>
        </is>
      </c>
      <c r="E217" t="inlineStr">
        <is>
          <t>กทพ.</t>
        </is>
      </c>
      <c r="F217" t="inlineStr">
        <is>
          <t>22.4–22.5</t>
        </is>
      </c>
      <c r="G217" t="inlineStr">
        <is>
          <t>เฉลิมมหานคร</t>
        </is>
      </c>
      <c r="H217" t="inlineStr">
        <is>
          <t>กทพ. ยอดผ่านด่านทั้งสาย ÷ 365</t>
        </is>
      </c>
      <c r="I217" t="n">
        <v>3</v>
      </c>
      <c r="J217" t="n">
        <v>0</v>
      </c>
      <c r="K217" t="n">
        <v>5</v>
      </c>
      <c r="L217" s="5" t="n">
        <v>1.6667</v>
      </c>
      <c r="M217" t="inlineStr">
        <is>
          <t>medium</t>
        </is>
      </c>
      <c r="N217" s="6" t="n">
        <v>307323.093150685</v>
      </c>
      <c r="O217" s="6" t="n">
        <v>305804.9945205479</v>
      </c>
      <c r="P217" s="6" t="n">
        <v>304213.8739726027</v>
      </c>
      <c r="Q217" s="6">
        <f>AVERAGE(N217:P217)</f>
        <v/>
      </c>
      <c r="R217" t="n">
        <v>3</v>
      </c>
      <c r="S217" t="n">
        <v>1</v>
      </c>
      <c r="T217" s="7">
        <f>365*R217*Q217*S217/1000000</f>
        <v/>
      </c>
      <c r="U217" s="8">
        <f>I217/T217</f>
        <v/>
      </c>
      <c r="V217" s="8">
        <f>SUMIF($E$2:$E$599,E217,$I$2:$I$599)/SUMIF($E$2:$E$599,E217,$T$2:$T$599)</f>
        <v/>
      </c>
      <c r="W217" s="8">
        <f>V217+1.645*SQRT(V217/T217)+1/(2*T217)</f>
        <v/>
      </c>
      <c r="X217" s="5">
        <f>U217/W217</f>
        <v/>
      </c>
      <c r="Y217">
        <f>IF(U217&gt;W217,"high",IF(U217&gt;V217,"medium","low"))</f>
        <v/>
      </c>
      <c r="Z217">
        <f>CHOOSE(MAX(IF(M217="high",2,IF(M217="medium",1,0)),IF(Y217="high",2,IF(Y217="medium",1,0)))+1,"low","medium","high")</f>
        <v/>
      </c>
      <c r="AA217">
        <f>IF(IF(M217="high",2,IF(M217="medium",1,0))=IF(Y217="high",2,IF(Y217="medium",1,0)),"SI และ Rate เท่ากัน",IF(IF(M217="high",2,IF(M217="medium",1,0))&gt;IF(Y217="high",2,IF(Y217="medium",1,0)),"SI","Rate"))</f>
        <v/>
      </c>
    </row>
    <row r="218">
      <c r="A218" t="inlineStr">
        <is>
          <t>zone_301</t>
        </is>
      </c>
      <c r="B218" t="inlineStr">
        <is>
          <t>บางนา-ท่าเรือ</t>
        </is>
      </c>
      <c r="C218" t="inlineStr">
        <is>
          <t>กรุงเทพมหานคร</t>
        </is>
      </c>
      <c r="D218" t="inlineStr">
        <is>
          <t>E001S002|I</t>
        </is>
      </c>
      <c r="E218" t="inlineStr">
        <is>
          <t>กทพ.</t>
        </is>
      </c>
      <c r="F218" t="inlineStr">
        <is>
          <t>13.9–14.2</t>
        </is>
      </c>
      <c r="G218" t="inlineStr">
        <is>
          <t>เฉลิมมหานคร</t>
        </is>
      </c>
      <c r="H218" t="inlineStr">
        <is>
          <t>กทพ. ยอดผ่านด่านทั้งสาย ÷ 365</t>
        </is>
      </c>
      <c r="I218" t="n">
        <v>3</v>
      </c>
      <c r="J218" t="n">
        <v>0</v>
      </c>
      <c r="K218" t="n">
        <v>3</v>
      </c>
      <c r="L218" s="5" t="n">
        <v>1</v>
      </c>
      <c r="M218" t="inlineStr">
        <is>
          <t>medium</t>
        </is>
      </c>
      <c r="N218" s="6" t="n">
        <v>307323.093150685</v>
      </c>
      <c r="O218" s="6" t="n">
        <v>305804.9945205479</v>
      </c>
      <c r="P218" s="6" t="n">
        <v>304213.8739726027</v>
      </c>
      <c r="Q218" s="6">
        <f>AVERAGE(N218:P218)</f>
        <v/>
      </c>
      <c r="R218" t="n">
        <v>3</v>
      </c>
      <c r="S218" t="n">
        <v>1</v>
      </c>
      <c r="T218" s="7">
        <f>365*R218*Q218*S218/1000000</f>
        <v/>
      </c>
      <c r="U218" s="8">
        <f>I218/T218</f>
        <v/>
      </c>
      <c r="V218" s="8">
        <f>SUMIF($E$2:$E$599,E218,$I$2:$I$599)/SUMIF($E$2:$E$599,E218,$T$2:$T$599)</f>
        <v/>
      </c>
      <c r="W218" s="8">
        <f>V218+1.645*SQRT(V218/T218)+1/(2*T218)</f>
        <v/>
      </c>
      <c r="X218" s="5">
        <f>U218/W218</f>
        <v/>
      </c>
      <c r="Y218">
        <f>IF(U218&gt;W218,"high",IF(U218&gt;V218,"medium","low"))</f>
        <v/>
      </c>
      <c r="Z218">
        <f>CHOOSE(MAX(IF(M218="high",2,IF(M218="medium",1,0)),IF(Y218="high",2,IF(Y218="medium",1,0)))+1,"low","medium","high")</f>
        <v/>
      </c>
      <c r="AA218">
        <f>IF(IF(M218="high",2,IF(M218="medium",1,0))=IF(Y218="high",2,IF(Y218="medium",1,0)),"SI และ Rate เท่ากัน",IF(IF(M218="high",2,IF(M218="medium",1,0))&gt;IF(Y218="high",2,IF(Y218="medium",1,0)),"SI","Rate"))</f>
        <v/>
      </c>
    </row>
    <row r="219">
      <c r="A219" t="inlineStr">
        <is>
          <t>zone_32</t>
        </is>
      </c>
      <c r="B219" t="inlineStr">
        <is>
          <t>ดาวคะนอง -  แสมดำ</t>
        </is>
      </c>
      <c r="C219" t="inlineStr">
        <is>
          <t>กรุงเทพมหานคร</t>
        </is>
      </c>
      <c r="D219" t="inlineStr">
        <is>
          <t>35</t>
        </is>
      </c>
      <c r="E219" t="inlineStr">
        <is>
          <t>ทล.</t>
        </is>
      </c>
      <c r="F219" t="inlineStr">
        <is>
          <t>9.1–9.5</t>
        </is>
      </c>
      <c r="G219" t="inlineStr">
        <is>
          <t>station_id 127 (ทล.35 กม.6+500)</t>
        </is>
      </c>
      <c r="H219" t="inlineStr">
        <is>
          <t>ทล. สถานีตัวแทนตอนควบคุม</t>
        </is>
      </c>
      <c r="I219" t="n">
        <v>13</v>
      </c>
      <c r="J219" t="n">
        <v>1</v>
      </c>
      <c r="K219" t="n">
        <v>13</v>
      </c>
      <c r="L219" s="5" t="n">
        <v>1.0769</v>
      </c>
      <c r="M219" t="inlineStr">
        <is>
          <t>medium</t>
        </is>
      </c>
      <c r="N219" s="6" t="n">
        <v>256167</v>
      </c>
      <c r="O219" s="6" t="n">
        <v>260090</v>
      </c>
      <c r="P219" s="6" t="n">
        <v>259277</v>
      </c>
      <c r="Q219" s="6">
        <f>AVERAGE(N219:P219)</f>
        <v/>
      </c>
      <c r="R219" t="n">
        <v>3</v>
      </c>
      <c r="S219" t="n">
        <v>1</v>
      </c>
      <c r="T219" s="7">
        <f>365*R219*Q219*S219/1000000</f>
        <v/>
      </c>
      <c r="U219" s="8">
        <f>I219/T219</f>
        <v/>
      </c>
      <c r="V219" s="8">
        <f>SUMIF($E$2:$E$599,E219,$I$2:$I$599)/SUMIF($E$2:$E$599,E219,$T$2:$T$599)</f>
        <v/>
      </c>
      <c r="W219" s="8">
        <f>V219+1.645*SQRT(V219/T219)+1/(2*T219)</f>
        <v/>
      </c>
      <c r="X219" s="5">
        <f>U219/W219</f>
        <v/>
      </c>
      <c r="Y219">
        <f>IF(U219&gt;W219,"high",IF(U219&gt;V219,"medium","low"))</f>
        <v/>
      </c>
      <c r="Z219">
        <f>CHOOSE(MAX(IF(M219="high",2,IF(M219="medium",1,0)),IF(Y219="high",2,IF(Y219="medium",1,0)))+1,"low","medium","high")</f>
        <v/>
      </c>
      <c r="AA219">
        <f>IF(IF(M219="high",2,IF(M219="medium",1,0))=IF(Y219="high",2,IF(Y219="medium",1,0)),"SI และ Rate เท่ากัน",IF(IF(M219="high",2,IF(M219="medium",1,0))&gt;IF(Y219="high",2,IF(Y219="medium",1,0)),"SI","Rate"))</f>
        <v/>
      </c>
    </row>
    <row r="220">
      <c r="A220" t="inlineStr">
        <is>
          <t>zone_156</t>
        </is>
      </c>
      <c r="B220" t="inlineStr">
        <is>
          <t>พญาไท-บางโคล่</t>
        </is>
      </c>
      <c r="C220" t="inlineStr">
        <is>
          <t>กรุงเทพมหานคร</t>
        </is>
      </c>
      <c r="D220" t="inlineStr">
        <is>
          <t>E002S007|U</t>
        </is>
      </c>
      <c r="E220" t="inlineStr">
        <is>
          <t>กทพ.</t>
        </is>
      </c>
      <c r="F220" t="inlineStr">
        <is>
          <t>6.6–6.7</t>
        </is>
      </c>
      <c r="G220" t="inlineStr">
        <is>
          <t>ศรีรัช</t>
        </is>
      </c>
      <c r="H220" t="inlineStr">
        <is>
          <t>กทพ. ยอดผ่านด่านทั้งสาย ÷ 365</t>
        </is>
      </c>
      <c r="I220" t="n">
        <v>5</v>
      </c>
      <c r="J220" t="n">
        <v>0</v>
      </c>
      <c r="K220" t="n">
        <v>8</v>
      </c>
      <c r="L220" s="5" t="n">
        <v>1.6</v>
      </c>
      <c r="M220" t="inlineStr">
        <is>
          <t>medium</t>
        </is>
      </c>
      <c r="N220" s="6" t="n">
        <v>613083.1506849315</v>
      </c>
      <c r="O220" s="6" t="n">
        <v>601127.7068493151</v>
      </c>
      <c r="P220" s="6" t="n">
        <v>607857.5287671232</v>
      </c>
      <c r="Q220" s="6">
        <f>AVERAGE(N220:P220)</f>
        <v/>
      </c>
      <c r="R220" t="n">
        <v>3</v>
      </c>
      <c r="S220" t="n">
        <v>1</v>
      </c>
      <c r="T220" s="7">
        <f>365*R220*Q220*S220/1000000</f>
        <v/>
      </c>
      <c r="U220" s="8">
        <f>I220/T220</f>
        <v/>
      </c>
      <c r="V220" s="8">
        <f>SUMIF($E$2:$E$599,E220,$I$2:$I$599)/SUMIF($E$2:$E$599,E220,$T$2:$T$599)</f>
        <v/>
      </c>
      <c r="W220" s="8">
        <f>V220+1.645*SQRT(V220/T220)+1/(2*T220)</f>
        <v/>
      </c>
      <c r="X220" s="5">
        <f>U220/W220</f>
        <v/>
      </c>
      <c r="Y220">
        <f>IF(U220&gt;W220,"high",IF(U220&gt;V220,"medium","low"))</f>
        <v/>
      </c>
      <c r="Z220">
        <f>CHOOSE(MAX(IF(M220="high",2,IF(M220="medium",1,0)),IF(Y220="high",2,IF(Y220="medium",1,0)))+1,"low","medium","high")</f>
        <v/>
      </c>
      <c r="AA220">
        <f>IF(IF(M220="high",2,IF(M220="medium",1,0))=IF(Y220="high",2,IF(Y220="medium",1,0)),"SI และ Rate เท่ากัน",IF(IF(M220="high",2,IF(M220="medium",1,0))&gt;IF(Y220="high",2,IF(Y220="medium",1,0)),"SI","Rate"))</f>
        <v/>
      </c>
    </row>
    <row r="221">
      <c r="A221" t="inlineStr">
        <is>
          <t>zone_241</t>
        </is>
      </c>
      <c r="B221" t="inlineStr">
        <is>
          <t>บางบอน - โรงพยาบาลบางปะกอก8</t>
        </is>
      </c>
      <c r="C221" t="inlineStr">
        <is>
          <t>กรุงเทพมหานคร</t>
        </is>
      </c>
      <c r="D221" t="inlineStr">
        <is>
          <t>3242</t>
        </is>
      </c>
      <c r="E221" t="inlineStr">
        <is>
          <t>ทล.</t>
        </is>
      </c>
      <c r="F221" t="inlineStr">
        <is>
          <t>18.252–18.405</t>
        </is>
      </c>
      <c r="G221" t="inlineStr">
        <is>
          <t>station_id 129 (ทล.3242 กม.15+600)</t>
        </is>
      </c>
      <c r="H221" t="inlineStr">
        <is>
          <t>ทล. สถานีตัวแทนตอนควบคุม</t>
        </is>
      </c>
      <c r="I221" t="n">
        <v>5</v>
      </c>
      <c r="J221" t="n">
        <v>0</v>
      </c>
      <c r="K221" t="n">
        <v>8</v>
      </c>
      <c r="L221" s="5" t="n">
        <v>1.6</v>
      </c>
      <c r="M221" t="inlineStr">
        <is>
          <t>medium</t>
        </is>
      </c>
      <c r="N221" s="6" t="n">
        <v>99272</v>
      </c>
      <c r="O221" s="6" t="n">
        <v>83416</v>
      </c>
      <c r="P221" s="6" t="n">
        <v>81423</v>
      </c>
      <c r="Q221" s="6">
        <f>AVERAGE(N221:P221)</f>
        <v/>
      </c>
      <c r="R221" t="n">
        <v>3</v>
      </c>
      <c r="S221" t="n">
        <v>1</v>
      </c>
      <c r="T221" s="7">
        <f>365*R221*Q221*S221/1000000</f>
        <v/>
      </c>
      <c r="U221" s="8">
        <f>I221/T221</f>
        <v/>
      </c>
      <c r="V221" s="8">
        <f>SUMIF($E$2:$E$599,E221,$I$2:$I$599)/SUMIF($E$2:$E$599,E221,$T$2:$T$599)</f>
        <v/>
      </c>
      <c r="W221" s="8">
        <f>V221+1.645*SQRT(V221/T221)+1/(2*T221)</f>
        <v/>
      </c>
      <c r="X221" s="5">
        <f>U221/W221</f>
        <v/>
      </c>
      <c r="Y221">
        <f>IF(U221&gt;W221,"high",IF(U221&gt;V221,"medium","low"))</f>
        <v/>
      </c>
      <c r="Z221">
        <f>CHOOSE(MAX(IF(M221="high",2,IF(M221="medium",1,0)),IF(Y221="high",2,IF(Y221="medium",1,0)))+1,"low","medium","high")</f>
        <v/>
      </c>
      <c r="AA221">
        <f>IF(IF(M221="high",2,IF(M221="medium",1,0))=IF(Y221="high",2,IF(Y221="medium",1,0)),"SI และ Rate เท่ากัน",IF(IF(M221="high",2,IF(M221="medium",1,0))&gt;IF(Y221="high",2,IF(Y221="medium",1,0)),"SI","Rate"))</f>
        <v/>
      </c>
    </row>
    <row r="222">
      <c r="A222" t="inlineStr">
        <is>
          <t>zone_33</t>
        </is>
      </c>
      <c r="B222" t="inlineStr">
        <is>
          <t>ดาวคะนอง -  แสมดำ</t>
        </is>
      </c>
      <c r="C222" t="inlineStr">
        <is>
          <t>กรุงเทพมหานคร</t>
        </is>
      </c>
      <c r="D222" t="inlineStr">
        <is>
          <t>35</t>
        </is>
      </c>
      <c r="E222" t="inlineStr">
        <is>
          <t>ทล.</t>
        </is>
      </c>
      <c r="F222" t="inlineStr">
        <is>
          <t>7.7–8.3</t>
        </is>
      </c>
      <c r="G222" t="inlineStr">
        <is>
          <t>station_id 127 (ทล.35 กม.6+500)</t>
        </is>
      </c>
      <c r="H222" t="inlineStr">
        <is>
          <t>ทล. สถานีตัวแทนตอนควบคุม</t>
        </is>
      </c>
      <c r="I222" t="n">
        <v>12</v>
      </c>
      <c r="J222" t="n">
        <v>1</v>
      </c>
      <c r="K222" t="n">
        <v>12</v>
      </c>
      <c r="L222" s="5" t="n">
        <v>1.0833</v>
      </c>
      <c r="M222" t="inlineStr">
        <is>
          <t>medium</t>
        </is>
      </c>
      <c r="N222" s="6" t="n">
        <v>256167</v>
      </c>
      <c r="O222" s="6" t="n">
        <v>260090</v>
      </c>
      <c r="P222" s="6" t="n">
        <v>259277</v>
      </c>
      <c r="Q222" s="6">
        <f>AVERAGE(N222:P222)</f>
        <v/>
      </c>
      <c r="R222" t="n">
        <v>3</v>
      </c>
      <c r="S222" t="n">
        <v>1</v>
      </c>
      <c r="T222" s="7">
        <f>365*R222*Q222*S222/1000000</f>
        <v/>
      </c>
      <c r="U222" s="8">
        <f>I222/T222</f>
        <v/>
      </c>
      <c r="V222" s="8">
        <f>SUMIF($E$2:$E$599,E222,$I$2:$I$599)/SUMIF($E$2:$E$599,E222,$T$2:$T$599)</f>
        <v/>
      </c>
      <c r="W222" s="8">
        <f>V222+1.645*SQRT(V222/T222)+1/(2*T222)</f>
        <v/>
      </c>
      <c r="X222" s="5">
        <f>U222/W222</f>
        <v/>
      </c>
      <c r="Y222">
        <f>IF(U222&gt;W222,"high",IF(U222&gt;V222,"medium","low"))</f>
        <v/>
      </c>
      <c r="Z222">
        <f>CHOOSE(MAX(IF(M222="high",2,IF(M222="medium",1,0)),IF(Y222="high",2,IF(Y222="medium",1,0)))+1,"low","medium","high")</f>
        <v/>
      </c>
      <c r="AA222">
        <f>IF(IF(M222="high",2,IF(M222="medium",1,0))=IF(Y222="high",2,IF(Y222="medium",1,0)),"SI และ Rate เท่ากัน",IF(IF(M222="high",2,IF(M222="medium",1,0))&gt;IF(Y222="high",2,IF(Y222="medium",1,0)),"SI","Rate"))</f>
        <v/>
      </c>
    </row>
    <row r="223">
      <c r="A223" t="inlineStr">
        <is>
          <t>zone_374</t>
        </is>
      </c>
      <c r="B223" t="inlineStr">
        <is>
          <t>นครปฐม - ดอนตูม</t>
        </is>
      </c>
      <c r="C223" t="inlineStr">
        <is>
          <t>นครปฐม</t>
        </is>
      </c>
      <c r="D223" t="inlineStr">
        <is>
          <t>375</t>
        </is>
      </c>
      <c r="E223" t="inlineStr">
        <is>
          <t>ทล.</t>
        </is>
      </c>
      <c r="F223" t="inlineStr">
        <is>
          <t>54.652–54.732</t>
        </is>
      </c>
      <c r="G223" t="inlineStr">
        <is>
          <t>station_id 1974 (ทล.375 กม.43+935)</t>
        </is>
      </c>
      <c r="H223" t="inlineStr">
        <is>
          <t>ทล. สถานีตัวแทนตอนควบคุม</t>
        </is>
      </c>
      <c r="I223" t="n">
        <v>3</v>
      </c>
      <c r="J223" t="n">
        <v>1</v>
      </c>
      <c r="K223" t="n">
        <v>2</v>
      </c>
      <c r="L223" s="5" t="n">
        <v>1</v>
      </c>
      <c r="M223" t="inlineStr">
        <is>
          <t>medium</t>
        </is>
      </c>
      <c r="N223" s="6" t="n">
        <v>43466</v>
      </c>
      <c r="O223" s="6" t="n">
        <v>52613</v>
      </c>
      <c r="P223" s="6" t="n">
        <v>61581</v>
      </c>
      <c r="Q223" s="6">
        <f>AVERAGE(N223:P223)</f>
        <v/>
      </c>
      <c r="R223" t="n">
        <v>3</v>
      </c>
      <c r="S223" t="n">
        <v>1</v>
      </c>
      <c r="T223" s="7">
        <f>365*R223*Q223*S223/1000000</f>
        <v/>
      </c>
      <c r="U223" s="8">
        <f>I223/T223</f>
        <v/>
      </c>
      <c r="V223" s="8">
        <f>SUMIF($E$2:$E$599,E223,$I$2:$I$599)/SUMIF($E$2:$E$599,E223,$T$2:$T$599)</f>
        <v/>
      </c>
      <c r="W223" s="8">
        <f>V223+1.645*SQRT(V223/T223)+1/(2*T223)</f>
        <v/>
      </c>
      <c r="X223" s="5">
        <f>U223/W223</f>
        <v/>
      </c>
      <c r="Y223">
        <f>IF(U223&gt;W223,"high",IF(U223&gt;V223,"medium","low"))</f>
        <v/>
      </c>
      <c r="Z223">
        <f>CHOOSE(MAX(IF(M223="high",2,IF(M223="medium",1,0)),IF(Y223="high",2,IF(Y223="medium",1,0)))+1,"low","medium","high")</f>
        <v/>
      </c>
      <c r="AA223">
        <f>IF(IF(M223="high",2,IF(M223="medium",1,0))=IF(Y223="high",2,IF(Y223="medium",1,0)),"SI และ Rate เท่ากัน",IF(IF(M223="high",2,IF(M223="medium",1,0))&gt;IF(Y223="high",2,IF(Y223="medium",1,0)),"SI","Rate"))</f>
        <v/>
      </c>
    </row>
    <row r="224">
      <c r="A224" t="inlineStr">
        <is>
          <t>zone_163</t>
        </is>
      </c>
      <c r="B224" t="inlineStr">
        <is>
          <t>ดินแดง - งามวงศ์วาน</t>
        </is>
      </c>
      <c r="C224" t="inlineStr">
        <is>
          <t>กรุงเทพมหานคร</t>
        </is>
      </c>
      <c r="D224" t="inlineStr">
        <is>
          <t>31</t>
        </is>
      </c>
      <c r="E224" t="inlineStr">
        <is>
          <t>ทล.</t>
        </is>
      </c>
      <c r="F224" t="inlineStr">
        <is>
          <t>6.565–6.92</t>
        </is>
      </c>
      <c r="G224" t="inlineStr">
        <is>
          <t>station_id 104 (ทล.302 กม.5+822)</t>
        </is>
      </c>
      <c r="H224" t="inlineStr">
        <is>
          <t>ทล. สถานีตัวแทนตอนควบคุม</t>
        </is>
      </c>
      <c r="I224" t="n">
        <v>5</v>
      </c>
      <c r="J224" t="n">
        <v>0</v>
      </c>
      <c r="K224" t="n">
        <v>7</v>
      </c>
      <c r="L224" s="5" t="n">
        <v>1.4</v>
      </c>
      <c r="M224" t="inlineStr">
        <is>
          <t>medium</t>
        </is>
      </c>
      <c r="N224" s="6" t="n">
        <v>111493</v>
      </c>
      <c r="O224" s="6" t="n">
        <v>113776</v>
      </c>
      <c r="P224" s="6" t="n">
        <v>111297</v>
      </c>
      <c r="Q224" s="6">
        <f>AVERAGE(N224:P224)</f>
        <v/>
      </c>
      <c r="R224" t="n">
        <v>3</v>
      </c>
      <c r="S224" t="n">
        <v>1</v>
      </c>
      <c r="T224" s="7">
        <f>365*R224*Q224*S224/1000000</f>
        <v/>
      </c>
      <c r="U224" s="8">
        <f>I224/T224</f>
        <v/>
      </c>
      <c r="V224" s="8">
        <f>SUMIF($E$2:$E$599,E224,$I$2:$I$599)/SUMIF($E$2:$E$599,E224,$T$2:$T$599)</f>
        <v/>
      </c>
      <c r="W224" s="8">
        <f>V224+1.645*SQRT(V224/T224)+1/(2*T224)</f>
        <v/>
      </c>
      <c r="X224" s="5">
        <f>U224/W224</f>
        <v/>
      </c>
      <c r="Y224">
        <f>IF(U224&gt;W224,"high",IF(U224&gt;V224,"medium","low"))</f>
        <v/>
      </c>
      <c r="Z224">
        <f>CHOOSE(MAX(IF(M224="high",2,IF(M224="medium",1,0)),IF(Y224="high",2,IF(Y224="medium",1,0)))+1,"low","medium","high")</f>
        <v/>
      </c>
      <c r="AA224">
        <f>IF(IF(M224="high",2,IF(M224="medium",1,0))=IF(Y224="high",2,IF(Y224="medium",1,0)),"SI และ Rate เท่ากัน",IF(IF(M224="high",2,IF(M224="medium",1,0))&gt;IF(Y224="high",2,IF(Y224="medium",1,0)),"SI","Rate"))</f>
        <v/>
      </c>
    </row>
    <row r="225">
      <c r="A225" t="inlineStr">
        <is>
          <t>zone_617</t>
        </is>
      </c>
      <c r="B225" t="inlineStr">
        <is>
          <t>แสมดำ - สะพานข้ามแม่น้ำท่าจีนฝั่งตะวันตก</t>
        </is>
      </c>
      <c r="C225" t="inlineStr">
        <is>
          <t>สมุทรสาคร</t>
        </is>
      </c>
      <c r="D225" t="inlineStr">
        <is>
          <t>35</t>
        </is>
      </c>
      <c r="E225" t="inlineStr">
        <is>
          <t>ทล.</t>
        </is>
      </c>
      <c r="F225" t="inlineStr">
        <is>
          <t>26.3–26.54</t>
        </is>
      </c>
      <c r="G225" t="inlineStr">
        <is>
          <t>station_id 57 (ทล.35 กม.24+550)</t>
        </is>
      </c>
      <c r="H225" t="inlineStr">
        <is>
          <t>ทล. สถานีตัวแทนตอนควบคุม</t>
        </is>
      </c>
      <c r="I225" t="n">
        <v>6</v>
      </c>
      <c r="J225" t="n">
        <v>0</v>
      </c>
      <c r="K225" t="n">
        <v>7</v>
      </c>
      <c r="L225" s="5" t="n">
        <v>1.1667</v>
      </c>
      <c r="M225" t="inlineStr">
        <is>
          <t>medium</t>
        </is>
      </c>
      <c r="N225" s="6" t="n">
        <v>129063</v>
      </c>
      <c r="O225" s="6" t="n">
        <v>149020</v>
      </c>
      <c r="P225" s="6" t="n">
        <v>143116</v>
      </c>
      <c r="Q225" s="6">
        <f>AVERAGE(N225:P225)</f>
        <v/>
      </c>
      <c r="R225" t="n">
        <v>3</v>
      </c>
      <c r="S225" t="n">
        <v>1</v>
      </c>
      <c r="T225" s="7">
        <f>365*R225*Q225*S225/1000000</f>
        <v/>
      </c>
      <c r="U225" s="8">
        <f>I225/T225</f>
        <v/>
      </c>
      <c r="V225" s="8">
        <f>SUMIF($E$2:$E$599,E225,$I$2:$I$599)/SUMIF($E$2:$E$599,E225,$T$2:$T$599)</f>
        <v/>
      </c>
      <c r="W225" s="8">
        <f>V225+1.645*SQRT(V225/T225)+1/(2*T225)</f>
        <v/>
      </c>
      <c r="X225" s="5">
        <f>U225/W225</f>
        <v/>
      </c>
      <c r="Y225">
        <f>IF(U225&gt;W225,"high",IF(U225&gt;V225,"medium","low"))</f>
        <v/>
      </c>
      <c r="Z225">
        <f>CHOOSE(MAX(IF(M225="high",2,IF(M225="medium",1,0)),IF(Y225="high",2,IF(Y225="medium",1,0)))+1,"low","medium","high")</f>
        <v/>
      </c>
      <c r="AA225">
        <f>IF(IF(M225="high",2,IF(M225="medium",1,0))=IF(Y225="high",2,IF(Y225="medium",1,0)),"SI และ Rate เท่ากัน",IF(IF(M225="high",2,IF(M225="medium",1,0))&gt;IF(Y225="high",2,IF(Y225="medium",1,0)),"SI","Rate"))</f>
        <v/>
      </c>
    </row>
    <row r="226">
      <c r="A226" t="inlineStr">
        <is>
          <t>zone_282</t>
        </is>
      </c>
      <c r="B226" t="inlineStr">
        <is>
          <t>พญาไท-บางโคล่</t>
        </is>
      </c>
      <c r="C226" t="inlineStr">
        <is>
          <t>กรุงเทพมหานคร</t>
        </is>
      </c>
      <c r="D226" t="inlineStr">
        <is>
          <t>E002S007|U</t>
        </is>
      </c>
      <c r="E226" t="inlineStr">
        <is>
          <t>กทพ.</t>
        </is>
      </c>
      <c r="F226" t="inlineStr">
        <is>
          <t>5.1–5.2</t>
        </is>
      </c>
      <c r="G226" t="inlineStr">
        <is>
          <t>ศรีรัช</t>
        </is>
      </c>
      <c r="H226" t="inlineStr">
        <is>
          <t>กทพ. ยอดผ่านด่านทั้งสาย ÷ 365</t>
        </is>
      </c>
      <c r="I226" t="n">
        <v>4</v>
      </c>
      <c r="J226" t="n">
        <v>0</v>
      </c>
      <c r="K226" t="n">
        <v>5</v>
      </c>
      <c r="L226" s="5" t="n">
        <v>1.25</v>
      </c>
      <c r="M226" t="inlineStr">
        <is>
          <t>medium</t>
        </is>
      </c>
      <c r="N226" s="6" t="n">
        <v>613083.1506849315</v>
      </c>
      <c r="O226" s="6" t="n">
        <v>601127.7068493151</v>
      </c>
      <c r="P226" s="6" t="n">
        <v>607857.5287671232</v>
      </c>
      <c r="Q226" s="6">
        <f>AVERAGE(N226:P226)</f>
        <v/>
      </c>
      <c r="R226" t="n">
        <v>3</v>
      </c>
      <c r="S226" t="n">
        <v>1</v>
      </c>
      <c r="T226" s="7">
        <f>365*R226*Q226*S226/1000000</f>
        <v/>
      </c>
      <c r="U226" s="8">
        <f>I226/T226</f>
        <v/>
      </c>
      <c r="V226" s="8">
        <f>SUMIF($E$2:$E$599,E226,$I$2:$I$599)/SUMIF($E$2:$E$599,E226,$T$2:$T$599)</f>
        <v/>
      </c>
      <c r="W226" s="8">
        <f>V226+1.645*SQRT(V226/T226)+1/(2*T226)</f>
        <v/>
      </c>
      <c r="X226" s="5">
        <f>U226/W226</f>
        <v/>
      </c>
      <c r="Y226">
        <f>IF(U226&gt;W226,"high",IF(U226&gt;V226,"medium","low"))</f>
        <v/>
      </c>
      <c r="Z226">
        <f>CHOOSE(MAX(IF(M226="high",2,IF(M226="medium",1,0)),IF(Y226="high",2,IF(Y226="medium",1,0)))+1,"low","medium","high")</f>
        <v/>
      </c>
      <c r="AA226">
        <f>IF(IF(M226="high",2,IF(M226="medium",1,0))=IF(Y226="high",2,IF(Y226="medium",1,0)),"SI และ Rate เท่ากัน",IF(IF(M226="high",2,IF(M226="medium",1,0))&gt;IF(Y226="high",2,IF(Y226="medium",1,0)),"SI","Rate"))</f>
        <v/>
      </c>
    </row>
    <row r="227">
      <c r="A227" t="inlineStr">
        <is>
          <t>zone_286</t>
        </is>
      </c>
      <c r="B227" t="inlineStr">
        <is>
          <t>พญาไท-ศรีนครินทร์</t>
        </is>
      </c>
      <c r="C227" t="inlineStr">
        <is>
          <t>กรุงเทพมหานคร</t>
        </is>
      </c>
      <c r="D227" t="inlineStr">
        <is>
          <t>E002S016|I</t>
        </is>
      </c>
      <c r="E227" t="inlineStr">
        <is>
          <t>กทพ.</t>
        </is>
      </c>
      <c r="F227" t="inlineStr">
        <is>
          <t>4.3–4.5</t>
        </is>
      </c>
      <c r="G227" t="inlineStr">
        <is>
          <t>ศรีรัช</t>
        </is>
      </c>
      <c r="H227" t="inlineStr">
        <is>
          <t>กทพ. ยอดผ่านด่านทั้งสาย ÷ 365</t>
        </is>
      </c>
      <c r="I227" t="n">
        <v>4</v>
      </c>
      <c r="J227" t="n">
        <v>0</v>
      </c>
      <c r="K227" t="n">
        <v>5</v>
      </c>
      <c r="L227" s="5" t="n">
        <v>1.25</v>
      </c>
      <c r="M227" t="inlineStr">
        <is>
          <t>medium</t>
        </is>
      </c>
      <c r="N227" s="6" t="n">
        <v>613083.1506849315</v>
      </c>
      <c r="O227" s="6" t="n">
        <v>601127.7068493151</v>
      </c>
      <c r="P227" s="6" t="n">
        <v>607857.5287671232</v>
      </c>
      <c r="Q227" s="6">
        <f>AVERAGE(N227:P227)</f>
        <v/>
      </c>
      <c r="R227" t="n">
        <v>3</v>
      </c>
      <c r="S227" t="n">
        <v>1</v>
      </c>
      <c r="T227" s="7">
        <f>365*R227*Q227*S227/1000000</f>
        <v/>
      </c>
      <c r="U227" s="8">
        <f>I227/T227</f>
        <v/>
      </c>
      <c r="V227" s="8">
        <f>SUMIF($E$2:$E$599,E227,$I$2:$I$599)/SUMIF($E$2:$E$599,E227,$T$2:$T$599)</f>
        <v/>
      </c>
      <c r="W227" s="8">
        <f>V227+1.645*SQRT(V227/T227)+1/(2*T227)</f>
        <v/>
      </c>
      <c r="X227" s="5">
        <f>U227/W227</f>
        <v/>
      </c>
      <c r="Y227">
        <f>IF(U227&gt;W227,"high",IF(U227&gt;V227,"medium","low"))</f>
        <v/>
      </c>
      <c r="Z227">
        <f>CHOOSE(MAX(IF(M227="high",2,IF(M227="medium",1,0)),IF(Y227="high",2,IF(Y227="medium",1,0)))+1,"low","medium","high")</f>
        <v/>
      </c>
      <c r="AA227">
        <f>IF(IF(M227="high",2,IF(M227="medium",1,0))=IF(Y227="high",2,IF(Y227="medium",1,0)),"SI และ Rate เท่ากัน",IF(IF(M227="high",2,IF(M227="medium",1,0))&gt;IF(Y227="high",2,IF(Y227="medium",1,0)),"SI","Rate"))</f>
        <v/>
      </c>
    </row>
    <row r="228">
      <c r="A228" t="inlineStr">
        <is>
          <t>zone_243</t>
        </is>
      </c>
      <c r="B228" t="inlineStr">
        <is>
          <t>บางบอน - โรงพยาบาลบางปะกอก8</t>
        </is>
      </c>
      <c r="C228" t="inlineStr">
        <is>
          <t>กรุงเทพมหานคร</t>
        </is>
      </c>
      <c r="D228" t="inlineStr">
        <is>
          <t>3242</t>
        </is>
      </c>
      <c r="E228" t="inlineStr">
        <is>
          <t>ทล.</t>
        </is>
      </c>
      <c r="F228" t="inlineStr">
        <is>
          <t>17.405–17.648</t>
        </is>
      </c>
      <c r="G228" t="inlineStr">
        <is>
          <t>station_id 129 (ทล.3242 กม.15+600)</t>
        </is>
      </c>
      <c r="H228" t="inlineStr">
        <is>
          <t>ทล. สถานีตัวแทนตอนควบคุม</t>
        </is>
      </c>
      <c r="I228" t="n">
        <v>4</v>
      </c>
      <c r="J228" t="n">
        <v>0</v>
      </c>
      <c r="K228" t="n">
        <v>5</v>
      </c>
      <c r="L228" s="5" t="n">
        <v>1.25</v>
      </c>
      <c r="M228" t="inlineStr">
        <is>
          <t>medium</t>
        </is>
      </c>
      <c r="N228" s="6" t="n">
        <v>99272</v>
      </c>
      <c r="O228" s="6" t="n">
        <v>83416</v>
      </c>
      <c r="P228" s="6" t="n">
        <v>81423</v>
      </c>
      <c r="Q228" s="6">
        <f>AVERAGE(N228:P228)</f>
        <v/>
      </c>
      <c r="R228" t="n">
        <v>3</v>
      </c>
      <c r="S228" t="n">
        <v>1</v>
      </c>
      <c r="T228" s="7">
        <f>365*R228*Q228*S228/1000000</f>
        <v/>
      </c>
      <c r="U228" s="8">
        <f>I228/T228</f>
        <v/>
      </c>
      <c r="V228" s="8">
        <f>SUMIF($E$2:$E$599,E228,$I$2:$I$599)/SUMIF($E$2:$E$599,E228,$T$2:$T$599)</f>
        <v/>
      </c>
      <c r="W228" s="8">
        <f>V228+1.645*SQRT(V228/T228)+1/(2*T228)</f>
        <v/>
      </c>
      <c r="X228" s="5">
        <f>U228/W228</f>
        <v/>
      </c>
      <c r="Y228">
        <f>IF(U228&gt;W228,"high",IF(U228&gt;V228,"medium","low"))</f>
        <v/>
      </c>
      <c r="Z228">
        <f>CHOOSE(MAX(IF(M228="high",2,IF(M228="medium",1,0)),IF(Y228="high",2,IF(Y228="medium",1,0)))+1,"low","medium","high")</f>
        <v/>
      </c>
      <c r="AA228">
        <f>IF(IF(M228="high",2,IF(M228="medium",1,0))=IF(Y228="high",2,IF(Y228="medium",1,0)),"SI และ Rate เท่ากัน",IF(IF(M228="high",2,IF(M228="medium",1,0))&gt;IF(Y228="high",2,IF(Y228="medium",1,0)),"SI","Rate"))</f>
        <v/>
      </c>
    </row>
    <row r="229">
      <c r="A229" t="inlineStr">
        <is>
          <t>zone_320</t>
        </is>
      </c>
      <c r="B229" t="inlineStr">
        <is>
          <t>คลองบางไผ่ - คลองบางหลวง</t>
        </is>
      </c>
      <c r="C229" t="inlineStr">
        <is>
          <t>นนทบุรี</t>
        </is>
      </c>
      <c r="D229" t="inlineStr">
        <is>
          <t>3901</t>
        </is>
      </c>
      <c r="E229" t="inlineStr">
        <is>
          <t>ทล.</t>
        </is>
      </c>
      <c r="F229" t="inlineStr">
        <is>
          <t>47.5–48.7</t>
        </is>
      </c>
      <c r="G229" t="inlineStr">
        <is>
          <t>station_id 121 (ทล.3901 กม.46+472)</t>
        </is>
      </c>
      <c r="H229" t="inlineStr">
        <is>
          <t>ทล. สถานีตัวแทนตอนควบคุม</t>
        </is>
      </c>
      <c r="I229" t="n">
        <v>3</v>
      </c>
      <c r="J229" t="n">
        <v>0</v>
      </c>
      <c r="K229" t="n">
        <v>4</v>
      </c>
      <c r="L229" s="5" t="n">
        <v>1.3333</v>
      </c>
      <c r="M229" t="inlineStr">
        <is>
          <t>medium</t>
        </is>
      </c>
      <c r="N229" s="6" t="n">
        <v>59239</v>
      </c>
      <c r="O229" s="6" t="n">
        <v>66002</v>
      </c>
      <c r="P229" s="6" t="n">
        <v>69929</v>
      </c>
      <c r="Q229" s="6">
        <f>AVERAGE(N229:P229)</f>
        <v/>
      </c>
      <c r="R229" t="n">
        <v>3</v>
      </c>
      <c r="S229" t="n">
        <v>1</v>
      </c>
      <c r="T229" s="7">
        <f>365*R229*Q229*S229/1000000</f>
        <v/>
      </c>
      <c r="U229" s="8">
        <f>I229/T229</f>
        <v/>
      </c>
      <c r="V229" s="8">
        <f>SUMIF($E$2:$E$599,E229,$I$2:$I$599)/SUMIF($E$2:$E$599,E229,$T$2:$T$599)</f>
        <v/>
      </c>
      <c r="W229" s="8">
        <f>V229+1.645*SQRT(V229/T229)+1/(2*T229)</f>
        <v/>
      </c>
      <c r="X229" s="5">
        <f>U229/W229</f>
        <v/>
      </c>
      <c r="Y229">
        <f>IF(U229&gt;W229,"high",IF(U229&gt;V229,"medium","low"))</f>
        <v/>
      </c>
      <c r="Z229">
        <f>CHOOSE(MAX(IF(M229="high",2,IF(M229="medium",1,0)),IF(Y229="high",2,IF(Y229="medium",1,0)))+1,"low","medium","high")</f>
        <v/>
      </c>
      <c r="AA229">
        <f>IF(IF(M229="high",2,IF(M229="medium",1,0))=IF(Y229="high",2,IF(Y229="medium",1,0)),"SI และ Rate เท่ากัน",IF(IF(M229="high",2,IF(M229="medium",1,0))&gt;IF(Y229="high",2,IF(Y229="medium",1,0)),"SI","Rate"))</f>
        <v/>
      </c>
    </row>
    <row r="230">
      <c r="A230" t="inlineStr">
        <is>
          <t>zone_326</t>
        </is>
      </c>
      <c r="B230" t="inlineStr">
        <is>
          <t>คลองบางไผ่ - คลองบางหลวง</t>
        </is>
      </c>
      <c r="C230" t="inlineStr">
        <is>
          <t>นนทบุรี</t>
        </is>
      </c>
      <c r="D230" t="inlineStr">
        <is>
          <t>3901</t>
        </is>
      </c>
      <c r="E230" t="inlineStr">
        <is>
          <t>ทล.</t>
        </is>
      </c>
      <c r="F230" t="inlineStr">
        <is>
          <t>43.595–44.35</t>
        </is>
      </c>
      <c r="G230" t="inlineStr">
        <is>
          <t>station_id 121 (ทล.3901 กม.46+472)</t>
        </is>
      </c>
      <c r="H230" t="inlineStr">
        <is>
          <t>ทล. สถานีตัวแทนตอนควบคุม</t>
        </is>
      </c>
      <c r="I230" t="n">
        <v>3</v>
      </c>
      <c r="J230" t="n">
        <v>0</v>
      </c>
      <c r="K230" t="n">
        <v>3</v>
      </c>
      <c r="L230" s="5" t="n">
        <v>1</v>
      </c>
      <c r="M230" t="inlineStr">
        <is>
          <t>medium</t>
        </is>
      </c>
      <c r="N230" s="6" t="n">
        <v>59239</v>
      </c>
      <c r="O230" s="6" t="n">
        <v>66002</v>
      </c>
      <c r="P230" s="6" t="n">
        <v>69929</v>
      </c>
      <c r="Q230" s="6">
        <f>AVERAGE(N230:P230)</f>
        <v/>
      </c>
      <c r="R230" t="n">
        <v>3</v>
      </c>
      <c r="S230" t="n">
        <v>1</v>
      </c>
      <c r="T230" s="7">
        <f>365*R230*Q230*S230/1000000</f>
        <v/>
      </c>
      <c r="U230" s="8">
        <f>I230/T230</f>
        <v/>
      </c>
      <c r="V230" s="8">
        <f>SUMIF($E$2:$E$599,E230,$I$2:$I$599)/SUMIF($E$2:$E$599,E230,$T$2:$T$599)</f>
        <v/>
      </c>
      <c r="W230" s="8">
        <f>V230+1.645*SQRT(V230/T230)+1/(2*T230)</f>
        <v/>
      </c>
      <c r="X230" s="5">
        <f>U230/W230</f>
        <v/>
      </c>
      <c r="Y230">
        <f>IF(U230&gt;W230,"high",IF(U230&gt;V230,"medium","low"))</f>
        <v/>
      </c>
      <c r="Z230">
        <f>CHOOSE(MAX(IF(M230="high",2,IF(M230="medium",1,0)),IF(Y230="high",2,IF(Y230="medium",1,0)))+1,"low","medium","high")</f>
        <v/>
      </c>
      <c r="AA230">
        <f>IF(IF(M230="high",2,IF(M230="medium",1,0))=IF(Y230="high",2,IF(Y230="medium",1,0)),"SI และ Rate เท่ากัน",IF(IF(M230="high",2,IF(M230="medium",1,0))&gt;IF(Y230="high",2,IF(Y230="medium",1,0)),"SI","Rate"))</f>
        <v/>
      </c>
    </row>
    <row r="231">
      <c r="A231" t="inlineStr">
        <is>
          <t>zone_530</t>
        </is>
      </c>
      <c r="B231" t="inlineStr">
        <is>
          <t>บางปู - บางพลี</t>
        </is>
      </c>
      <c r="C231" t="inlineStr">
        <is>
          <t>สมุทรปราการ</t>
        </is>
      </c>
      <c r="D231" t="inlineStr">
        <is>
          <t>3256</t>
        </is>
      </c>
      <c r="E231" t="inlineStr">
        <is>
          <t>ทล.</t>
        </is>
      </c>
      <c r="F231" t="inlineStr">
        <is>
          <t>1.06–1.24</t>
        </is>
      </c>
      <c r="G231" t="inlineStr">
        <is>
          <t>station_id 98 (ทล.3256 กม.19+857)</t>
        </is>
      </c>
      <c r="H231" t="inlineStr">
        <is>
          <t>ทล. สถานีตัวแทนตอนควบคุม</t>
        </is>
      </c>
      <c r="I231" t="n">
        <v>3</v>
      </c>
      <c r="J231" t="n">
        <v>2</v>
      </c>
      <c r="K231" t="n">
        <v>2</v>
      </c>
      <c r="L231" s="5" t="n">
        <v>1</v>
      </c>
      <c r="M231" t="inlineStr">
        <is>
          <t>medium</t>
        </is>
      </c>
      <c r="N231" s="6" t="n">
        <v>61837</v>
      </c>
      <c r="O231" s="6" t="n">
        <v>64320</v>
      </c>
      <c r="P231" s="6" t="n">
        <v>69133</v>
      </c>
      <c r="Q231" s="6">
        <f>AVERAGE(N231:P231)</f>
        <v/>
      </c>
      <c r="R231" t="n">
        <v>3</v>
      </c>
      <c r="S231" t="n">
        <v>1</v>
      </c>
      <c r="T231" s="7">
        <f>365*R231*Q231*S231/1000000</f>
        <v/>
      </c>
      <c r="U231" s="8">
        <f>I231/T231</f>
        <v/>
      </c>
      <c r="V231" s="8">
        <f>SUMIF($E$2:$E$599,E231,$I$2:$I$599)/SUMIF($E$2:$E$599,E231,$T$2:$T$599)</f>
        <v/>
      </c>
      <c r="W231" s="8">
        <f>V231+1.645*SQRT(V231/T231)+1/(2*T231)</f>
        <v/>
      </c>
      <c r="X231" s="5">
        <f>U231/W231</f>
        <v/>
      </c>
      <c r="Y231">
        <f>IF(U231&gt;W231,"high",IF(U231&gt;V231,"medium","low"))</f>
        <v/>
      </c>
      <c r="Z231">
        <f>CHOOSE(MAX(IF(M231="high",2,IF(M231="medium",1,0)),IF(Y231="high",2,IF(Y231="medium",1,0)))+1,"low","medium","high")</f>
        <v/>
      </c>
      <c r="AA231">
        <f>IF(IF(M231="high",2,IF(M231="medium",1,0))=IF(Y231="high",2,IF(Y231="medium",1,0)),"SI และ Rate เท่ากัน",IF(IF(M231="high",2,IF(M231="medium",1,0))&gt;IF(Y231="high",2,IF(Y231="medium",1,0)),"SI","Rate"))</f>
        <v/>
      </c>
    </row>
    <row r="232">
      <c r="A232" t="inlineStr">
        <is>
          <t>zone_548</t>
        </is>
      </c>
      <c r="B232" t="inlineStr">
        <is>
          <t>บางปู - บางพลี</t>
        </is>
      </c>
      <c r="C232" t="inlineStr">
        <is>
          <t>สมุทรปราการ</t>
        </is>
      </c>
      <c r="D232" t="inlineStr">
        <is>
          <t>3256</t>
        </is>
      </c>
      <c r="E232" t="inlineStr">
        <is>
          <t>ทล.</t>
        </is>
      </c>
      <c r="F232" t="inlineStr">
        <is>
          <t>2.65–2.85</t>
        </is>
      </c>
      <c r="G232" t="inlineStr">
        <is>
          <t>station_id 98 (ทล.3256 กม.19+857)</t>
        </is>
      </c>
      <c r="H232" t="inlineStr">
        <is>
          <t>ทล. สถานีตัวแทนตอนควบคุม</t>
        </is>
      </c>
      <c r="I232" t="n">
        <v>3</v>
      </c>
      <c r="J232" t="n">
        <v>1</v>
      </c>
      <c r="K232" t="n">
        <v>2</v>
      </c>
      <c r="L232" s="5" t="n">
        <v>1</v>
      </c>
      <c r="M232" t="inlineStr">
        <is>
          <t>medium</t>
        </is>
      </c>
      <c r="N232" s="6" t="n">
        <v>61837</v>
      </c>
      <c r="O232" s="6" t="n">
        <v>64320</v>
      </c>
      <c r="P232" s="6" t="n">
        <v>69133</v>
      </c>
      <c r="Q232" s="6">
        <f>AVERAGE(N232:P232)</f>
        <v/>
      </c>
      <c r="R232" t="n">
        <v>3</v>
      </c>
      <c r="S232" t="n">
        <v>1</v>
      </c>
      <c r="T232" s="7">
        <f>365*R232*Q232*S232/1000000</f>
        <v/>
      </c>
      <c r="U232" s="8">
        <f>I232/T232</f>
        <v/>
      </c>
      <c r="V232" s="8">
        <f>SUMIF($E$2:$E$599,E232,$I$2:$I$599)/SUMIF($E$2:$E$599,E232,$T$2:$T$599)</f>
        <v/>
      </c>
      <c r="W232" s="8">
        <f>V232+1.645*SQRT(V232/T232)+1/(2*T232)</f>
        <v/>
      </c>
      <c r="X232" s="5">
        <f>U232/W232</f>
        <v/>
      </c>
      <c r="Y232">
        <f>IF(U232&gt;W232,"high",IF(U232&gt;V232,"medium","low"))</f>
        <v/>
      </c>
      <c r="Z232">
        <f>CHOOSE(MAX(IF(M232="high",2,IF(M232="medium",1,0)),IF(Y232="high",2,IF(Y232="medium",1,0)))+1,"low","medium","high")</f>
        <v/>
      </c>
      <c r="AA232">
        <f>IF(IF(M232="high",2,IF(M232="medium",1,0))=IF(Y232="high",2,IF(Y232="medium",1,0)),"SI และ Rate เท่ากัน",IF(IF(M232="high",2,IF(M232="medium",1,0))&gt;IF(Y232="high",2,IF(Y232="medium",1,0)),"SI","Rate"))</f>
        <v/>
      </c>
    </row>
    <row r="233">
      <c r="A233" t="inlineStr">
        <is>
          <t>zone_505</t>
        </is>
      </c>
      <c r="B233" t="inlineStr">
        <is>
          <t>ทางเข้าท่าอากาศยานสุวรรณภูมิ - บางวัว</t>
        </is>
      </c>
      <c r="C233" t="inlineStr">
        <is>
          <t>สมุทรปราการ</t>
        </is>
      </c>
      <c r="D233" t="inlineStr">
        <is>
          <t>34</t>
        </is>
      </c>
      <c r="E233" t="inlineStr">
        <is>
          <t>ทล.</t>
        </is>
      </c>
      <c r="F233" t="inlineStr">
        <is>
          <t>19–19.3</t>
        </is>
      </c>
      <c r="G233" t="inlineStr">
        <is>
          <t>station_id 95 (ทล.34 กม.15+100)</t>
        </is>
      </c>
      <c r="H233" t="inlineStr">
        <is>
          <t>ทล. สถานีตัวแทนตอนควบคุม</t>
        </is>
      </c>
      <c r="I233" t="n">
        <v>9</v>
      </c>
      <c r="J233" t="n">
        <v>1</v>
      </c>
      <c r="K233" t="n">
        <v>9</v>
      </c>
      <c r="L233" s="5" t="n">
        <v>1.1111</v>
      </c>
      <c r="M233" t="inlineStr">
        <is>
          <t>medium</t>
        </is>
      </c>
      <c r="N233" s="6" t="n">
        <v>226283</v>
      </c>
      <c r="O233" s="6" t="n">
        <v>252612</v>
      </c>
      <c r="P233" s="6" t="n">
        <v>250222</v>
      </c>
      <c r="Q233" s="6">
        <f>AVERAGE(N233:P233)</f>
        <v/>
      </c>
      <c r="R233" t="n">
        <v>3</v>
      </c>
      <c r="S233" t="n">
        <v>1</v>
      </c>
      <c r="T233" s="7">
        <f>365*R233*Q233*S233/1000000</f>
        <v/>
      </c>
      <c r="U233" s="8">
        <f>I233/T233</f>
        <v/>
      </c>
      <c r="V233" s="8">
        <f>SUMIF($E$2:$E$599,E233,$I$2:$I$599)/SUMIF($E$2:$E$599,E233,$T$2:$T$599)</f>
        <v/>
      </c>
      <c r="W233" s="8">
        <f>V233+1.645*SQRT(V233/T233)+1/(2*T233)</f>
        <v/>
      </c>
      <c r="X233" s="5">
        <f>U233/W233</f>
        <v/>
      </c>
      <c r="Y233">
        <f>IF(U233&gt;W233,"high",IF(U233&gt;V233,"medium","low"))</f>
        <v/>
      </c>
      <c r="Z233">
        <f>CHOOSE(MAX(IF(M233="high",2,IF(M233="medium",1,0)),IF(Y233="high",2,IF(Y233="medium",1,0)))+1,"low","medium","high")</f>
        <v/>
      </c>
      <c r="AA233">
        <f>IF(IF(M233="high",2,IF(M233="medium",1,0))=IF(Y233="high",2,IF(Y233="medium",1,0)),"SI และ Rate เท่ากัน",IF(IF(M233="high",2,IF(M233="medium",1,0))&gt;IF(Y233="high",2,IF(Y233="medium",1,0)),"SI","Rate"))</f>
        <v/>
      </c>
    </row>
    <row r="234">
      <c r="A234" t="inlineStr">
        <is>
          <t>zone_232</t>
        </is>
      </c>
      <c r="B234" t="inlineStr">
        <is>
          <t>ดาวคะนอง -  แสมดำ</t>
        </is>
      </c>
      <c r="C234" t="inlineStr">
        <is>
          <t>กรุงเทพมหานคร</t>
        </is>
      </c>
      <c r="D234" t="inlineStr">
        <is>
          <t>35</t>
        </is>
      </c>
      <c r="E234" t="inlineStr">
        <is>
          <t>ทล.</t>
        </is>
      </c>
      <c r="F234" t="inlineStr">
        <is>
          <t>0.05–0.6</t>
        </is>
      </c>
      <c r="G234" t="inlineStr">
        <is>
          <t>station_id 127 (ทล.35 กม.6+500)</t>
        </is>
      </c>
      <c r="H234" t="inlineStr">
        <is>
          <t>ทล. สถานีตัวแทนตอนควบคุม</t>
        </is>
      </c>
      <c r="I234" t="n">
        <v>9</v>
      </c>
      <c r="J234" t="n">
        <v>0</v>
      </c>
      <c r="K234" t="n">
        <v>12</v>
      </c>
      <c r="L234" s="5" t="n">
        <v>1.3333</v>
      </c>
      <c r="M234" t="inlineStr">
        <is>
          <t>medium</t>
        </is>
      </c>
      <c r="N234" s="6" t="n">
        <v>256167</v>
      </c>
      <c r="O234" s="6" t="n">
        <v>260090</v>
      </c>
      <c r="P234" s="6" t="n">
        <v>259277</v>
      </c>
      <c r="Q234" s="6">
        <f>AVERAGE(N234:P234)</f>
        <v/>
      </c>
      <c r="R234" t="n">
        <v>3</v>
      </c>
      <c r="S234" t="n">
        <v>1</v>
      </c>
      <c r="T234" s="7">
        <f>365*R234*Q234*S234/1000000</f>
        <v/>
      </c>
      <c r="U234" s="8">
        <f>I234/T234</f>
        <v/>
      </c>
      <c r="V234" s="8">
        <f>SUMIF($E$2:$E$599,E234,$I$2:$I$599)/SUMIF($E$2:$E$599,E234,$T$2:$T$599)</f>
        <v/>
      </c>
      <c r="W234" s="8">
        <f>V234+1.645*SQRT(V234/T234)+1/(2*T234)</f>
        <v/>
      </c>
      <c r="X234" s="5">
        <f>U234/W234</f>
        <v/>
      </c>
      <c r="Y234">
        <f>IF(U234&gt;W234,"high",IF(U234&gt;V234,"medium","low"))</f>
        <v/>
      </c>
      <c r="Z234">
        <f>CHOOSE(MAX(IF(M234="high",2,IF(M234="medium",1,0)),IF(Y234="high",2,IF(Y234="medium",1,0)))+1,"low","medium","high")</f>
        <v/>
      </c>
      <c r="AA234">
        <f>IF(IF(M234="high",2,IF(M234="medium",1,0))=IF(Y234="high",2,IF(Y234="medium",1,0)),"SI และ Rate เท่ากัน",IF(IF(M234="high",2,IF(M234="medium",1,0))&gt;IF(Y234="high",2,IF(Y234="medium",1,0)),"SI","Rate"))</f>
        <v/>
      </c>
    </row>
    <row r="235">
      <c r="A235" t="inlineStr">
        <is>
          <t>zone_357</t>
        </is>
      </c>
      <c r="B235" t="inlineStr">
        <is>
          <t>อ้อมใหญ่ - นครชัยศรี</t>
        </is>
      </c>
      <c r="C235" t="inlineStr">
        <is>
          <t>นครปฐม</t>
        </is>
      </c>
      <c r="D235" t="inlineStr">
        <is>
          <t>4</t>
        </is>
      </c>
      <c r="E235" t="inlineStr">
        <is>
          <t>ทล.</t>
        </is>
      </c>
      <c r="F235" t="inlineStr">
        <is>
          <t>31.98–31.98</t>
        </is>
      </c>
      <c r="G235" t="inlineStr">
        <is>
          <t>station_id 58 (ทล.4 กม.26+500)</t>
        </is>
      </c>
      <c r="H235" t="inlineStr">
        <is>
          <t>ทล. สถานีตัวแทนตอนควบคุม</t>
        </is>
      </c>
      <c r="I235" t="n">
        <v>3</v>
      </c>
      <c r="J235" t="n">
        <v>0</v>
      </c>
      <c r="K235" t="n">
        <v>3</v>
      </c>
      <c r="L235" s="5" t="n">
        <v>1</v>
      </c>
      <c r="M235" t="inlineStr">
        <is>
          <t>medium</t>
        </is>
      </c>
      <c r="N235" s="6" t="n">
        <v>64323</v>
      </c>
      <c r="O235" s="6" t="n">
        <v>72517</v>
      </c>
      <c r="P235" s="6" t="n">
        <v>77720</v>
      </c>
      <c r="Q235" s="6">
        <f>AVERAGE(N235:P235)</f>
        <v/>
      </c>
      <c r="R235" t="n">
        <v>3</v>
      </c>
      <c r="S235" t="n">
        <v>1</v>
      </c>
      <c r="T235" s="7">
        <f>365*R235*Q235*S235/1000000</f>
        <v/>
      </c>
      <c r="U235" s="8">
        <f>I235/T235</f>
        <v/>
      </c>
      <c r="V235" s="8">
        <f>SUMIF($E$2:$E$599,E235,$I$2:$I$599)/SUMIF($E$2:$E$599,E235,$T$2:$T$599)</f>
        <v/>
      </c>
      <c r="W235" s="8">
        <f>V235+1.645*SQRT(V235/T235)+1/(2*T235)</f>
        <v/>
      </c>
      <c r="X235" s="5">
        <f>U235/W235</f>
        <v/>
      </c>
      <c r="Y235">
        <f>IF(U235&gt;W235,"high",IF(U235&gt;V235,"medium","low"))</f>
        <v/>
      </c>
      <c r="Z235">
        <f>CHOOSE(MAX(IF(M235="high",2,IF(M235="medium",1,0)),IF(Y235="high",2,IF(Y235="medium",1,0)))+1,"low","medium","high")</f>
        <v/>
      </c>
      <c r="AA235">
        <f>IF(IF(M235="high",2,IF(M235="medium",1,0))=IF(Y235="high",2,IF(Y235="medium",1,0)),"SI และ Rate เท่ากัน",IF(IF(M235="high",2,IF(M235="medium",1,0))&gt;IF(Y235="high",2,IF(Y235="medium",1,0)),"SI","Rate"))</f>
        <v/>
      </c>
    </row>
    <row r="236">
      <c r="A236" t="inlineStr">
        <is>
          <t>zone_585</t>
        </is>
      </c>
      <c r="B236" t="inlineStr">
        <is>
          <t>แสมดำ - สะพานข้ามแม่น้ำท่าจีนฝั่งตะวันตก</t>
        </is>
      </c>
      <c r="C236" t="inlineStr">
        <is>
          <t>สมุทรสาคร</t>
        </is>
      </c>
      <c r="D236" t="inlineStr">
        <is>
          <t>35</t>
        </is>
      </c>
      <c r="E236" t="inlineStr">
        <is>
          <t>ทล.</t>
        </is>
      </c>
      <c r="F236" t="inlineStr">
        <is>
          <t>16–16</t>
        </is>
      </c>
      <c r="G236" t="inlineStr">
        <is>
          <t>station_id 57 (ทล.35 กม.24+550)</t>
        </is>
      </c>
      <c r="H236" t="inlineStr">
        <is>
          <t>ทล. สถานีตัวแทนตอนควบคุม</t>
        </is>
      </c>
      <c r="I236" t="n">
        <v>5</v>
      </c>
      <c r="J236" t="n">
        <v>0</v>
      </c>
      <c r="K236" t="n">
        <v>5</v>
      </c>
      <c r="L236" s="5" t="n">
        <v>1</v>
      </c>
      <c r="M236" t="inlineStr">
        <is>
          <t>medium</t>
        </is>
      </c>
      <c r="N236" s="6" t="n">
        <v>129063</v>
      </c>
      <c r="O236" s="6" t="n">
        <v>149020</v>
      </c>
      <c r="P236" s="6" t="n">
        <v>143116</v>
      </c>
      <c r="Q236" s="6">
        <f>AVERAGE(N236:P236)</f>
        <v/>
      </c>
      <c r="R236" t="n">
        <v>3</v>
      </c>
      <c r="S236" t="n">
        <v>1</v>
      </c>
      <c r="T236" s="7">
        <f>365*R236*Q236*S236/1000000</f>
        <v/>
      </c>
      <c r="U236" s="8">
        <f>I236/T236</f>
        <v/>
      </c>
      <c r="V236" s="8">
        <f>SUMIF($E$2:$E$599,E236,$I$2:$I$599)/SUMIF($E$2:$E$599,E236,$T$2:$T$599)</f>
        <v/>
      </c>
      <c r="W236" s="8">
        <f>V236+1.645*SQRT(V236/T236)+1/(2*T236)</f>
        <v/>
      </c>
      <c r="X236" s="5">
        <f>U236/W236</f>
        <v/>
      </c>
      <c r="Y236">
        <f>IF(U236&gt;W236,"high",IF(U236&gt;V236,"medium","low"))</f>
        <v/>
      </c>
      <c r="Z236">
        <f>CHOOSE(MAX(IF(M236="high",2,IF(M236="medium",1,0)),IF(Y236="high",2,IF(Y236="medium",1,0)))+1,"low","medium","high")</f>
        <v/>
      </c>
      <c r="AA236">
        <f>IF(IF(M236="high",2,IF(M236="medium",1,0))=IF(Y236="high",2,IF(Y236="medium",1,0)),"SI และ Rate เท่ากัน",IF(IF(M236="high",2,IF(M236="medium",1,0))&gt;IF(Y236="high",2,IF(Y236="medium",1,0)),"SI","Rate"))</f>
        <v/>
      </c>
    </row>
    <row r="237">
      <c r="A237" t="inlineStr">
        <is>
          <t>zone_409</t>
        </is>
      </c>
      <c r="B237" t="inlineStr">
        <is>
          <t>บ้านพร้าว - คลองห้า</t>
        </is>
      </c>
      <c r="C237" t="inlineStr">
        <is>
          <t>ปทุมธานี</t>
        </is>
      </c>
      <c r="D237" t="inlineStr">
        <is>
          <t>3214</t>
        </is>
      </c>
      <c r="E237" t="inlineStr">
        <is>
          <t>ทล.</t>
        </is>
      </c>
      <c r="F237" t="inlineStr">
        <is>
          <t>11.8–12.08</t>
        </is>
      </c>
      <c r="G237" t="inlineStr">
        <is>
          <t>station_id 86 (ทล.3214 กม.0+650)</t>
        </is>
      </c>
      <c r="H237" t="inlineStr">
        <is>
          <t>ทล. สถานีตัวแทนตอนควบคุม</t>
        </is>
      </c>
      <c r="I237" t="n">
        <v>3</v>
      </c>
      <c r="J237" t="n">
        <v>0</v>
      </c>
      <c r="K237" t="n">
        <v>3</v>
      </c>
      <c r="L237" s="5" t="n">
        <v>1</v>
      </c>
      <c r="M237" t="inlineStr">
        <is>
          <t>medium</t>
        </is>
      </c>
      <c r="N237" s="6" t="n">
        <v>77260</v>
      </c>
      <c r="O237" s="6" t="n">
        <v>80070</v>
      </c>
      <c r="P237" s="6" t="n">
        <v>72860</v>
      </c>
      <c r="Q237" s="6">
        <f>AVERAGE(N237:P237)</f>
        <v/>
      </c>
      <c r="R237" t="n">
        <v>3</v>
      </c>
      <c r="S237" t="n">
        <v>1</v>
      </c>
      <c r="T237" s="7">
        <f>365*R237*Q237*S237/1000000</f>
        <v/>
      </c>
      <c r="U237" s="8">
        <f>I237/T237</f>
        <v/>
      </c>
      <c r="V237" s="8">
        <f>SUMIF($E$2:$E$599,E237,$I$2:$I$599)/SUMIF($E$2:$E$599,E237,$T$2:$T$599)</f>
        <v/>
      </c>
      <c r="W237" s="8">
        <f>V237+1.645*SQRT(V237/T237)+1/(2*T237)</f>
        <v/>
      </c>
      <c r="X237" s="5">
        <f>U237/W237</f>
        <v/>
      </c>
      <c r="Y237">
        <f>IF(U237&gt;W237,"high",IF(U237&gt;V237,"medium","low"))</f>
        <v/>
      </c>
      <c r="Z237">
        <f>CHOOSE(MAX(IF(M237="high",2,IF(M237="medium",1,0)),IF(Y237="high",2,IF(Y237="medium",1,0)))+1,"low","medium","high")</f>
        <v/>
      </c>
      <c r="AA237">
        <f>IF(IF(M237="high",2,IF(M237="medium",1,0))=IF(Y237="high",2,IF(Y237="medium",1,0)),"SI และ Rate เท่ากัน",IF(IF(M237="high",2,IF(M237="medium",1,0))&gt;IF(Y237="high",2,IF(Y237="medium",1,0)),"SI","Rate"))</f>
        <v/>
      </c>
    </row>
    <row r="238">
      <c r="A238" t="inlineStr">
        <is>
          <t>zone_376</t>
        </is>
      </c>
      <c r="B238" t="inlineStr">
        <is>
          <t>กระทุ่มล้ม - พุทธมณฑล</t>
        </is>
      </c>
      <c r="C238" t="inlineStr">
        <is>
          <t>นครปฐม</t>
        </is>
      </c>
      <c r="D238" t="inlineStr">
        <is>
          <t>3310</t>
        </is>
      </c>
      <c r="E238" t="inlineStr">
        <is>
          <t>ทล.</t>
        </is>
      </c>
      <c r="F238" t="inlineStr">
        <is>
          <t>7.95–8</t>
        </is>
      </c>
      <c r="G238" t="inlineStr">
        <is>
          <t>station_id 65 (ทล.3310 กม.2+500)</t>
        </is>
      </c>
      <c r="H238" t="inlineStr">
        <is>
          <t>ทล. สถานีตัวแทนตอนควบคุม</t>
        </is>
      </c>
      <c r="I238" t="n">
        <v>3</v>
      </c>
      <c r="J238" t="n">
        <v>1</v>
      </c>
      <c r="K238" t="n">
        <v>2</v>
      </c>
      <c r="L238" s="5" t="n">
        <v>1</v>
      </c>
      <c r="M238" t="inlineStr">
        <is>
          <t>medium</t>
        </is>
      </c>
      <c r="N238" s="6" t="n">
        <v>69862</v>
      </c>
      <c r="O238" s="6" t="n">
        <v>78413</v>
      </c>
      <c r="P238" s="6" t="n">
        <v>82371</v>
      </c>
      <c r="Q238" s="6">
        <f>AVERAGE(N238:P238)</f>
        <v/>
      </c>
      <c r="R238" t="n">
        <v>3</v>
      </c>
      <c r="S238" t="n">
        <v>1</v>
      </c>
      <c r="T238" s="7">
        <f>365*R238*Q238*S238/1000000</f>
        <v/>
      </c>
      <c r="U238" s="8">
        <f>I238/T238</f>
        <v/>
      </c>
      <c r="V238" s="8">
        <f>SUMIF($E$2:$E$599,E238,$I$2:$I$599)/SUMIF($E$2:$E$599,E238,$T$2:$T$599)</f>
        <v/>
      </c>
      <c r="W238" s="8">
        <f>V238+1.645*SQRT(V238/T238)+1/(2*T238)</f>
        <v/>
      </c>
      <c r="X238" s="5">
        <f>U238/W238</f>
        <v/>
      </c>
      <c r="Y238">
        <f>IF(U238&gt;W238,"high",IF(U238&gt;V238,"medium","low"))</f>
        <v/>
      </c>
      <c r="Z238">
        <f>CHOOSE(MAX(IF(M238="high",2,IF(M238="medium",1,0)),IF(Y238="high",2,IF(Y238="medium",1,0)))+1,"low","medium","high")</f>
        <v/>
      </c>
      <c r="AA238">
        <f>IF(IF(M238="high",2,IF(M238="medium",1,0))=IF(Y238="high",2,IF(Y238="medium",1,0)),"SI และ Rate เท่ากัน",IF(IF(M238="high",2,IF(M238="medium",1,0))&gt;IF(Y238="high",2,IF(Y238="medium",1,0)),"SI","Rate"))</f>
        <v/>
      </c>
    </row>
    <row r="239">
      <c r="A239" t="inlineStr">
        <is>
          <t>zone_123</t>
        </is>
      </c>
      <c r="B239" t="inlineStr">
        <is>
          <t>ดินแดง - งามวงศ์วาน</t>
        </is>
      </c>
      <c r="C239" t="inlineStr">
        <is>
          <t>กรุงเทพมหานคร</t>
        </is>
      </c>
      <c r="D239" t="inlineStr">
        <is>
          <t>31</t>
        </is>
      </c>
      <c r="E239" t="inlineStr">
        <is>
          <t>ทล.</t>
        </is>
      </c>
      <c r="F239" t="inlineStr">
        <is>
          <t>10.229–10.597</t>
        </is>
      </c>
      <c r="G239" t="inlineStr">
        <is>
          <t>station_id 104 (ทล.302 กม.5+822)</t>
        </is>
      </c>
      <c r="H239" t="inlineStr">
        <is>
          <t>ทล. สถานีตัวแทนตอนควบคุม</t>
        </is>
      </c>
      <c r="I239" t="n">
        <v>4</v>
      </c>
      <c r="J239" t="n">
        <v>0</v>
      </c>
      <c r="K239" t="n">
        <v>7</v>
      </c>
      <c r="L239" s="5" t="n">
        <v>1.75</v>
      </c>
      <c r="M239" t="inlineStr">
        <is>
          <t>medium</t>
        </is>
      </c>
      <c r="N239" s="6" t="n">
        <v>111493</v>
      </c>
      <c r="O239" s="6" t="n">
        <v>113776</v>
      </c>
      <c r="P239" s="6" t="n">
        <v>111297</v>
      </c>
      <c r="Q239" s="6">
        <f>AVERAGE(N239:P239)</f>
        <v/>
      </c>
      <c r="R239" t="n">
        <v>3</v>
      </c>
      <c r="S239" t="n">
        <v>1</v>
      </c>
      <c r="T239" s="7">
        <f>365*R239*Q239*S239/1000000</f>
        <v/>
      </c>
      <c r="U239" s="8">
        <f>I239/T239</f>
        <v/>
      </c>
      <c r="V239" s="8">
        <f>SUMIF($E$2:$E$599,E239,$I$2:$I$599)/SUMIF($E$2:$E$599,E239,$T$2:$T$599)</f>
        <v/>
      </c>
      <c r="W239" s="8">
        <f>V239+1.645*SQRT(V239/T239)+1/(2*T239)</f>
        <v/>
      </c>
      <c r="X239" s="5">
        <f>U239/W239</f>
        <v/>
      </c>
      <c r="Y239">
        <f>IF(U239&gt;W239,"high",IF(U239&gt;V239,"medium","low"))</f>
        <v/>
      </c>
      <c r="Z239">
        <f>CHOOSE(MAX(IF(M239="high",2,IF(M239="medium",1,0)),IF(Y239="high",2,IF(Y239="medium",1,0)))+1,"low","medium","high")</f>
        <v/>
      </c>
      <c r="AA239">
        <f>IF(IF(M239="high",2,IF(M239="medium",1,0))=IF(Y239="high",2,IF(Y239="medium",1,0)),"SI และ Rate เท่ากัน",IF(IF(M239="high",2,IF(M239="medium",1,0))&gt;IF(Y239="high",2,IF(Y239="medium",1,0)),"SI","Rate"))</f>
        <v/>
      </c>
    </row>
    <row r="240">
      <c r="A240" t="inlineStr">
        <is>
          <t>zone_165</t>
        </is>
      </c>
      <c r="B240" t="inlineStr">
        <is>
          <t>แขวงรามอินทรา - บางพลี</t>
        </is>
      </c>
      <c r="C240" t="inlineStr">
        <is>
          <t>กรุงเทพมหานคร</t>
        </is>
      </c>
      <c r="D240" t="inlineStr">
        <is>
          <t>9</t>
        </is>
      </c>
      <c r="E240" t="inlineStr">
        <is>
          <t>ทล.</t>
        </is>
      </c>
      <c r="F240" t="inlineStr">
        <is>
          <t>57.7–58</t>
        </is>
      </c>
      <c r="G240" t="inlineStr">
        <is>
          <t>station_id 348 (ทล.9 กม.59+500)</t>
        </is>
      </c>
      <c r="H240" t="inlineStr">
        <is>
          <t>ทล. สถานีตัวแทนตอนควบคุม</t>
        </is>
      </c>
      <c r="I240" t="n">
        <v>4</v>
      </c>
      <c r="J240" t="n">
        <v>1</v>
      </c>
      <c r="K240" t="n">
        <v>4</v>
      </c>
      <c r="L240" s="5" t="n">
        <v>1.25</v>
      </c>
      <c r="M240" t="inlineStr">
        <is>
          <t>medium</t>
        </is>
      </c>
      <c r="N240" s="6" t="n">
        <v>110915</v>
      </c>
      <c r="O240" s="6" t="n">
        <v>117953</v>
      </c>
      <c r="P240" s="6" t="n">
        <v>117813</v>
      </c>
      <c r="Q240" s="6">
        <f>AVERAGE(N240:P240)</f>
        <v/>
      </c>
      <c r="R240" t="n">
        <v>3</v>
      </c>
      <c r="S240" t="n">
        <v>1</v>
      </c>
      <c r="T240" s="7">
        <f>365*R240*Q240*S240/1000000</f>
        <v/>
      </c>
      <c r="U240" s="8">
        <f>I240/T240</f>
        <v/>
      </c>
      <c r="V240" s="8">
        <f>SUMIF($E$2:$E$599,E240,$I$2:$I$599)/SUMIF($E$2:$E$599,E240,$T$2:$T$599)</f>
        <v/>
      </c>
      <c r="W240" s="8">
        <f>V240+1.645*SQRT(V240/T240)+1/(2*T240)</f>
        <v/>
      </c>
      <c r="X240" s="5">
        <f>U240/W240</f>
        <v/>
      </c>
      <c r="Y240">
        <f>IF(U240&gt;W240,"high",IF(U240&gt;V240,"medium","low"))</f>
        <v/>
      </c>
      <c r="Z240">
        <f>CHOOSE(MAX(IF(M240="high",2,IF(M240="medium",1,0)),IF(Y240="high",2,IF(Y240="medium",1,0)))+1,"low","medium","high")</f>
        <v/>
      </c>
      <c r="AA240">
        <f>IF(IF(M240="high",2,IF(M240="medium",1,0))=IF(Y240="high",2,IF(Y240="medium",1,0)),"SI และ Rate เท่ากัน",IF(IF(M240="high",2,IF(M240="medium",1,0))&gt;IF(Y240="high",2,IF(Y240="medium",1,0)),"SI","Rate"))</f>
        <v/>
      </c>
    </row>
    <row r="241">
      <c r="A241" t="inlineStr">
        <is>
          <t>zone_197</t>
        </is>
      </c>
      <c r="B241" t="inlineStr">
        <is>
          <t>มหาวิทยาลัยเกษตรศาสตร์ - คันนายาว</t>
        </is>
      </c>
      <c r="C241" t="inlineStr">
        <is>
          <t>กรุงเทพมหานคร</t>
        </is>
      </c>
      <c r="D241" t="inlineStr">
        <is>
          <t>351</t>
        </is>
      </c>
      <c r="E241" t="inlineStr">
        <is>
          <t>ทล.</t>
        </is>
      </c>
      <c r="F241" t="inlineStr">
        <is>
          <t>11.032–11.15</t>
        </is>
      </c>
      <c r="G241" t="inlineStr">
        <is>
          <t>station_id 8 (ทล.351 กม.4+700)</t>
        </is>
      </c>
      <c r="H241" t="inlineStr">
        <is>
          <t>ทล. สถานีตัวแทนตอนควบคุม</t>
        </is>
      </c>
      <c r="I241" t="n">
        <v>3</v>
      </c>
      <c r="J241" t="n">
        <v>0</v>
      </c>
      <c r="K241" t="n">
        <v>3</v>
      </c>
      <c r="L241" s="5" t="n">
        <v>1</v>
      </c>
      <c r="M241" t="inlineStr">
        <is>
          <t>medium</t>
        </is>
      </c>
      <c r="N241" s="6" t="n">
        <v>96826</v>
      </c>
      <c r="O241" s="6" t="n">
        <v>76671</v>
      </c>
      <c r="P241" s="6" t="n">
        <v>73453</v>
      </c>
      <c r="Q241" s="6">
        <f>AVERAGE(N241:P241)</f>
        <v/>
      </c>
      <c r="R241" t="n">
        <v>3</v>
      </c>
      <c r="S241" t="n">
        <v>1</v>
      </c>
      <c r="T241" s="7">
        <f>365*R241*Q241*S241/1000000</f>
        <v/>
      </c>
      <c r="U241" s="8">
        <f>I241/T241</f>
        <v/>
      </c>
      <c r="V241" s="8">
        <f>SUMIF($E$2:$E$599,E241,$I$2:$I$599)/SUMIF($E$2:$E$599,E241,$T$2:$T$599)</f>
        <v/>
      </c>
      <c r="W241" s="8">
        <f>V241+1.645*SQRT(V241/T241)+1/(2*T241)</f>
        <v/>
      </c>
      <c r="X241" s="5">
        <f>U241/W241</f>
        <v/>
      </c>
      <c r="Y241">
        <f>IF(U241&gt;W241,"high",IF(U241&gt;V241,"medium","low"))</f>
        <v/>
      </c>
      <c r="Z241">
        <f>CHOOSE(MAX(IF(M241="high",2,IF(M241="medium",1,0)),IF(Y241="high",2,IF(Y241="medium",1,0)))+1,"low","medium","high")</f>
        <v/>
      </c>
      <c r="AA241">
        <f>IF(IF(M241="high",2,IF(M241="medium",1,0))=IF(Y241="high",2,IF(Y241="medium",1,0)),"SI และ Rate เท่ากัน",IF(IF(M241="high",2,IF(M241="medium",1,0))&gt;IF(Y241="high",2,IF(Y241="medium",1,0)),"SI","Rate"))</f>
        <v/>
      </c>
    </row>
    <row r="242">
      <c r="A242" t="inlineStr">
        <is>
          <t>zone_97</t>
        </is>
      </c>
      <c r="B242" t="inlineStr">
        <is>
          <t>บางปะอิน - แขวงรามอินทรา</t>
        </is>
      </c>
      <c r="C242" t="inlineStr">
        <is>
          <t>กรุงเทพมหานคร</t>
        </is>
      </c>
      <c r="D242" t="inlineStr">
        <is>
          <t>9</t>
        </is>
      </c>
      <c r="E242" t="inlineStr">
        <is>
          <t>ทล.</t>
        </is>
      </c>
      <c r="F242" t="inlineStr">
        <is>
          <t>37.8–38.1</t>
        </is>
      </c>
      <c r="G242" t="inlineStr">
        <is>
          <t>station_id 347 (ทล.9 กม.1+500)</t>
        </is>
      </c>
      <c r="H242" t="inlineStr">
        <is>
          <t>ทล. สถานีตัวแทนตอนควบคุม</t>
        </is>
      </c>
      <c r="I242" t="n">
        <v>5</v>
      </c>
      <c r="J242" t="n">
        <v>0</v>
      </c>
      <c r="K242" t="n">
        <v>5</v>
      </c>
      <c r="L242" s="5" t="n">
        <v>1</v>
      </c>
      <c r="M242" t="inlineStr">
        <is>
          <t>medium</t>
        </is>
      </c>
      <c r="N242" s="6" t="n">
        <v>146870</v>
      </c>
      <c r="O242" s="6" t="n">
        <v>165212</v>
      </c>
      <c r="P242" s="6" t="n">
        <v>160792</v>
      </c>
      <c r="Q242" s="6">
        <f>AVERAGE(N242:P242)</f>
        <v/>
      </c>
      <c r="R242" t="n">
        <v>3</v>
      </c>
      <c r="S242" t="n">
        <v>1</v>
      </c>
      <c r="T242" s="7">
        <f>365*R242*Q242*S242/1000000</f>
        <v/>
      </c>
      <c r="U242" s="8">
        <f>I242/T242</f>
        <v/>
      </c>
      <c r="V242" s="8">
        <f>SUMIF($E$2:$E$599,E242,$I$2:$I$599)/SUMIF($E$2:$E$599,E242,$T$2:$T$599)</f>
        <v/>
      </c>
      <c r="W242" s="8">
        <f>V242+1.645*SQRT(V242/T242)+1/(2*T242)</f>
        <v/>
      </c>
      <c r="X242" s="5">
        <f>U242/W242</f>
        <v/>
      </c>
      <c r="Y242">
        <f>IF(U242&gt;W242,"high",IF(U242&gt;V242,"medium","low"))</f>
        <v/>
      </c>
      <c r="Z242">
        <f>CHOOSE(MAX(IF(M242="high",2,IF(M242="medium",1,0)),IF(Y242="high",2,IF(Y242="medium",1,0)))+1,"low","medium","high")</f>
        <v/>
      </c>
      <c r="AA242">
        <f>IF(IF(M242="high",2,IF(M242="medium",1,0))=IF(Y242="high",2,IF(Y242="medium",1,0)),"SI และ Rate เท่ากัน",IF(IF(M242="high",2,IF(M242="medium",1,0))&gt;IF(Y242="high",2,IF(Y242="medium",1,0)),"SI","Rate"))</f>
        <v/>
      </c>
    </row>
    <row r="243">
      <c r="A243" t="inlineStr">
        <is>
          <t>zone_101</t>
        </is>
      </c>
      <c r="B243" t="inlineStr">
        <is>
          <t>บางปะอิน - แขวงรามอินทรา</t>
        </is>
      </c>
      <c r="C243" t="inlineStr">
        <is>
          <t>กรุงเทพมหานคร</t>
        </is>
      </c>
      <c r="D243" t="inlineStr">
        <is>
          <t>9</t>
        </is>
      </c>
      <c r="E243" t="inlineStr">
        <is>
          <t>ทล.</t>
        </is>
      </c>
      <c r="F243" t="inlineStr">
        <is>
          <t>36.7–37</t>
        </is>
      </c>
      <c r="G243" t="inlineStr">
        <is>
          <t>station_id 347 (ทล.9 กม.1+500)</t>
        </is>
      </c>
      <c r="H243" t="inlineStr">
        <is>
          <t>ทล. สถานีตัวแทนตอนควบคุม</t>
        </is>
      </c>
      <c r="I243" t="n">
        <v>5</v>
      </c>
      <c r="J243" t="n">
        <v>0</v>
      </c>
      <c r="K243" t="n">
        <v>5</v>
      </c>
      <c r="L243" s="5" t="n">
        <v>1</v>
      </c>
      <c r="M243" t="inlineStr">
        <is>
          <t>medium</t>
        </is>
      </c>
      <c r="N243" s="6" t="n">
        <v>146870</v>
      </c>
      <c r="O243" s="6" t="n">
        <v>165212</v>
      </c>
      <c r="P243" s="6" t="n">
        <v>160792</v>
      </c>
      <c r="Q243" s="6">
        <f>AVERAGE(N243:P243)</f>
        <v/>
      </c>
      <c r="R243" t="n">
        <v>3</v>
      </c>
      <c r="S243" t="n">
        <v>1</v>
      </c>
      <c r="T243" s="7">
        <f>365*R243*Q243*S243/1000000</f>
        <v/>
      </c>
      <c r="U243" s="8">
        <f>I243/T243</f>
        <v/>
      </c>
      <c r="V243" s="8">
        <f>SUMIF($E$2:$E$599,E243,$I$2:$I$599)/SUMIF($E$2:$E$599,E243,$T$2:$T$599)</f>
        <v/>
      </c>
      <c r="W243" s="8">
        <f>V243+1.645*SQRT(V243/T243)+1/(2*T243)</f>
        <v/>
      </c>
      <c r="X243" s="5">
        <f>U243/W243</f>
        <v/>
      </c>
      <c r="Y243">
        <f>IF(U243&gt;W243,"high",IF(U243&gt;V243,"medium","low"))</f>
        <v/>
      </c>
      <c r="Z243">
        <f>CHOOSE(MAX(IF(M243="high",2,IF(M243="medium",1,0)),IF(Y243="high",2,IF(Y243="medium",1,0)))+1,"low","medium","high")</f>
        <v/>
      </c>
      <c r="AA243">
        <f>IF(IF(M243="high",2,IF(M243="medium",1,0))=IF(Y243="high",2,IF(Y243="medium",1,0)),"SI และ Rate เท่ากัน",IF(IF(M243="high",2,IF(M243="medium",1,0))&gt;IF(Y243="high",2,IF(Y243="medium",1,0)),"SI","Rate"))</f>
        <v/>
      </c>
    </row>
    <row r="244">
      <c r="A244" t="inlineStr">
        <is>
          <t>zone_335</t>
        </is>
      </c>
      <c r="B244" t="inlineStr">
        <is>
          <t>แจ้งวัฒนะ-พญาไท</t>
        </is>
      </c>
      <c r="C244" t="inlineStr">
        <is>
          <t>นนทบุรี</t>
        </is>
      </c>
      <c r="D244" t="inlineStr">
        <is>
          <t>E002S014|U</t>
        </is>
      </c>
      <c r="E244" t="inlineStr">
        <is>
          <t>กทพ.</t>
        </is>
      </c>
      <c r="F244" t="inlineStr">
        <is>
          <t>20–20.1</t>
        </is>
      </c>
      <c r="G244" t="inlineStr">
        <is>
          <t>ศรีรัช</t>
        </is>
      </c>
      <c r="H244" t="inlineStr">
        <is>
          <t>กทพ. ยอดผ่านด่านทั้งสาย ÷ 365</t>
        </is>
      </c>
      <c r="I244" t="n">
        <v>3</v>
      </c>
      <c r="J244" t="n">
        <v>0</v>
      </c>
      <c r="K244" t="n">
        <v>4</v>
      </c>
      <c r="L244" s="5" t="n">
        <v>1.3333</v>
      </c>
      <c r="M244" t="inlineStr">
        <is>
          <t>medium</t>
        </is>
      </c>
      <c r="N244" s="6" t="n">
        <v>613083.1506849315</v>
      </c>
      <c r="O244" s="6" t="n">
        <v>601127.7068493151</v>
      </c>
      <c r="P244" s="6" t="n">
        <v>607857.5287671232</v>
      </c>
      <c r="Q244" s="6">
        <f>AVERAGE(N244:P244)</f>
        <v/>
      </c>
      <c r="R244" t="n">
        <v>3</v>
      </c>
      <c r="S244" t="n">
        <v>1</v>
      </c>
      <c r="T244" s="7">
        <f>365*R244*Q244*S244/1000000</f>
        <v/>
      </c>
      <c r="U244" s="8">
        <f>I244/T244</f>
        <v/>
      </c>
      <c r="V244" s="8">
        <f>SUMIF($E$2:$E$599,E244,$I$2:$I$599)/SUMIF($E$2:$E$599,E244,$T$2:$T$599)</f>
        <v/>
      </c>
      <c r="W244" s="8">
        <f>V244+1.645*SQRT(V244/T244)+1/(2*T244)</f>
        <v/>
      </c>
      <c r="X244" s="5">
        <f>U244/W244</f>
        <v/>
      </c>
      <c r="Y244">
        <f>IF(U244&gt;W244,"high",IF(U244&gt;V244,"medium","low"))</f>
        <v/>
      </c>
      <c r="Z244">
        <f>CHOOSE(MAX(IF(M244="high",2,IF(M244="medium",1,0)),IF(Y244="high",2,IF(Y244="medium",1,0)))+1,"low","medium","high")</f>
        <v/>
      </c>
      <c r="AA244">
        <f>IF(IF(M244="high",2,IF(M244="medium",1,0))=IF(Y244="high",2,IF(Y244="medium",1,0)),"SI และ Rate เท่ากัน",IF(IF(M244="high",2,IF(M244="medium",1,0))&gt;IF(Y244="high",2,IF(Y244="medium",1,0)),"SI","Rate"))</f>
        <v/>
      </c>
    </row>
    <row r="245">
      <c r="A245" t="inlineStr">
        <is>
          <t>zone_242</t>
        </is>
      </c>
      <c r="B245" t="inlineStr">
        <is>
          <t>บางบอน - โรงพยาบาลบางปะกอก8</t>
        </is>
      </c>
      <c r="C245" t="inlineStr">
        <is>
          <t>กรุงเทพมหานคร</t>
        </is>
      </c>
      <c r="D245" t="inlineStr">
        <is>
          <t>3242</t>
        </is>
      </c>
      <c r="E245" t="inlineStr">
        <is>
          <t>ทล.</t>
        </is>
      </c>
      <c r="F245" t="inlineStr">
        <is>
          <t>18.8–18.9</t>
        </is>
      </c>
      <c r="G245" t="inlineStr">
        <is>
          <t>station_id 129 (ทล.3242 กม.15+600)</t>
        </is>
      </c>
      <c r="H245" t="inlineStr">
        <is>
          <t>ทล. สถานีตัวแทนตอนควบคุม</t>
        </is>
      </c>
      <c r="I245" t="n">
        <v>3</v>
      </c>
      <c r="J245" t="n">
        <v>0</v>
      </c>
      <c r="K245" t="n">
        <v>3</v>
      </c>
      <c r="L245" s="5" t="n">
        <v>1</v>
      </c>
      <c r="M245" t="inlineStr">
        <is>
          <t>medium</t>
        </is>
      </c>
      <c r="N245" s="6" t="n">
        <v>99272</v>
      </c>
      <c r="O245" s="6" t="n">
        <v>83416</v>
      </c>
      <c r="P245" s="6" t="n">
        <v>81423</v>
      </c>
      <c r="Q245" s="6">
        <f>AVERAGE(N245:P245)</f>
        <v/>
      </c>
      <c r="R245" t="n">
        <v>3</v>
      </c>
      <c r="S245" t="n">
        <v>1</v>
      </c>
      <c r="T245" s="7">
        <f>365*R245*Q245*S245/1000000</f>
        <v/>
      </c>
      <c r="U245" s="8">
        <f>I245/T245</f>
        <v/>
      </c>
      <c r="V245" s="8">
        <f>SUMIF($E$2:$E$599,E245,$I$2:$I$599)/SUMIF($E$2:$E$599,E245,$T$2:$T$599)</f>
        <v/>
      </c>
      <c r="W245" s="8">
        <f>V245+1.645*SQRT(V245/T245)+1/(2*T245)</f>
        <v/>
      </c>
      <c r="X245" s="5">
        <f>U245/W245</f>
        <v/>
      </c>
      <c r="Y245">
        <f>IF(U245&gt;W245,"high",IF(U245&gt;V245,"medium","low"))</f>
        <v/>
      </c>
      <c r="Z245">
        <f>CHOOSE(MAX(IF(M245="high",2,IF(M245="medium",1,0)),IF(Y245="high",2,IF(Y245="medium",1,0)))+1,"low","medium","high")</f>
        <v/>
      </c>
      <c r="AA245">
        <f>IF(IF(M245="high",2,IF(M245="medium",1,0))=IF(Y245="high",2,IF(Y245="medium",1,0)),"SI และ Rate เท่ากัน",IF(IF(M245="high",2,IF(M245="medium",1,0))&gt;IF(Y245="high",2,IF(Y245="medium",1,0)),"SI","Rate"))</f>
        <v/>
      </c>
    </row>
    <row r="246">
      <c r="A246" t="inlineStr">
        <is>
          <t>zone_30</t>
        </is>
      </c>
      <c r="B246" t="inlineStr">
        <is>
          <t>บางแค - คลองมหาสวัสดิ์</t>
        </is>
      </c>
      <c r="C246" t="inlineStr">
        <is>
          <t>กรุงเทพมหานคร</t>
        </is>
      </c>
      <c r="D246" t="inlineStr">
        <is>
          <t>9</t>
        </is>
      </c>
      <c r="E246" t="inlineStr">
        <is>
          <t>ทล.</t>
        </is>
      </c>
      <c r="F246" t="inlineStr">
        <is>
          <t>24.4–24.8</t>
        </is>
      </c>
      <c r="G246" t="inlineStr">
        <is>
          <t>station_id 123 (ทล.9 กม.20+430)</t>
        </is>
      </c>
      <c r="H246" t="inlineStr">
        <is>
          <t>ทล. สถานีตัวแทนตอนควบคุม</t>
        </is>
      </c>
      <c r="I246" t="n">
        <v>5</v>
      </c>
      <c r="J246" t="n">
        <v>1</v>
      </c>
      <c r="K246" t="n">
        <v>4</v>
      </c>
      <c r="L246" s="5" t="n">
        <v>1</v>
      </c>
      <c r="M246" t="inlineStr">
        <is>
          <t>medium</t>
        </is>
      </c>
      <c r="N246" s="6" t="n">
        <v>161583</v>
      </c>
      <c r="O246" s="6" t="n">
        <v>167210</v>
      </c>
      <c r="P246" s="6" t="n">
        <v>164129</v>
      </c>
      <c r="Q246" s="6">
        <f>AVERAGE(N246:P246)</f>
        <v/>
      </c>
      <c r="R246" t="n">
        <v>3</v>
      </c>
      <c r="S246" t="n">
        <v>1</v>
      </c>
      <c r="T246" s="7">
        <f>365*R246*Q246*S246/1000000</f>
        <v/>
      </c>
      <c r="U246" s="8">
        <f>I246/T246</f>
        <v/>
      </c>
      <c r="V246" s="8">
        <f>SUMIF($E$2:$E$599,E246,$I$2:$I$599)/SUMIF($E$2:$E$599,E246,$T$2:$T$599)</f>
        <v/>
      </c>
      <c r="W246" s="8">
        <f>V246+1.645*SQRT(V246/T246)+1/(2*T246)</f>
        <v/>
      </c>
      <c r="X246" s="5">
        <f>U246/W246</f>
        <v/>
      </c>
      <c r="Y246">
        <f>IF(U246&gt;W246,"high",IF(U246&gt;V246,"medium","low"))</f>
        <v/>
      </c>
      <c r="Z246">
        <f>CHOOSE(MAX(IF(M246="high",2,IF(M246="medium",1,0)),IF(Y246="high",2,IF(Y246="medium",1,0)))+1,"low","medium","high")</f>
        <v/>
      </c>
      <c r="AA246">
        <f>IF(IF(M246="high",2,IF(M246="medium",1,0))=IF(Y246="high",2,IF(Y246="medium",1,0)),"SI และ Rate เท่ากัน",IF(IF(M246="high",2,IF(M246="medium",1,0))&gt;IF(Y246="high",2,IF(Y246="medium",1,0)),"SI","Rate"))</f>
        <v/>
      </c>
    </row>
    <row r="247">
      <c r="A247" t="inlineStr">
        <is>
          <t>zone_510</t>
        </is>
      </c>
      <c r="B247" t="inlineStr">
        <is>
          <t>ทางเข้าท่าอากาศยานสุวรรณภูมิ - บางวัว</t>
        </is>
      </c>
      <c r="C247" t="inlineStr">
        <is>
          <t>สมุทรปราการ</t>
        </is>
      </c>
      <c r="D247" t="inlineStr">
        <is>
          <t>34</t>
        </is>
      </c>
      <c r="E247" t="inlineStr">
        <is>
          <t>ทล.</t>
        </is>
      </c>
      <c r="F247" t="inlineStr">
        <is>
          <t>27–27</t>
        </is>
      </c>
      <c r="G247" t="inlineStr">
        <is>
          <t>station_id 95 (ทล.34 กม.15+100)</t>
        </is>
      </c>
      <c r="H247" t="inlineStr">
        <is>
          <t>ทล. สถานีตัวแทนตอนควบคุม</t>
        </is>
      </c>
      <c r="I247" t="n">
        <v>7</v>
      </c>
      <c r="J247" t="n">
        <v>0</v>
      </c>
      <c r="K247" t="n">
        <v>9</v>
      </c>
      <c r="L247" s="5" t="n">
        <v>1.2857</v>
      </c>
      <c r="M247" t="inlineStr">
        <is>
          <t>medium</t>
        </is>
      </c>
      <c r="N247" s="6" t="n">
        <v>226283</v>
      </c>
      <c r="O247" s="6" t="n">
        <v>252612</v>
      </c>
      <c r="P247" s="6" t="n">
        <v>250222</v>
      </c>
      <c r="Q247" s="6">
        <f>AVERAGE(N247:P247)</f>
        <v/>
      </c>
      <c r="R247" t="n">
        <v>3</v>
      </c>
      <c r="S247" t="n">
        <v>1</v>
      </c>
      <c r="T247" s="7">
        <f>365*R247*Q247*S247/1000000</f>
        <v/>
      </c>
      <c r="U247" s="8">
        <f>I247/T247</f>
        <v/>
      </c>
      <c r="V247" s="8">
        <f>SUMIF($E$2:$E$599,E247,$I$2:$I$599)/SUMIF($E$2:$E$599,E247,$T$2:$T$599)</f>
        <v/>
      </c>
      <c r="W247" s="8">
        <f>V247+1.645*SQRT(V247/T247)+1/(2*T247)</f>
        <v/>
      </c>
      <c r="X247" s="5">
        <f>U247/W247</f>
        <v/>
      </c>
      <c r="Y247">
        <f>IF(U247&gt;W247,"high",IF(U247&gt;V247,"medium","low"))</f>
        <v/>
      </c>
      <c r="Z247">
        <f>CHOOSE(MAX(IF(M247="high",2,IF(M247="medium",1,0)),IF(Y247="high",2,IF(Y247="medium",1,0)))+1,"low","medium","high")</f>
        <v/>
      </c>
      <c r="AA247">
        <f>IF(IF(M247="high",2,IF(M247="medium",1,0))=IF(Y247="high",2,IF(Y247="medium",1,0)),"SI และ Rate เท่ากัน",IF(IF(M247="high",2,IF(M247="medium",1,0))&gt;IF(Y247="high",2,IF(Y247="medium",1,0)),"SI","Rate"))</f>
        <v/>
      </c>
    </row>
    <row r="248">
      <c r="A248" t="inlineStr">
        <is>
          <t>zone_520</t>
        </is>
      </c>
      <c r="B248" t="inlineStr">
        <is>
          <t>ทางเข้าท่าอากาศยานสุวรรณภูมิ - บางวัว</t>
        </is>
      </c>
      <c r="C248" t="inlineStr">
        <is>
          <t>สมุทรปราการ</t>
        </is>
      </c>
      <c r="D248" t="inlineStr">
        <is>
          <t>34</t>
        </is>
      </c>
      <c r="E248" t="inlineStr">
        <is>
          <t>ทล.</t>
        </is>
      </c>
      <c r="F248" t="inlineStr">
        <is>
          <t>30–30</t>
        </is>
      </c>
      <c r="G248" t="inlineStr">
        <is>
          <t>station_id 95 (ทล.34 กม.15+100)</t>
        </is>
      </c>
      <c r="H248" t="inlineStr">
        <is>
          <t>ทล. สถานีตัวแทนตอนควบคุม</t>
        </is>
      </c>
      <c r="I248" t="n">
        <v>7</v>
      </c>
      <c r="J248" t="n">
        <v>0</v>
      </c>
      <c r="K248" t="n">
        <v>7</v>
      </c>
      <c r="L248" s="5" t="n">
        <v>1</v>
      </c>
      <c r="M248" t="inlineStr">
        <is>
          <t>medium</t>
        </is>
      </c>
      <c r="N248" s="6" t="n">
        <v>226283</v>
      </c>
      <c r="O248" s="6" t="n">
        <v>252612</v>
      </c>
      <c r="P248" s="6" t="n">
        <v>250222</v>
      </c>
      <c r="Q248" s="6">
        <f>AVERAGE(N248:P248)</f>
        <v/>
      </c>
      <c r="R248" t="n">
        <v>3</v>
      </c>
      <c r="S248" t="n">
        <v>1</v>
      </c>
      <c r="T248" s="7">
        <f>365*R248*Q248*S248/1000000</f>
        <v/>
      </c>
      <c r="U248" s="8">
        <f>I248/T248</f>
        <v/>
      </c>
      <c r="V248" s="8">
        <f>SUMIF($E$2:$E$599,E248,$I$2:$I$599)/SUMIF($E$2:$E$599,E248,$T$2:$T$599)</f>
        <v/>
      </c>
      <c r="W248" s="8">
        <f>V248+1.645*SQRT(V248/T248)+1/(2*T248)</f>
        <v/>
      </c>
      <c r="X248" s="5">
        <f>U248/W248</f>
        <v/>
      </c>
      <c r="Y248">
        <f>IF(U248&gt;W248,"high",IF(U248&gt;V248,"medium","low"))</f>
        <v/>
      </c>
      <c r="Z248">
        <f>CHOOSE(MAX(IF(M248="high",2,IF(M248="medium",1,0)),IF(Y248="high",2,IF(Y248="medium",1,0)))+1,"low","medium","high")</f>
        <v/>
      </c>
      <c r="AA248">
        <f>IF(IF(M248="high",2,IF(M248="medium",1,0))=IF(Y248="high",2,IF(Y248="medium",1,0)),"SI และ Rate เท่ากัน",IF(IF(M248="high",2,IF(M248="medium",1,0))&gt;IF(Y248="high",2,IF(Y248="medium",1,0)),"SI","Rate"))</f>
        <v/>
      </c>
    </row>
    <row r="249">
      <c r="A249" t="inlineStr">
        <is>
          <t>zone_371</t>
        </is>
      </c>
      <c r="B249" t="inlineStr">
        <is>
          <t>พุทธมณฑลสาย4 - นครชัยศรี</t>
        </is>
      </c>
      <c r="C249" t="inlineStr">
        <is>
          <t>นครปฐม</t>
        </is>
      </c>
      <c r="D249" t="inlineStr">
        <is>
          <t>338</t>
        </is>
      </c>
      <c r="E249" t="inlineStr">
        <is>
          <t>ทล.</t>
        </is>
      </c>
      <c r="F249" t="inlineStr">
        <is>
          <t>25.5–27.85</t>
        </is>
      </c>
      <c r="G249" t="inlineStr">
        <is>
          <t>station_id 63 (ทล.338 กม.22+081)</t>
        </is>
      </c>
      <c r="H249" t="inlineStr">
        <is>
          <t>ทล. สถานีตัวแทนตอนควบคุม</t>
        </is>
      </c>
      <c r="I249" t="n">
        <v>4</v>
      </c>
      <c r="J249" t="n">
        <v>0</v>
      </c>
      <c r="K249" t="n">
        <v>4</v>
      </c>
      <c r="L249" s="5" t="n">
        <v>1</v>
      </c>
      <c r="M249" t="inlineStr">
        <is>
          <t>medium</t>
        </is>
      </c>
      <c r="N249" s="6" t="n">
        <v>126567</v>
      </c>
      <c r="O249" s="6" t="n">
        <v>136180</v>
      </c>
      <c r="P249" s="6" t="n">
        <v>141795</v>
      </c>
      <c r="Q249" s="6">
        <f>AVERAGE(N249:P249)</f>
        <v/>
      </c>
      <c r="R249" t="n">
        <v>3</v>
      </c>
      <c r="S249" t="n">
        <v>1</v>
      </c>
      <c r="T249" s="7">
        <f>365*R249*Q249*S249/1000000</f>
        <v/>
      </c>
      <c r="U249" s="8">
        <f>I249/T249</f>
        <v/>
      </c>
      <c r="V249" s="8">
        <f>SUMIF($E$2:$E$599,E249,$I$2:$I$599)/SUMIF($E$2:$E$599,E249,$T$2:$T$599)</f>
        <v/>
      </c>
      <c r="W249" s="8">
        <f>V249+1.645*SQRT(V249/T249)+1/(2*T249)</f>
        <v/>
      </c>
      <c r="X249" s="5">
        <f>U249/W249</f>
        <v/>
      </c>
      <c r="Y249">
        <f>IF(U249&gt;W249,"high",IF(U249&gt;V249,"medium","low"))</f>
        <v/>
      </c>
      <c r="Z249">
        <f>CHOOSE(MAX(IF(M249="high",2,IF(M249="medium",1,0)),IF(Y249="high",2,IF(Y249="medium",1,0)))+1,"low","medium","high")</f>
        <v/>
      </c>
      <c r="AA249">
        <f>IF(IF(M249="high",2,IF(M249="medium",1,0))=IF(Y249="high",2,IF(Y249="medium",1,0)),"SI และ Rate เท่ากัน",IF(IF(M249="high",2,IF(M249="medium",1,0))&gt;IF(Y249="high",2,IF(Y249="medium",1,0)),"SI","Rate"))</f>
        <v/>
      </c>
    </row>
    <row r="250">
      <c r="A250" t="inlineStr">
        <is>
          <t>zone_48</t>
        </is>
      </c>
      <c r="B250" t="inlineStr">
        <is>
          <t>ดาวคะนอง - แสมดำ</t>
        </is>
      </c>
      <c r="C250" t="inlineStr">
        <is>
          <t>กรุงเทพมหานคร</t>
        </is>
      </c>
      <c r="D250" t="inlineStr">
        <is>
          <t>35</t>
        </is>
      </c>
      <c r="E250" t="inlineStr">
        <is>
          <t>ทล.</t>
        </is>
      </c>
      <c r="F250" t="inlineStr">
        <is>
          <t>2.9–3</t>
        </is>
      </c>
      <c r="G250" t="inlineStr">
        <is>
          <t>station_id 127 (ทล.35 กม.6+500)</t>
        </is>
      </c>
      <c r="H250" t="inlineStr">
        <is>
          <t>ทล. สถานีตัวแทนตอนควบคุม</t>
        </is>
      </c>
      <c r="I250" t="n">
        <v>7</v>
      </c>
      <c r="J250" t="n">
        <v>0</v>
      </c>
      <c r="K250" t="n">
        <v>7</v>
      </c>
      <c r="L250" s="5" t="n">
        <v>1</v>
      </c>
      <c r="M250" t="inlineStr">
        <is>
          <t>medium</t>
        </is>
      </c>
      <c r="N250" s="6" t="n">
        <v>256167</v>
      </c>
      <c r="O250" s="6" t="n">
        <v>260090</v>
      </c>
      <c r="P250" s="6" t="n">
        <v>259277</v>
      </c>
      <c r="Q250" s="6">
        <f>AVERAGE(N250:P250)</f>
        <v/>
      </c>
      <c r="R250" t="n">
        <v>3</v>
      </c>
      <c r="S250" t="n">
        <v>1</v>
      </c>
      <c r="T250" s="7">
        <f>365*R250*Q250*S250/1000000</f>
        <v/>
      </c>
      <c r="U250" s="8">
        <f>I250/T250</f>
        <v/>
      </c>
      <c r="V250" s="8">
        <f>SUMIF($E$2:$E$599,E250,$I$2:$I$599)/SUMIF($E$2:$E$599,E250,$T$2:$T$599)</f>
        <v/>
      </c>
      <c r="W250" s="8">
        <f>V250+1.645*SQRT(V250/T250)+1/(2*T250)</f>
        <v/>
      </c>
      <c r="X250" s="5">
        <f>U250/W250</f>
        <v/>
      </c>
      <c r="Y250">
        <f>IF(U250&gt;W250,"high",IF(U250&gt;V250,"medium","low"))</f>
        <v/>
      </c>
      <c r="Z250">
        <f>CHOOSE(MAX(IF(M250="high",2,IF(M250="medium",1,0)),IF(Y250="high",2,IF(Y250="medium",1,0)))+1,"low","medium","high")</f>
        <v/>
      </c>
      <c r="AA250">
        <f>IF(IF(M250="high",2,IF(M250="medium",1,0))=IF(Y250="high",2,IF(Y250="medium",1,0)),"SI และ Rate เท่ากัน",IF(IF(M250="high",2,IF(M250="medium",1,0))&gt;IF(Y250="high",2,IF(Y250="medium",1,0)),"SI","Rate"))</f>
        <v/>
      </c>
    </row>
    <row r="251">
      <c r="A251" t="inlineStr">
        <is>
          <t>zone_235</t>
        </is>
      </c>
      <c r="B251" t="inlineStr">
        <is>
          <t>ดาวคะนอง - แสมดำ</t>
        </is>
      </c>
      <c r="C251" t="inlineStr">
        <is>
          <t>กรุงเทพมหานคร</t>
        </is>
      </c>
      <c r="D251" t="inlineStr">
        <is>
          <t>35</t>
        </is>
      </c>
      <c r="E251" t="inlineStr">
        <is>
          <t>ทล.</t>
        </is>
      </c>
      <c r="F251" t="inlineStr">
        <is>
          <t>0.55–0.775</t>
        </is>
      </c>
      <c r="G251" t="inlineStr">
        <is>
          <t>station_id 127 (ทล.35 กม.6+500)</t>
        </is>
      </c>
      <c r="H251" t="inlineStr">
        <is>
          <t>ทล. สถานีตัวแทนตอนควบคุม</t>
        </is>
      </c>
      <c r="I251" t="n">
        <v>7</v>
      </c>
      <c r="J251" t="n">
        <v>1</v>
      </c>
      <c r="K251" t="n">
        <v>7</v>
      </c>
      <c r="L251" s="5" t="n">
        <v>1.1429</v>
      </c>
      <c r="M251" t="inlineStr">
        <is>
          <t>medium</t>
        </is>
      </c>
      <c r="N251" s="6" t="n">
        <v>256167</v>
      </c>
      <c r="O251" s="6" t="n">
        <v>260090</v>
      </c>
      <c r="P251" s="6" t="n">
        <v>259277</v>
      </c>
      <c r="Q251" s="6">
        <f>AVERAGE(N251:P251)</f>
        <v/>
      </c>
      <c r="R251" t="n">
        <v>3</v>
      </c>
      <c r="S251" t="n">
        <v>1</v>
      </c>
      <c r="T251" s="7">
        <f>365*R251*Q251*S251/1000000</f>
        <v/>
      </c>
      <c r="U251" s="8">
        <f>I251/T251</f>
        <v/>
      </c>
      <c r="V251" s="8">
        <f>SUMIF($E$2:$E$599,E251,$I$2:$I$599)/SUMIF($E$2:$E$599,E251,$T$2:$T$599)</f>
        <v/>
      </c>
      <c r="W251" s="8">
        <f>V251+1.645*SQRT(V251/T251)+1/(2*T251)</f>
        <v/>
      </c>
      <c r="X251" s="5">
        <f>U251/W251</f>
        <v/>
      </c>
      <c r="Y251">
        <f>IF(U251&gt;W251,"high",IF(U251&gt;V251,"medium","low"))</f>
        <v/>
      </c>
      <c r="Z251">
        <f>CHOOSE(MAX(IF(M251="high",2,IF(M251="medium",1,0)),IF(Y251="high",2,IF(Y251="medium",1,0)))+1,"low","medium","high")</f>
        <v/>
      </c>
      <c r="AA251">
        <f>IF(IF(M251="high",2,IF(M251="medium",1,0))=IF(Y251="high",2,IF(Y251="medium",1,0)),"SI และ Rate เท่ากัน",IF(IF(M251="high",2,IF(M251="medium",1,0))&gt;IF(Y251="high",2,IF(Y251="medium",1,0)),"SI","Rate"))</f>
        <v/>
      </c>
    </row>
    <row r="252">
      <c r="A252" t="inlineStr">
        <is>
          <t>zone_364</t>
        </is>
      </c>
      <c r="B252" t="inlineStr">
        <is>
          <t>พระประโทน - สระกระเทียม</t>
        </is>
      </c>
      <c r="C252" t="inlineStr">
        <is>
          <t>นครปฐม</t>
        </is>
      </c>
      <c r="D252" t="inlineStr">
        <is>
          <t>4</t>
        </is>
      </c>
      <c r="E252" t="inlineStr">
        <is>
          <t>ทล.</t>
        </is>
      </c>
      <c r="F252" t="inlineStr">
        <is>
          <t>63.6–63.608</t>
        </is>
      </c>
      <c r="G252" t="inlineStr">
        <is>
          <t>station_id 1969 (ทล.4 กม.55+087)</t>
        </is>
      </c>
      <c r="H252" t="inlineStr">
        <is>
          <t>ทล. สถานีตัวแทนตอนควบคุม</t>
        </is>
      </c>
      <c r="I252" t="n">
        <v>3</v>
      </c>
      <c r="J252" t="n">
        <v>0</v>
      </c>
      <c r="K252" t="n">
        <v>5</v>
      </c>
      <c r="L252" s="5" t="n">
        <v>1.6667</v>
      </c>
      <c r="M252" t="inlineStr">
        <is>
          <t>medium</t>
        </is>
      </c>
      <c r="N252" s="6" t="n">
        <v>99124</v>
      </c>
      <c r="O252" s="6" t="n">
        <v>94365</v>
      </c>
      <c r="P252" s="6" t="n">
        <v>100020</v>
      </c>
      <c r="Q252" s="6">
        <f>AVERAGE(N252:P252)</f>
        <v/>
      </c>
      <c r="R252" t="n">
        <v>3</v>
      </c>
      <c r="S252" t="n">
        <v>1</v>
      </c>
      <c r="T252" s="7">
        <f>365*R252*Q252*S252/1000000</f>
        <v/>
      </c>
      <c r="U252" s="8">
        <f>I252/T252</f>
        <v/>
      </c>
      <c r="V252" s="8">
        <f>SUMIF($E$2:$E$599,E252,$I$2:$I$599)/SUMIF($E$2:$E$599,E252,$T$2:$T$599)</f>
        <v/>
      </c>
      <c r="W252" s="8">
        <f>V252+1.645*SQRT(V252/T252)+1/(2*T252)</f>
        <v/>
      </c>
      <c r="X252" s="5">
        <f>U252/W252</f>
        <v/>
      </c>
      <c r="Y252">
        <f>IF(U252&gt;W252,"high",IF(U252&gt;V252,"medium","low"))</f>
        <v/>
      </c>
      <c r="Z252">
        <f>CHOOSE(MAX(IF(M252="high",2,IF(M252="medium",1,0)),IF(Y252="high",2,IF(Y252="medium",1,0)))+1,"low","medium","high")</f>
        <v/>
      </c>
      <c r="AA252">
        <f>IF(IF(M252="high",2,IF(M252="medium",1,0))=IF(Y252="high",2,IF(Y252="medium",1,0)),"SI และ Rate เท่ากัน",IF(IF(M252="high",2,IF(M252="medium",1,0))&gt;IF(Y252="high",2,IF(Y252="medium",1,0)),"SI","Rate"))</f>
        <v/>
      </c>
    </row>
    <row r="253">
      <c r="A253" t="inlineStr">
        <is>
          <t>zone_589</t>
        </is>
      </c>
      <c r="B253" t="inlineStr">
        <is>
          <t>แสมดำ - สะพานข้ามแม่น้ำท่าจีนฝั่งตะวันตก</t>
        </is>
      </c>
      <c r="C253" t="inlineStr">
        <is>
          <t>สมุทรสาคร</t>
        </is>
      </c>
      <c r="D253" t="inlineStr">
        <is>
          <t>35</t>
        </is>
      </c>
      <c r="E253" t="inlineStr">
        <is>
          <t>ทล.</t>
        </is>
      </c>
      <c r="F253" t="inlineStr">
        <is>
          <t>19.8–20.2</t>
        </is>
      </c>
      <c r="G253" t="inlineStr">
        <is>
          <t>station_id 57 (ทล.35 กม.24+550)</t>
        </is>
      </c>
      <c r="H253" t="inlineStr">
        <is>
          <t>ทล. สถานีตัวแทนตอนควบคุม</t>
        </is>
      </c>
      <c r="I253" t="n">
        <v>4</v>
      </c>
      <c r="J253" t="n">
        <v>0</v>
      </c>
      <c r="K253" t="n">
        <v>5</v>
      </c>
      <c r="L253" s="5" t="n">
        <v>1.25</v>
      </c>
      <c r="M253" t="inlineStr">
        <is>
          <t>medium</t>
        </is>
      </c>
      <c r="N253" s="6" t="n">
        <v>129063</v>
      </c>
      <c r="O253" s="6" t="n">
        <v>149020</v>
      </c>
      <c r="P253" s="6" t="n">
        <v>143116</v>
      </c>
      <c r="Q253" s="6">
        <f>AVERAGE(N253:P253)</f>
        <v/>
      </c>
      <c r="R253" t="n">
        <v>3</v>
      </c>
      <c r="S253" t="n">
        <v>1</v>
      </c>
      <c r="T253" s="7">
        <f>365*R253*Q253*S253/1000000</f>
        <v/>
      </c>
      <c r="U253" s="8">
        <f>I253/T253</f>
        <v/>
      </c>
      <c r="V253" s="8">
        <f>SUMIF($E$2:$E$599,E253,$I$2:$I$599)/SUMIF($E$2:$E$599,E253,$T$2:$T$599)</f>
        <v/>
      </c>
      <c r="W253" s="8">
        <f>V253+1.645*SQRT(V253/T253)+1/(2*T253)</f>
        <v/>
      </c>
      <c r="X253" s="5">
        <f>U253/W253</f>
        <v/>
      </c>
      <c r="Y253">
        <f>IF(U253&gt;W253,"high",IF(U253&gt;V253,"medium","low"))</f>
        <v/>
      </c>
      <c r="Z253">
        <f>CHOOSE(MAX(IF(M253="high",2,IF(M253="medium",1,0)),IF(Y253="high",2,IF(Y253="medium",1,0)))+1,"low","medium","high")</f>
        <v/>
      </c>
      <c r="AA253">
        <f>IF(IF(M253="high",2,IF(M253="medium",1,0))=IF(Y253="high",2,IF(Y253="medium",1,0)),"SI และ Rate เท่ากัน",IF(IF(M253="high",2,IF(M253="medium",1,0))&gt;IF(Y253="high",2,IF(Y253="medium",1,0)),"SI","Rate"))</f>
        <v/>
      </c>
    </row>
    <row r="254">
      <c r="A254" t="inlineStr">
        <is>
          <t>zone_602</t>
        </is>
      </c>
      <c r="B254" t="inlineStr">
        <is>
          <t>สะพานข้ามแม่น้ำท่าจีนฝั่งตะวันตก - นาโคก</t>
        </is>
      </c>
      <c r="C254" t="inlineStr">
        <is>
          <t>สมุทรสาคร</t>
        </is>
      </c>
      <c r="D254" t="inlineStr">
        <is>
          <t>35</t>
        </is>
      </c>
      <c r="E254" t="inlineStr">
        <is>
          <t>ทล.</t>
        </is>
      </c>
      <c r="F254" t="inlineStr">
        <is>
          <t>41.39–41.8</t>
        </is>
      </c>
      <c r="G254" t="inlineStr">
        <is>
          <t>station_id 59 (ทล.35 กม.30+700)</t>
        </is>
      </c>
      <c r="H254" t="inlineStr">
        <is>
          <t>ทล. สถานีตัวแทนตอนควบคุม</t>
        </is>
      </c>
      <c r="I254" t="n">
        <v>4</v>
      </c>
      <c r="J254" t="n">
        <v>0</v>
      </c>
      <c r="K254" t="n">
        <v>5</v>
      </c>
      <c r="L254" s="5" t="n">
        <v>1.25</v>
      </c>
      <c r="M254" t="inlineStr">
        <is>
          <t>medium</t>
        </is>
      </c>
      <c r="N254" s="6" t="n">
        <v>134343</v>
      </c>
      <c r="O254" s="6" t="n">
        <v>149180</v>
      </c>
      <c r="P254" s="6" t="n">
        <v>149785</v>
      </c>
      <c r="Q254" s="6">
        <f>AVERAGE(N254:P254)</f>
        <v/>
      </c>
      <c r="R254" t="n">
        <v>3</v>
      </c>
      <c r="S254" t="n">
        <v>1</v>
      </c>
      <c r="T254" s="7">
        <f>365*R254*Q254*S254/1000000</f>
        <v/>
      </c>
      <c r="U254" s="8">
        <f>I254/T254</f>
        <v/>
      </c>
      <c r="V254" s="8">
        <f>SUMIF($E$2:$E$599,E254,$I$2:$I$599)/SUMIF($E$2:$E$599,E254,$T$2:$T$599)</f>
        <v/>
      </c>
      <c r="W254" s="8">
        <f>V254+1.645*SQRT(V254/T254)+1/(2*T254)</f>
        <v/>
      </c>
      <c r="X254" s="5">
        <f>U254/W254</f>
        <v/>
      </c>
      <c r="Y254">
        <f>IF(U254&gt;W254,"high",IF(U254&gt;V254,"medium","low"))</f>
        <v/>
      </c>
      <c r="Z254">
        <f>CHOOSE(MAX(IF(M254="high",2,IF(M254="medium",1,0)),IF(Y254="high",2,IF(Y254="medium",1,0)))+1,"low","medium","high")</f>
        <v/>
      </c>
      <c r="AA254">
        <f>IF(IF(M254="high",2,IF(M254="medium",1,0))=IF(Y254="high",2,IF(Y254="medium",1,0)),"SI และ Rate เท่ากัน",IF(IF(M254="high",2,IF(M254="medium",1,0))&gt;IF(Y254="high",2,IF(Y254="medium",1,0)),"SI","Rate"))</f>
        <v/>
      </c>
    </row>
    <row r="255">
      <c r="A255" t="inlineStr">
        <is>
          <t>zone_319</t>
        </is>
      </c>
      <c r="B255" t="inlineStr">
        <is>
          <t>อรุณอมรินทร์ - พุทธมณฑลสาย4</t>
        </is>
      </c>
      <c r="C255" t="inlineStr">
        <is>
          <t>กรุงเทพมหานคร</t>
        </is>
      </c>
      <c r="D255" t="inlineStr">
        <is>
          <t>338</t>
        </is>
      </c>
      <c r="E255" t="inlineStr">
        <is>
          <t>ทล.</t>
        </is>
      </c>
      <c r="F255" t="inlineStr">
        <is>
          <t>5.023–6.065</t>
        </is>
      </c>
      <c r="G255" t="inlineStr">
        <is>
          <t>station_id 125 (ทล.338 กม.9+281)</t>
        </is>
      </c>
      <c r="H255" t="inlineStr">
        <is>
          <t>ทล. สถานีตัวแทนตอนควบคุม</t>
        </is>
      </c>
      <c r="I255" t="n">
        <v>4</v>
      </c>
      <c r="J255" t="n">
        <v>0</v>
      </c>
      <c r="K255" t="n">
        <v>7</v>
      </c>
      <c r="L255" s="5" t="n">
        <v>1.75</v>
      </c>
      <c r="M255" t="inlineStr">
        <is>
          <t>medium</t>
        </is>
      </c>
      <c r="N255" s="6" t="n">
        <v>143761</v>
      </c>
      <c r="O255" s="6" t="n">
        <v>146988</v>
      </c>
      <c r="P255" s="6" t="n">
        <v>145895</v>
      </c>
      <c r="Q255" s="6">
        <f>AVERAGE(N255:P255)</f>
        <v/>
      </c>
      <c r="R255" t="n">
        <v>3</v>
      </c>
      <c r="S255" t="n">
        <v>1</v>
      </c>
      <c r="T255" s="7">
        <f>365*R255*Q255*S255/1000000</f>
        <v/>
      </c>
      <c r="U255" s="8">
        <f>I255/T255</f>
        <v/>
      </c>
      <c r="V255" s="8">
        <f>SUMIF($E$2:$E$599,E255,$I$2:$I$599)/SUMIF($E$2:$E$599,E255,$T$2:$T$599)</f>
        <v/>
      </c>
      <c r="W255" s="8">
        <f>V255+1.645*SQRT(V255/T255)+1/(2*T255)</f>
        <v/>
      </c>
      <c r="X255" s="5">
        <f>U255/W255</f>
        <v/>
      </c>
      <c r="Y255">
        <f>IF(U255&gt;W255,"high",IF(U255&gt;V255,"medium","low"))</f>
        <v/>
      </c>
      <c r="Z255">
        <f>CHOOSE(MAX(IF(M255="high",2,IF(M255="medium",1,0)),IF(Y255="high",2,IF(Y255="medium",1,0)))+1,"low","medium","high")</f>
        <v/>
      </c>
      <c r="AA255">
        <f>IF(IF(M255="high",2,IF(M255="medium",1,0))=IF(Y255="high",2,IF(Y255="medium",1,0)),"SI และ Rate เท่ากัน",IF(IF(M255="high",2,IF(M255="medium",1,0))&gt;IF(Y255="high",2,IF(Y255="medium",1,0)),"SI","Rate"))</f>
        <v/>
      </c>
    </row>
    <row r="256">
      <c r="A256" t="inlineStr">
        <is>
          <t>zone_493</t>
        </is>
      </c>
      <c r="B256" t="inlineStr">
        <is>
          <t>ทางเข้าท่าอากาศยานสุวรรณภูมิ - บางวัว</t>
        </is>
      </c>
      <c r="C256" t="inlineStr">
        <is>
          <t>สมุทรปราการ</t>
        </is>
      </c>
      <c r="D256" t="inlineStr">
        <is>
          <t>34</t>
        </is>
      </c>
      <c r="E256" t="inlineStr">
        <is>
          <t>ทล.</t>
        </is>
      </c>
      <c r="F256" t="inlineStr">
        <is>
          <t>29–29</t>
        </is>
      </c>
      <c r="G256" t="inlineStr">
        <is>
          <t>station_id 95 (ทล.34 กม.15+100)</t>
        </is>
      </c>
      <c r="H256" t="inlineStr">
        <is>
          <t>ทล. สถานีตัวแทนตอนควบคุม</t>
        </is>
      </c>
      <c r="I256" t="n">
        <v>6</v>
      </c>
      <c r="J256" t="n">
        <v>1</v>
      </c>
      <c r="K256" t="n">
        <v>8</v>
      </c>
      <c r="L256" s="5" t="n">
        <v>1.5</v>
      </c>
      <c r="M256" t="inlineStr">
        <is>
          <t>medium</t>
        </is>
      </c>
      <c r="N256" s="6" t="n">
        <v>226283</v>
      </c>
      <c r="O256" s="6" t="n">
        <v>252612</v>
      </c>
      <c r="P256" s="6" t="n">
        <v>250222</v>
      </c>
      <c r="Q256" s="6">
        <f>AVERAGE(N256:P256)</f>
        <v/>
      </c>
      <c r="R256" t="n">
        <v>3</v>
      </c>
      <c r="S256" t="n">
        <v>1</v>
      </c>
      <c r="T256" s="7">
        <f>365*R256*Q256*S256/1000000</f>
        <v/>
      </c>
      <c r="U256" s="8">
        <f>I256/T256</f>
        <v/>
      </c>
      <c r="V256" s="8">
        <f>SUMIF($E$2:$E$599,E256,$I$2:$I$599)/SUMIF($E$2:$E$599,E256,$T$2:$T$599)</f>
        <v/>
      </c>
      <c r="W256" s="8">
        <f>V256+1.645*SQRT(V256/T256)+1/(2*T256)</f>
        <v/>
      </c>
      <c r="X256" s="5">
        <f>U256/W256</f>
        <v/>
      </c>
      <c r="Y256">
        <f>IF(U256&gt;W256,"high",IF(U256&gt;V256,"medium","low"))</f>
        <v/>
      </c>
      <c r="Z256">
        <f>CHOOSE(MAX(IF(M256="high",2,IF(M256="medium",1,0)),IF(Y256="high",2,IF(Y256="medium",1,0)))+1,"low","medium","high")</f>
        <v/>
      </c>
      <c r="AA256">
        <f>IF(IF(M256="high",2,IF(M256="medium",1,0))=IF(Y256="high",2,IF(Y256="medium",1,0)),"SI และ Rate เท่ากัน",IF(IF(M256="high",2,IF(M256="medium",1,0))&gt;IF(Y256="high",2,IF(Y256="medium",1,0)),"SI","Rate"))</f>
        <v/>
      </c>
    </row>
    <row r="257">
      <c r="A257" t="inlineStr">
        <is>
          <t>zone_121</t>
        </is>
      </c>
      <c r="B257" t="inlineStr">
        <is>
          <t>ดินแดง - งามวงศ์วาน</t>
        </is>
      </c>
      <c r="C257" t="inlineStr">
        <is>
          <t>กรุงเทพมหานคร</t>
        </is>
      </c>
      <c r="D257" t="inlineStr">
        <is>
          <t>31</t>
        </is>
      </c>
      <c r="E257" t="inlineStr">
        <is>
          <t>ทล.</t>
        </is>
      </c>
      <c r="F257" t="inlineStr">
        <is>
          <t>10.27–10.447</t>
        </is>
      </c>
      <c r="G257" t="inlineStr">
        <is>
          <t>station_id 104 (ทล.302 กม.5+822)</t>
        </is>
      </c>
      <c r="H257" t="inlineStr">
        <is>
          <t>ทล. สถานีตัวแทนตอนควบคุม</t>
        </is>
      </c>
      <c r="I257" t="n">
        <v>3</v>
      </c>
      <c r="J257" t="n">
        <v>0</v>
      </c>
      <c r="K257" t="n">
        <v>3</v>
      </c>
      <c r="L257" s="5" t="n">
        <v>1</v>
      </c>
      <c r="M257" t="inlineStr">
        <is>
          <t>medium</t>
        </is>
      </c>
      <c r="N257" s="6" t="n">
        <v>111493</v>
      </c>
      <c r="O257" s="6" t="n">
        <v>113776</v>
      </c>
      <c r="P257" s="6" t="n">
        <v>111297</v>
      </c>
      <c r="Q257" s="6">
        <f>AVERAGE(N257:P257)</f>
        <v/>
      </c>
      <c r="R257" t="n">
        <v>3</v>
      </c>
      <c r="S257" t="n">
        <v>1</v>
      </c>
      <c r="T257" s="7">
        <f>365*R257*Q257*S257/1000000</f>
        <v/>
      </c>
      <c r="U257" s="8">
        <f>I257/T257</f>
        <v/>
      </c>
      <c r="V257" s="8">
        <f>SUMIF($E$2:$E$599,E257,$I$2:$I$599)/SUMIF($E$2:$E$599,E257,$T$2:$T$599)</f>
        <v/>
      </c>
      <c r="W257" s="8">
        <f>V257+1.645*SQRT(V257/T257)+1/(2*T257)</f>
        <v/>
      </c>
      <c r="X257" s="5">
        <f>U257/W257</f>
        <v/>
      </c>
      <c r="Y257">
        <f>IF(U257&gt;W257,"high",IF(U257&gt;V257,"medium","low"))</f>
        <v/>
      </c>
      <c r="Z257">
        <f>CHOOSE(MAX(IF(M257="high",2,IF(M257="medium",1,0)),IF(Y257="high",2,IF(Y257="medium",1,0)))+1,"low","medium","high")</f>
        <v/>
      </c>
      <c r="AA257">
        <f>IF(IF(M257="high",2,IF(M257="medium",1,0))=IF(Y257="high",2,IF(Y257="medium",1,0)),"SI และ Rate เท่ากัน",IF(IF(M257="high",2,IF(M257="medium",1,0))&gt;IF(Y257="high",2,IF(Y257="medium",1,0)),"SI","Rate"))</f>
        <v/>
      </c>
    </row>
    <row r="258">
      <c r="A258" t="inlineStr">
        <is>
          <t>zone_122</t>
        </is>
      </c>
      <c r="B258" t="inlineStr">
        <is>
          <t>ดินแดง - งามวงศ์วาน</t>
        </is>
      </c>
      <c r="C258" t="inlineStr">
        <is>
          <t>กรุงเทพมหานคร</t>
        </is>
      </c>
      <c r="D258" t="inlineStr">
        <is>
          <t>31</t>
        </is>
      </c>
      <c r="E258" t="inlineStr">
        <is>
          <t>ทล.</t>
        </is>
      </c>
      <c r="F258" t="inlineStr">
        <is>
          <t>11.195–11.228</t>
        </is>
      </c>
      <c r="G258" t="inlineStr">
        <is>
          <t>station_id 104 (ทล.302 กม.5+822)</t>
        </is>
      </c>
      <c r="H258" t="inlineStr">
        <is>
          <t>ทล. สถานีตัวแทนตอนควบคุม</t>
        </is>
      </c>
      <c r="I258" t="n">
        <v>3</v>
      </c>
      <c r="J258" t="n">
        <v>0</v>
      </c>
      <c r="K258" t="n">
        <v>3</v>
      </c>
      <c r="L258" s="5" t="n">
        <v>1</v>
      </c>
      <c r="M258" t="inlineStr">
        <is>
          <t>medium</t>
        </is>
      </c>
      <c r="N258" s="6" t="n">
        <v>111493</v>
      </c>
      <c r="O258" s="6" t="n">
        <v>113776</v>
      </c>
      <c r="P258" s="6" t="n">
        <v>111297</v>
      </c>
      <c r="Q258" s="6">
        <f>AVERAGE(N258:P258)</f>
        <v/>
      </c>
      <c r="R258" t="n">
        <v>3</v>
      </c>
      <c r="S258" t="n">
        <v>1</v>
      </c>
      <c r="T258" s="7">
        <f>365*R258*Q258*S258/1000000</f>
        <v/>
      </c>
      <c r="U258" s="8">
        <f>I258/T258</f>
        <v/>
      </c>
      <c r="V258" s="8">
        <f>SUMIF($E$2:$E$599,E258,$I$2:$I$599)/SUMIF($E$2:$E$599,E258,$T$2:$T$599)</f>
        <v/>
      </c>
      <c r="W258" s="8">
        <f>V258+1.645*SQRT(V258/T258)+1/(2*T258)</f>
        <v/>
      </c>
      <c r="X258" s="5">
        <f>U258/W258</f>
        <v/>
      </c>
      <c r="Y258">
        <f>IF(U258&gt;W258,"high",IF(U258&gt;V258,"medium","low"))</f>
        <v/>
      </c>
      <c r="Z258">
        <f>CHOOSE(MAX(IF(M258="high",2,IF(M258="medium",1,0)),IF(Y258="high",2,IF(Y258="medium",1,0)))+1,"low","medium","high")</f>
        <v/>
      </c>
      <c r="AA258">
        <f>IF(IF(M258="high",2,IF(M258="medium",1,0))=IF(Y258="high",2,IF(Y258="medium",1,0)),"SI และ Rate เท่ากัน",IF(IF(M258="high",2,IF(M258="medium",1,0))&gt;IF(Y258="high",2,IF(Y258="medium",1,0)),"SI","Rate"))</f>
        <v/>
      </c>
    </row>
    <row r="259">
      <c r="A259" t="inlineStr">
        <is>
          <t>zone_199</t>
        </is>
      </c>
      <c r="B259" t="inlineStr">
        <is>
          <t>ดินแดง - งามวงศ์วาน</t>
        </is>
      </c>
      <c r="C259" t="inlineStr">
        <is>
          <t>กรุงเทพมหานคร</t>
        </is>
      </c>
      <c r="D259" t="inlineStr">
        <is>
          <t>31</t>
        </is>
      </c>
      <c r="E259" t="inlineStr">
        <is>
          <t>ทล.</t>
        </is>
      </c>
      <c r="F259" t="inlineStr">
        <is>
          <t>8.89–9.035</t>
        </is>
      </c>
      <c r="G259" t="inlineStr">
        <is>
          <t>station_id 104 (ทล.302 กม.5+822)</t>
        </is>
      </c>
      <c r="H259" t="inlineStr">
        <is>
          <t>ทล. สถานีตัวแทนตอนควบคุม</t>
        </is>
      </c>
      <c r="I259" t="n">
        <v>3</v>
      </c>
      <c r="J259" t="n">
        <v>0</v>
      </c>
      <c r="K259" t="n">
        <v>3</v>
      </c>
      <c r="L259" s="5" t="n">
        <v>1</v>
      </c>
      <c r="M259" t="inlineStr">
        <is>
          <t>medium</t>
        </is>
      </c>
      <c r="N259" s="6" t="n">
        <v>111493</v>
      </c>
      <c r="O259" s="6" t="n">
        <v>113776</v>
      </c>
      <c r="P259" s="6" t="n">
        <v>111297</v>
      </c>
      <c r="Q259" s="6">
        <f>AVERAGE(N259:P259)</f>
        <v/>
      </c>
      <c r="R259" t="n">
        <v>3</v>
      </c>
      <c r="S259" t="n">
        <v>1</v>
      </c>
      <c r="T259" s="7">
        <f>365*R259*Q259*S259/1000000</f>
        <v/>
      </c>
      <c r="U259" s="8">
        <f>I259/T259</f>
        <v/>
      </c>
      <c r="V259" s="8">
        <f>SUMIF($E$2:$E$599,E259,$I$2:$I$599)/SUMIF($E$2:$E$599,E259,$T$2:$T$599)</f>
        <v/>
      </c>
      <c r="W259" s="8">
        <f>V259+1.645*SQRT(V259/T259)+1/(2*T259)</f>
        <v/>
      </c>
      <c r="X259" s="5">
        <f>U259/W259</f>
        <v/>
      </c>
      <c r="Y259">
        <f>IF(U259&gt;W259,"high",IF(U259&gt;V259,"medium","low"))</f>
        <v/>
      </c>
      <c r="Z259">
        <f>CHOOSE(MAX(IF(M259="high",2,IF(M259="medium",1,0)),IF(Y259="high",2,IF(Y259="medium",1,0)))+1,"low","medium","high")</f>
        <v/>
      </c>
      <c r="AA259">
        <f>IF(IF(M259="high",2,IF(M259="medium",1,0))=IF(Y259="high",2,IF(Y259="medium",1,0)),"SI และ Rate เท่ากัน",IF(IF(M259="high",2,IF(M259="medium",1,0))&gt;IF(Y259="high",2,IF(Y259="medium",1,0)),"SI","Rate"))</f>
        <v/>
      </c>
    </row>
    <row r="260">
      <c r="A260" t="inlineStr">
        <is>
          <t>zone_214</t>
        </is>
      </c>
      <c r="B260" t="inlineStr">
        <is>
          <t>ดินแดง - งามวงศ์วาน</t>
        </is>
      </c>
      <c r="C260" t="inlineStr">
        <is>
          <t>กรุงเทพมหานคร</t>
        </is>
      </c>
      <c r="D260" t="inlineStr">
        <is>
          <t>31</t>
        </is>
      </c>
      <c r="E260" t="inlineStr">
        <is>
          <t>ทล.</t>
        </is>
      </c>
      <c r="F260" t="inlineStr">
        <is>
          <t>12.6–12.65</t>
        </is>
      </c>
      <c r="G260" t="inlineStr">
        <is>
          <t>station_id 104 (ทล.302 กม.5+822)</t>
        </is>
      </c>
      <c r="H260" t="inlineStr">
        <is>
          <t>ทล. สถานีตัวแทนตอนควบคุม</t>
        </is>
      </c>
      <c r="I260" t="n">
        <v>3</v>
      </c>
      <c r="J260" t="n">
        <v>0</v>
      </c>
      <c r="K260" t="n">
        <v>3</v>
      </c>
      <c r="L260" s="5" t="n">
        <v>1</v>
      </c>
      <c r="M260" t="inlineStr">
        <is>
          <t>medium</t>
        </is>
      </c>
      <c r="N260" s="6" t="n">
        <v>111493</v>
      </c>
      <c r="O260" s="6" t="n">
        <v>113776</v>
      </c>
      <c r="P260" s="6" t="n">
        <v>111297</v>
      </c>
      <c r="Q260" s="6">
        <f>AVERAGE(N260:P260)</f>
        <v/>
      </c>
      <c r="R260" t="n">
        <v>3</v>
      </c>
      <c r="S260" t="n">
        <v>1</v>
      </c>
      <c r="T260" s="7">
        <f>365*R260*Q260*S260/1000000</f>
        <v/>
      </c>
      <c r="U260" s="8">
        <f>I260/T260</f>
        <v/>
      </c>
      <c r="V260" s="8">
        <f>SUMIF($E$2:$E$599,E260,$I$2:$I$599)/SUMIF($E$2:$E$599,E260,$T$2:$T$599)</f>
        <v/>
      </c>
      <c r="W260" s="8">
        <f>V260+1.645*SQRT(V260/T260)+1/(2*T260)</f>
        <v/>
      </c>
      <c r="X260" s="5">
        <f>U260/W260</f>
        <v/>
      </c>
      <c r="Y260">
        <f>IF(U260&gt;W260,"high",IF(U260&gt;V260,"medium","low"))</f>
        <v/>
      </c>
      <c r="Z260">
        <f>CHOOSE(MAX(IF(M260="high",2,IF(M260="medium",1,0)),IF(Y260="high",2,IF(Y260="medium",1,0)))+1,"low","medium","high")</f>
        <v/>
      </c>
      <c r="AA260">
        <f>IF(IF(M260="high",2,IF(M260="medium",1,0))=IF(Y260="high",2,IF(Y260="medium",1,0)),"SI และ Rate เท่ากัน",IF(IF(M260="high",2,IF(M260="medium",1,0))&gt;IF(Y260="high",2,IF(Y260="medium",1,0)),"SI","Rate"))</f>
        <v/>
      </c>
    </row>
    <row r="261">
      <c r="A261" t="inlineStr">
        <is>
          <t>zone_234</t>
        </is>
      </c>
      <c r="B261" t="inlineStr">
        <is>
          <t>ดาวคะนอง -  แสมดำ</t>
        </is>
      </c>
      <c r="C261" t="inlineStr">
        <is>
          <t>กรุงเทพมหานคร</t>
        </is>
      </c>
      <c r="D261" t="inlineStr">
        <is>
          <t>35</t>
        </is>
      </c>
      <c r="E261" t="inlineStr">
        <is>
          <t>ทล.</t>
        </is>
      </c>
      <c r="F261" t="inlineStr">
        <is>
          <t>0.1–0.2</t>
        </is>
      </c>
      <c r="G261" t="inlineStr">
        <is>
          <t>station_id 127 (ทล.35 กม.6+500)</t>
        </is>
      </c>
      <c r="H261" t="inlineStr">
        <is>
          <t>ทล. สถานีตัวแทนตอนควบคุม</t>
        </is>
      </c>
      <c r="I261" t="n">
        <v>6</v>
      </c>
      <c r="J261" t="n">
        <v>0</v>
      </c>
      <c r="K261" t="n">
        <v>6</v>
      </c>
      <c r="L261" s="5" t="n">
        <v>1</v>
      </c>
      <c r="M261" t="inlineStr">
        <is>
          <t>medium</t>
        </is>
      </c>
      <c r="N261" s="6" t="n">
        <v>256167</v>
      </c>
      <c r="O261" s="6" t="n">
        <v>260090</v>
      </c>
      <c r="P261" s="6" t="n">
        <v>259277</v>
      </c>
      <c r="Q261" s="6">
        <f>AVERAGE(N261:P261)</f>
        <v/>
      </c>
      <c r="R261" t="n">
        <v>3</v>
      </c>
      <c r="S261" t="n">
        <v>1</v>
      </c>
      <c r="T261" s="7">
        <f>365*R261*Q261*S261/1000000</f>
        <v/>
      </c>
      <c r="U261" s="8">
        <f>I261/T261</f>
        <v/>
      </c>
      <c r="V261" s="8">
        <f>SUMIF($E$2:$E$599,E261,$I$2:$I$599)/SUMIF($E$2:$E$599,E261,$T$2:$T$599)</f>
        <v/>
      </c>
      <c r="W261" s="8">
        <f>V261+1.645*SQRT(V261/T261)+1/(2*T261)</f>
        <v/>
      </c>
      <c r="X261" s="5">
        <f>U261/W261</f>
        <v/>
      </c>
      <c r="Y261">
        <f>IF(U261&gt;W261,"high",IF(U261&gt;V261,"medium","low"))</f>
        <v/>
      </c>
      <c r="Z261">
        <f>CHOOSE(MAX(IF(M261="high",2,IF(M261="medium",1,0)),IF(Y261="high",2,IF(Y261="medium",1,0)))+1,"low","medium","high")</f>
        <v/>
      </c>
      <c r="AA261">
        <f>IF(IF(M261="high",2,IF(M261="medium",1,0))=IF(Y261="high",2,IF(Y261="medium",1,0)),"SI และ Rate เท่ากัน",IF(IF(M261="high",2,IF(M261="medium",1,0))&gt;IF(Y261="high",2,IF(Y261="medium",1,0)),"SI","Rate"))</f>
        <v/>
      </c>
    </row>
    <row r="262">
      <c r="A262" t="inlineStr">
        <is>
          <t>zone_285</t>
        </is>
      </c>
      <c r="B262" t="inlineStr">
        <is>
          <t>พระประแดง - บางแค</t>
        </is>
      </c>
      <c r="C262" t="inlineStr">
        <is>
          <t>กรุงเทพมหานคร</t>
        </is>
      </c>
      <c r="D262" t="inlineStr">
        <is>
          <t>9</t>
        </is>
      </c>
      <c r="E262" t="inlineStr">
        <is>
          <t>ทล.</t>
        </is>
      </c>
      <c r="F262" t="inlineStr">
        <is>
          <t>12.5–12.6</t>
        </is>
      </c>
      <c r="G262" t="inlineStr">
        <is>
          <t>station_id 123 (ทล.9 กม.20+430)</t>
        </is>
      </c>
      <c r="H262" t="inlineStr">
        <is>
          <t>ทล. สถานีตัวแทนตอนควบคุม</t>
        </is>
      </c>
      <c r="I262" t="n">
        <v>4</v>
      </c>
      <c r="J262" t="n">
        <v>0</v>
      </c>
      <c r="K262" t="n">
        <v>5</v>
      </c>
      <c r="L262" s="5" t="n">
        <v>1.25</v>
      </c>
      <c r="M262" t="inlineStr">
        <is>
          <t>medium</t>
        </is>
      </c>
      <c r="N262" s="6" t="n">
        <v>161583</v>
      </c>
      <c r="O262" s="6" t="n">
        <v>167210</v>
      </c>
      <c r="P262" s="6" t="n">
        <v>164129</v>
      </c>
      <c r="Q262" s="6">
        <f>AVERAGE(N262:P262)</f>
        <v/>
      </c>
      <c r="R262" t="n">
        <v>3</v>
      </c>
      <c r="S262" t="n">
        <v>1</v>
      </c>
      <c r="T262" s="7">
        <f>365*R262*Q262*S262/1000000</f>
        <v/>
      </c>
      <c r="U262" s="8">
        <f>I262/T262</f>
        <v/>
      </c>
      <c r="V262" s="8">
        <f>SUMIF($E$2:$E$599,E262,$I$2:$I$599)/SUMIF($E$2:$E$599,E262,$T$2:$T$599)</f>
        <v/>
      </c>
      <c r="W262" s="8">
        <f>V262+1.645*SQRT(V262/T262)+1/(2*T262)</f>
        <v/>
      </c>
      <c r="X262" s="5">
        <f>U262/W262</f>
        <v/>
      </c>
      <c r="Y262">
        <f>IF(U262&gt;W262,"high",IF(U262&gt;V262,"medium","low"))</f>
        <v/>
      </c>
      <c r="Z262">
        <f>CHOOSE(MAX(IF(M262="high",2,IF(M262="medium",1,0)),IF(Y262="high",2,IF(Y262="medium",1,0)))+1,"low","medium","high")</f>
        <v/>
      </c>
      <c r="AA262">
        <f>IF(IF(M262="high",2,IF(M262="medium",1,0))=IF(Y262="high",2,IF(Y262="medium",1,0)),"SI และ Rate เท่ากัน",IF(IF(M262="high",2,IF(M262="medium",1,0))&gt;IF(Y262="high",2,IF(Y262="medium",1,0)),"SI","Rate"))</f>
        <v/>
      </c>
    </row>
    <row r="263">
      <c r="A263" t="inlineStr">
        <is>
          <t>zone_454</t>
        </is>
      </c>
      <c r="B263" t="inlineStr">
        <is>
          <t>แขวงคลองสองต้นนุ่น - พิมพา</t>
        </is>
      </c>
      <c r="C263" t="inlineStr">
        <is>
          <t>สมุทรปราการ</t>
        </is>
      </c>
      <c r="D263" t="inlineStr">
        <is>
          <t>7</t>
        </is>
      </c>
      <c r="E263" t="inlineStr">
        <is>
          <t>ทล.</t>
        </is>
      </c>
      <c r="F263" t="inlineStr">
        <is>
          <t>33.3–33.4</t>
        </is>
      </c>
      <c r="G263" t="inlineStr">
        <is>
          <t>station_id 345 (ทล.7 กม.17+000)</t>
        </is>
      </c>
      <c r="H263" t="inlineStr">
        <is>
          <t>ทล. สถานีตัวแทนตอนควบคุม</t>
        </is>
      </c>
      <c r="I263" t="n">
        <v>5</v>
      </c>
      <c r="J263" t="n">
        <v>0</v>
      </c>
      <c r="K263" t="n">
        <v>8</v>
      </c>
      <c r="L263" s="5" t="n">
        <v>1.6</v>
      </c>
      <c r="M263" t="inlineStr">
        <is>
          <t>medium</t>
        </is>
      </c>
      <c r="N263" s="6" t="n">
        <v>220901</v>
      </c>
      <c r="O263" s="6" t="n">
        <v>242192</v>
      </c>
      <c r="P263" s="6" t="n">
        <v>262343</v>
      </c>
      <c r="Q263" s="6">
        <f>AVERAGE(N263:P263)</f>
        <v/>
      </c>
      <c r="R263" t="n">
        <v>3</v>
      </c>
      <c r="S263" t="n">
        <v>1</v>
      </c>
      <c r="T263" s="7">
        <f>365*R263*Q263*S263/1000000</f>
        <v/>
      </c>
      <c r="U263" s="8">
        <f>I263/T263</f>
        <v/>
      </c>
      <c r="V263" s="8">
        <f>SUMIF($E$2:$E$599,E263,$I$2:$I$599)/SUMIF($E$2:$E$599,E263,$T$2:$T$599)</f>
        <v/>
      </c>
      <c r="W263" s="8">
        <f>V263+1.645*SQRT(V263/T263)+1/(2*T263)</f>
        <v/>
      </c>
      <c r="X263" s="5">
        <f>U263/W263</f>
        <v/>
      </c>
      <c r="Y263">
        <f>IF(U263&gt;W263,"high",IF(U263&gt;V263,"medium","low"))</f>
        <v/>
      </c>
      <c r="Z263">
        <f>CHOOSE(MAX(IF(M263="high",2,IF(M263="medium",1,0)),IF(Y263="high",2,IF(Y263="medium",1,0)))+1,"low","medium","high")</f>
        <v/>
      </c>
      <c r="AA263">
        <f>IF(IF(M263="high",2,IF(M263="medium",1,0))=IF(Y263="high",2,IF(Y263="medium",1,0)),"SI และ Rate เท่ากัน",IF(IF(M263="high",2,IF(M263="medium",1,0))&gt;IF(Y263="high",2,IF(Y263="medium",1,0)),"SI","Rate"))</f>
        <v/>
      </c>
    </row>
    <row r="264">
      <c r="A264" t="inlineStr">
        <is>
          <t>zone_481</t>
        </is>
      </c>
      <c r="B264" t="inlineStr">
        <is>
          <t>ทางเข้าท่าอากาศยานสุวรรณภูมิ - บางวัว</t>
        </is>
      </c>
      <c r="C264" t="inlineStr">
        <is>
          <t>สมุทรปราการ</t>
        </is>
      </c>
      <c r="D264" t="inlineStr">
        <is>
          <t>34</t>
        </is>
      </c>
      <c r="E264" t="inlineStr">
        <is>
          <t>ทล.</t>
        </is>
      </c>
      <c r="F264" t="inlineStr">
        <is>
          <t>16.1–17.6</t>
        </is>
      </c>
      <c r="G264" t="inlineStr">
        <is>
          <t>station_id 95 (ทล.34 กม.15+100)</t>
        </is>
      </c>
      <c r="H264" t="inlineStr">
        <is>
          <t>ทล. สถานีตัวแทนตอนควบคุม</t>
        </is>
      </c>
      <c r="I264" t="n">
        <v>5</v>
      </c>
      <c r="J264" t="n">
        <v>0</v>
      </c>
      <c r="K264" t="n">
        <v>7</v>
      </c>
      <c r="L264" s="5" t="n">
        <v>1.4</v>
      </c>
      <c r="M264" t="inlineStr">
        <is>
          <t>medium</t>
        </is>
      </c>
      <c r="N264" s="6" t="n">
        <v>226283</v>
      </c>
      <c r="O264" s="6" t="n">
        <v>252612</v>
      </c>
      <c r="P264" s="6" t="n">
        <v>250222</v>
      </c>
      <c r="Q264" s="6">
        <f>AVERAGE(N264:P264)</f>
        <v/>
      </c>
      <c r="R264" t="n">
        <v>3</v>
      </c>
      <c r="S264" t="n">
        <v>1</v>
      </c>
      <c r="T264" s="7">
        <f>365*R264*Q264*S264/1000000</f>
        <v/>
      </c>
      <c r="U264" s="8">
        <f>I264/T264</f>
        <v/>
      </c>
      <c r="V264" s="8">
        <f>SUMIF($E$2:$E$599,E264,$I$2:$I$599)/SUMIF($E$2:$E$599,E264,$T$2:$T$599)</f>
        <v/>
      </c>
      <c r="W264" s="8">
        <f>V264+1.645*SQRT(V264/T264)+1/(2*T264)</f>
        <v/>
      </c>
      <c r="X264" s="5">
        <f>U264/W264</f>
        <v/>
      </c>
      <c r="Y264">
        <f>IF(U264&gt;W264,"high",IF(U264&gt;V264,"medium","low"))</f>
        <v/>
      </c>
      <c r="Z264">
        <f>CHOOSE(MAX(IF(M264="high",2,IF(M264="medium",1,0)),IF(Y264="high",2,IF(Y264="medium",1,0)))+1,"low","medium","high")</f>
        <v/>
      </c>
      <c r="AA264">
        <f>IF(IF(M264="high",2,IF(M264="medium",1,0))=IF(Y264="high",2,IF(Y264="medium",1,0)),"SI และ Rate เท่ากัน",IF(IF(M264="high",2,IF(M264="medium",1,0))&gt;IF(Y264="high",2,IF(Y264="medium",1,0)),"SI","Rate"))</f>
        <v/>
      </c>
    </row>
    <row r="265">
      <c r="A265" t="inlineStr">
        <is>
          <t>zone_429</t>
        </is>
      </c>
      <c r="B265" t="inlineStr">
        <is>
          <t>สนามกีฬาธูปะเตมีย์ - ต่างระดับคลองหลวง</t>
        </is>
      </c>
      <c r="C265" t="inlineStr">
        <is>
          <t>ปทุมธานี</t>
        </is>
      </c>
      <c r="D265" t="inlineStr">
        <is>
          <t>1</t>
        </is>
      </c>
      <c r="E265" t="inlineStr">
        <is>
          <t>ทล.</t>
        </is>
      </c>
      <c r="F265" t="inlineStr">
        <is>
          <t>37.2–37.368</t>
        </is>
      </c>
      <c r="G265" t="inlineStr">
        <is>
          <t>station_id 76 (ทล.1 กม.35+550)</t>
        </is>
      </c>
      <c r="H265" t="inlineStr">
        <is>
          <t>ทล. สถานีตัวแทนตอนควบคุม</t>
        </is>
      </c>
      <c r="I265" t="n">
        <v>4</v>
      </c>
      <c r="J265" t="n">
        <v>1</v>
      </c>
      <c r="K265" t="n">
        <v>3</v>
      </c>
      <c r="L265" s="5" t="n">
        <v>1</v>
      </c>
      <c r="M265" t="inlineStr">
        <is>
          <t>medium</t>
        </is>
      </c>
      <c r="N265" s="6" t="n">
        <v>200760</v>
      </c>
      <c r="O265" s="6" t="n">
        <v>201603</v>
      </c>
      <c r="P265" s="6" t="n">
        <v>204800</v>
      </c>
      <c r="Q265" s="6">
        <f>AVERAGE(N265:P265)</f>
        <v/>
      </c>
      <c r="R265" t="n">
        <v>3</v>
      </c>
      <c r="S265" t="n">
        <v>1</v>
      </c>
      <c r="T265" s="7">
        <f>365*R265*Q265*S265/1000000</f>
        <v/>
      </c>
      <c r="U265" s="8">
        <f>I265/T265</f>
        <v/>
      </c>
      <c r="V265" s="8">
        <f>SUMIF($E$2:$E$599,E265,$I$2:$I$599)/SUMIF($E$2:$E$599,E265,$T$2:$T$599)</f>
        <v/>
      </c>
      <c r="W265" s="8">
        <f>V265+1.645*SQRT(V265/T265)+1/(2*T265)</f>
        <v/>
      </c>
      <c r="X265" s="5">
        <f>U265/W265</f>
        <v/>
      </c>
      <c r="Y265">
        <f>IF(U265&gt;W265,"high",IF(U265&gt;V265,"medium","low"))</f>
        <v/>
      </c>
      <c r="Z265">
        <f>CHOOSE(MAX(IF(M265="high",2,IF(M265="medium",1,0)),IF(Y265="high",2,IF(Y265="medium",1,0)))+1,"low","medium","high")</f>
        <v/>
      </c>
      <c r="AA265">
        <f>IF(IF(M265="high",2,IF(M265="medium",1,0))=IF(Y265="high",2,IF(Y265="medium",1,0)),"SI และ Rate เท่ากัน",IF(IF(M265="high",2,IF(M265="medium",1,0))&gt;IF(Y265="high",2,IF(Y265="medium",1,0)),"SI","Rate"))</f>
        <v/>
      </c>
    </row>
    <row r="266">
      <c r="A266" t="inlineStr">
        <is>
          <t>zone_534</t>
        </is>
      </c>
      <c r="B266" t="inlineStr">
        <is>
          <t>บางนา - ทางเข้าท่าอากาศยานสุวรรณภูมิ</t>
        </is>
      </c>
      <c r="C266" t="inlineStr">
        <is>
          <t>สมุทรปราการ</t>
        </is>
      </c>
      <c r="D266" t="inlineStr">
        <is>
          <t>34</t>
        </is>
      </c>
      <c r="E266" t="inlineStr">
        <is>
          <t>ทล.</t>
        </is>
      </c>
      <c r="F266" t="inlineStr">
        <is>
          <t>10.8–11.1</t>
        </is>
      </c>
      <c r="G266" t="inlineStr">
        <is>
          <t>station_id 92 (ทล.34 กม.3+904)</t>
        </is>
      </c>
      <c r="H266" t="inlineStr">
        <is>
          <t>ทล. สถานีตัวแทนตอนควบคุม</t>
        </is>
      </c>
      <c r="I266" t="n">
        <v>4</v>
      </c>
      <c r="J266" t="n">
        <v>1</v>
      </c>
      <c r="K266" t="n">
        <v>3</v>
      </c>
      <c r="L266" s="5" t="n">
        <v>1</v>
      </c>
      <c r="M266" t="inlineStr">
        <is>
          <t>medium</t>
        </is>
      </c>
      <c r="N266" s="6" t="n">
        <v>212917</v>
      </c>
      <c r="O266" s="6" t="n">
        <v>210163</v>
      </c>
      <c r="P266" s="6" t="n">
        <v>210050</v>
      </c>
      <c r="Q266" s="6">
        <f>AVERAGE(N266:P266)</f>
        <v/>
      </c>
      <c r="R266" t="n">
        <v>3</v>
      </c>
      <c r="S266" t="n">
        <v>1</v>
      </c>
      <c r="T266" s="7">
        <f>365*R266*Q266*S266/1000000</f>
        <v/>
      </c>
      <c r="U266" s="8">
        <f>I266/T266</f>
        <v/>
      </c>
      <c r="V266" s="8">
        <f>SUMIF($E$2:$E$599,E266,$I$2:$I$599)/SUMIF($E$2:$E$599,E266,$T$2:$T$599)</f>
        <v/>
      </c>
      <c r="W266" s="8">
        <f>V266+1.645*SQRT(V266/T266)+1/(2*T266)</f>
        <v/>
      </c>
      <c r="X266" s="5">
        <f>U266/W266</f>
        <v/>
      </c>
      <c r="Y266">
        <f>IF(U266&gt;W266,"high",IF(U266&gt;V266,"medium","low"))</f>
        <v/>
      </c>
      <c r="Z266">
        <f>CHOOSE(MAX(IF(M266="high",2,IF(M266="medium",1,0)),IF(Y266="high",2,IF(Y266="medium",1,0)))+1,"low","medium","high")</f>
        <v/>
      </c>
      <c r="AA266">
        <f>IF(IF(M266="high",2,IF(M266="medium",1,0))=IF(Y266="high",2,IF(Y266="medium",1,0)),"SI และ Rate เท่ากัน",IF(IF(M266="high",2,IF(M266="medium",1,0))&gt;IF(Y266="high",2,IF(Y266="medium",1,0)),"SI","Rate"))</f>
        <v/>
      </c>
    </row>
    <row r="267">
      <c r="A267" t="inlineStr">
        <is>
          <t>zone_100</t>
        </is>
      </c>
      <c r="B267" t="inlineStr">
        <is>
          <t>บางปะอิน - แขวงรามอินทรา</t>
        </is>
      </c>
      <c r="C267" t="inlineStr">
        <is>
          <t>กรุงเทพมหานคร</t>
        </is>
      </c>
      <c r="D267" t="inlineStr">
        <is>
          <t>9</t>
        </is>
      </c>
      <c r="E267" t="inlineStr">
        <is>
          <t>ทล.</t>
        </is>
      </c>
      <c r="F267" t="inlineStr">
        <is>
          <t>38.7–39.1</t>
        </is>
      </c>
      <c r="G267" t="inlineStr">
        <is>
          <t>station_id 347 (ทล.9 กม.1+500)</t>
        </is>
      </c>
      <c r="H267" t="inlineStr">
        <is>
          <t>ทล. สถานีตัวแทนตอนควบคุม</t>
        </is>
      </c>
      <c r="I267" t="n">
        <v>3</v>
      </c>
      <c r="J267" t="n">
        <v>0</v>
      </c>
      <c r="K267" t="n">
        <v>3</v>
      </c>
      <c r="L267" s="5" t="n">
        <v>1</v>
      </c>
      <c r="M267" t="inlineStr">
        <is>
          <t>medium</t>
        </is>
      </c>
      <c r="N267" s="6" t="n">
        <v>146870</v>
      </c>
      <c r="O267" s="6" t="n">
        <v>165212</v>
      </c>
      <c r="P267" s="6" t="n">
        <v>160792</v>
      </c>
      <c r="Q267" s="6">
        <f>AVERAGE(N267:P267)</f>
        <v/>
      </c>
      <c r="R267" t="n">
        <v>3</v>
      </c>
      <c r="S267" t="n">
        <v>1</v>
      </c>
      <c r="T267" s="7">
        <f>365*R267*Q267*S267/1000000</f>
        <v/>
      </c>
      <c r="U267" s="8">
        <f>I267/T267</f>
        <v/>
      </c>
      <c r="V267" s="8">
        <f>SUMIF($E$2:$E$599,E267,$I$2:$I$599)/SUMIF($E$2:$E$599,E267,$T$2:$T$599)</f>
        <v/>
      </c>
      <c r="W267" s="8">
        <f>V267+1.645*SQRT(V267/T267)+1/(2*T267)</f>
        <v/>
      </c>
      <c r="X267" s="5">
        <f>U267/W267</f>
        <v/>
      </c>
      <c r="Y267">
        <f>IF(U267&gt;W267,"high",IF(U267&gt;V267,"medium","low"))</f>
        <v/>
      </c>
      <c r="Z267">
        <f>CHOOSE(MAX(IF(M267="high",2,IF(M267="medium",1,0)),IF(Y267="high",2,IF(Y267="medium",1,0)))+1,"low","medium","high")</f>
        <v/>
      </c>
      <c r="AA267">
        <f>IF(IF(M267="high",2,IF(M267="medium",1,0))=IF(Y267="high",2,IF(Y267="medium",1,0)),"SI และ Rate เท่ากัน",IF(IF(M267="high",2,IF(M267="medium",1,0))&gt;IF(Y267="high",2,IF(Y267="medium",1,0)),"SI","Rate"))</f>
        <v/>
      </c>
    </row>
    <row r="268">
      <c r="A268" t="inlineStr">
        <is>
          <t>zone_386</t>
        </is>
      </c>
      <c r="B268" t="inlineStr">
        <is>
          <t>บางปะอิน - แขวงรามอินทรา</t>
        </is>
      </c>
      <c r="C268" t="inlineStr">
        <is>
          <t>ปทุมธานี</t>
        </is>
      </c>
      <c r="D268" t="inlineStr">
        <is>
          <t>9</t>
        </is>
      </c>
      <c r="E268" t="inlineStr">
        <is>
          <t>ทล.</t>
        </is>
      </c>
      <c r="F268" t="inlineStr">
        <is>
          <t>24.1–24.2</t>
        </is>
      </c>
      <c r="G268" t="inlineStr">
        <is>
          <t>station_id 347 (ทล.9 กม.1+500)</t>
        </is>
      </c>
      <c r="H268" t="inlineStr">
        <is>
          <t>ทล. สถานีตัวแทนตอนควบคุม</t>
        </is>
      </c>
      <c r="I268" t="n">
        <v>3</v>
      </c>
      <c r="J268" t="n">
        <v>0</v>
      </c>
      <c r="K268" t="n">
        <v>3</v>
      </c>
      <c r="L268" s="5" t="n">
        <v>1</v>
      </c>
      <c r="M268" t="inlineStr">
        <is>
          <t>medium</t>
        </is>
      </c>
      <c r="N268" s="6" t="n">
        <v>146870</v>
      </c>
      <c r="O268" s="6" t="n">
        <v>165212</v>
      </c>
      <c r="P268" s="6" t="n">
        <v>160792</v>
      </c>
      <c r="Q268" s="6">
        <f>AVERAGE(N268:P268)</f>
        <v/>
      </c>
      <c r="R268" t="n">
        <v>3</v>
      </c>
      <c r="S268" t="n">
        <v>1</v>
      </c>
      <c r="T268" s="7">
        <f>365*R268*Q268*S268/1000000</f>
        <v/>
      </c>
      <c r="U268" s="8">
        <f>I268/T268</f>
        <v/>
      </c>
      <c r="V268" s="8">
        <f>SUMIF($E$2:$E$599,E268,$I$2:$I$599)/SUMIF($E$2:$E$599,E268,$T$2:$T$599)</f>
        <v/>
      </c>
      <c r="W268" s="8">
        <f>V268+1.645*SQRT(V268/T268)+1/(2*T268)</f>
        <v/>
      </c>
      <c r="X268" s="5">
        <f>U268/W268</f>
        <v/>
      </c>
      <c r="Y268">
        <f>IF(U268&gt;W268,"high",IF(U268&gt;V268,"medium","low"))</f>
        <v/>
      </c>
      <c r="Z268">
        <f>CHOOSE(MAX(IF(M268="high",2,IF(M268="medium",1,0)),IF(Y268="high",2,IF(Y268="medium",1,0)))+1,"low","medium","high")</f>
        <v/>
      </c>
      <c r="AA268">
        <f>IF(IF(M268="high",2,IF(M268="medium",1,0))=IF(Y268="high",2,IF(Y268="medium",1,0)),"SI และ Rate เท่ากัน",IF(IF(M268="high",2,IF(M268="medium",1,0))&gt;IF(Y268="high",2,IF(Y268="medium",1,0)),"SI","Rate"))</f>
        <v/>
      </c>
    </row>
    <row r="269">
      <c r="A269" t="inlineStr">
        <is>
          <t>zone_388</t>
        </is>
      </c>
      <c r="B269" t="inlineStr">
        <is>
          <t>บางปะอิน - แขวงรามอินทรา</t>
        </is>
      </c>
      <c r="C269" t="inlineStr">
        <is>
          <t>ปทุมธานี</t>
        </is>
      </c>
      <c r="D269" t="inlineStr">
        <is>
          <t>9</t>
        </is>
      </c>
      <c r="E269" t="inlineStr">
        <is>
          <t>ทล.</t>
        </is>
      </c>
      <c r="F269" t="inlineStr">
        <is>
          <t>20.3–20.4</t>
        </is>
      </c>
      <c r="G269" t="inlineStr">
        <is>
          <t>station_id 347 (ทล.9 กม.1+500)</t>
        </is>
      </c>
      <c r="H269" t="inlineStr">
        <is>
          <t>ทล. สถานีตัวแทนตอนควบคุม</t>
        </is>
      </c>
      <c r="I269" t="n">
        <v>3</v>
      </c>
      <c r="J269" t="n">
        <v>1</v>
      </c>
      <c r="K269" t="n">
        <v>3</v>
      </c>
      <c r="L269" s="5" t="n">
        <v>1.3333</v>
      </c>
      <c r="M269" t="inlineStr">
        <is>
          <t>medium</t>
        </is>
      </c>
      <c r="N269" s="6" t="n">
        <v>146870</v>
      </c>
      <c r="O269" s="6" t="n">
        <v>165212</v>
      </c>
      <c r="P269" s="6" t="n">
        <v>160792</v>
      </c>
      <c r="Q269" s="6">
        <f>AVERAGE(N269:P269)</f>
        <v/>
      </c>
      <c r="R269" t="n">
        <v>3</v>
      </c>
      <c r="S269" t="n">
        <v>1</v>
      </c>
      <c r="T269" s="7">
        <f>365*R269*Q269*S269/1000000</f>
        <v/>
      </c>
      <c r="U269" s="8">
        <f>I269/T269</f>
        <v/>
      </c>
      <c r="V269" s="8">
        <f>SUMIF($E$2:$E$599,E269,$I$2:$I$599)/SUMIF($E$2:$E$599,E269,$T$2:$T$599)</f>
        <v/>
      </c>
      <c r="W269" s="8">
        <f>V269+1.645*SQRT(V269/T269)+1/(2*T269)</f>
        <v/>
      </c>
      <c r="X269" s="5">
        <f>U269/W269</f>
        <v/>
      </c>
      <c r="Y269">
        <f>IF(U269&gt;W269,"high",IF(U269&gt;V269,"medium","low"))</f>
        <v/>
      </c>
      <c r="Z269">
        <f>CHOOSE(MAX(IF(M269="high",2,IF(M269="medium",1,0)),IF(Y269="high",2,IF(Y269="medium",1,0)))+1,"low","medium","high")</f>
        <v/>
      </c>
      <c r="AA269">
        <f>IF(IF(M269="high",2,IF(M269="medium",1,0))=IF(Y269="high",2,IF(Y269="medium",1,0)),"SI และ Rate เท่ากัน",IF(IF(M269="high",2,IF(M269="medium",1,0))&gt;IF(Y269="high",2,IF(Y269="medium",1,0)),"SI","Rate"))</f>
        <v/>
      </c>
    </row>
    <row r="270">
      <c r="A270" t="inlineStr">
        <is>
          <t>zone_395</t>
        </is>
      </c>
      <c r="B270" t="inlineStr">
        <is>
          <t>บางปะอิน - แขวงรามอินทรา</t>
        </is>
      </c>
      <c r="C270" t="inlineStr">
        <is>
          <t>ปทุมธานี</t>
        </is>
      </c>
      <c r="D270" t="inlineStr">
        <is>
          <t>9</t>
        </is>
      </c>
      <c r="E270" t="inlineStr">
        <is>
          <t>ทล.</t>
        </is>
      </c>
      <c r="F270" t="inlineStr">
        <is>
          <t>17.4–17.45</t>
        </is>
      </c>
      <c r="G270" t="inlineStr">
        <is>
          <t>station_id 347 (ทล.9 กม.1+500)</t>
        </is>
      </c>
      <c r="H270" t="inlineStr">
        <is>
          <t>ทล. สถานีตัวแทนตอนควบคุม</t>
        </is>
      </c>
      <c r="I270" t="n">
        <v>3</v>
      </c>
      <c r="J270" t="n">
        <v>0</v>
      </c>
      <c r="K270" t="n">
        <v>4</v>
      </c>
      <c r="L270" s="5" t="n">
        <v>1.3333</v>
      </c>
      <c r="M270" t="inlineStr">
        <is>
          <t>medium</t>
        </is>
      </c>
      <c r="N270" s="6" t="n">
        <v>146870</v>
      </c>
      <c r="O270" s="6" t="n">
        <v>165212</v>
      </c>
      <c r="P270" s="6" t="n">
        <v>160792</v>
      </c>
      <c r="Q270" s="6">
        <f>AVERAGE(N270:P270)</f>
        <v/>
      </c>
      <c r="R270" t="n">
        <v>3</v>
      </c>
      <c r="S270" t="n">
        <v>1</v>
      </c>
      <c r="T270" s="7">
        <f>365*R270*Q270*S270/1000000</f>
        <v/>
      </c>
      <c r="U270" s="8">
        <f>I270/T270</f>
        <v/>
      </c>
      <c r="V270" s="8">
        <f>SUMIF($E$2:$E$599,E270,$I$2:$I$599)/SUMIF($E$2:$E$599,E270,$T$2:$T$599)</f>
        <v/>
      </c>
      <c r="W270" s="8">
        <f>V270+1.645*SQRT(V270/T270)+1/(2*T270)</f>
        <v/>
      </c>
      <c r="X270" s="5">
        <f>U270/W270</f>
        <v/>
      </c>
      <c r="Y270">
        <f>IF(U270&gt;W270,"high",IF(U270&gt;V270,"medium","low"))</f>
        <v/>
      </c>
      <c r="Z270">
        <f>CHOOSE(MAX(IF(M270="high",2,IF(M270="medium",1,0)),IF(Y270="high",2,IF(Y270="medium",1,0)))+1,"low","medium","high")</f>
        <v/>
      </c>
      <c r="AA270">
        <f>IF(IF(M270="high",2,IF(M270="medium",1,0))=IF(Y270="high",2,IF(Y270="medium",1,0)),"SI และ Rate เท่ากัน",IF(IF(M270="high",2,IF(M270="medium",1,0))&gt;IF(Y270="high",2,IF(Y270="medium",1,0)),"SI","Rate"))</f>
        <v/>
      </c>
    </row>
    <row r="271">
      <c r="A271" t="inlineStr">
        <is>
          <t>zone_138</t>
        </is>
      </c>
      <c r="B271" t="inlineStr">
        <is>
          <t>พระประแดง - บางแค</t>
        </is>
      </c>
      <c r="C271" t="inlineStr">
        <is>
          <t>กรุงเทพมหานคร</t>
        </is>
      </c>
      <c r="D271" t="inlineStr">
        <is>
          <t>9</t>
        </is>
      </c>
      <c r="E271" t="inlineStr">
        <is>
          <t>ทล.</t>
        </is>
      </c>
      <c r="F271" t="inlineStr">
        <is>
          <t>19.609–19.8</t>
        </is>
      </c>
      <c r="G271" t="inlineStr">
        <is>
          <t>station_id 123 (ทล.9 กม.20+430)</t>
        </is>
      </c>
      <c r="H271" t="inlineStr">
        <is>
          <t>ทล. สถานีตัวแทนตอนควบคุม</t>
        </is>
      </c>
      <c r="I271" t="n">
        <v>3</v>
      </c>
      <c r="J271" t="n">
        <v>1</v>
      </c>
      <c r="K271" t="n">
        <v>2</v>
      </c>
      <c r="L271" s="5" t="n">
        <v>1</v>
      </c>
      <c r="M271" t="inlineStr">
        <is>
          <t>medium</t>
        </is>
      </c>
      <c r="N271" s="6" t="n">
        <v>161583</v>
      </c>
      <c r="O271" s="6" t="n">
        <v>167210</v>
      </c>
      <c r="P271" s="6" t="n">
        <v>164129</v>
      </c>
      <c r="Q271" s="6">
        <f>AVERAGE(N271:P271)</f>
        <v/>
      </c>
      <c r="R271" t="n">
        <v>3</v>
      </c>
      <c r="S271" t="n">
        <v>1</v>
      </c>
      <c r="T271" s="7">
        <f>365*R271*Q271*S271/1000000</f>
        <v/>
      </c>
      <c r="U271" s="8">
        <f>I271/T271</f>
        <v/>
      </c>
      <c r="V271" s="8">
        <f>SUMIF($E$2:$E$599,E271,$I$2:$I$599)/SUMIF($E$2:$E$599,E271,$T$2:$T$599)</f>
        <v/>
      </c>
      <c r="W271" s="8">
        <f>V271+1.645*SQRT(V271/T271)+1/(2*T271)</f>
        <v/>
      </c>
      <c r="X271" s="5">
        <f>U271/W271</f>
        <v/>
      </c>
      <c r="Y271">
        <f>IF(U271&gt;W271,"high",IF(U271&gt;V271,"medium","low"))</f>
        <v/>
      </c>
      <c r="Z271">
        <f>CHOOSE(MAX(IF(M271="high",2,IF(M271="medium",1,0)),IF(Y271="high",2,IF(Y271="medium",1,0)))+1,"low","medium","high")</f>
        <v/>
      </c>
      <c r="AA271">
        <f>IF(IF(M271="high",2,IF(M271="medium",1,0))=IF(Y271="high",2,IF(Y271="medium",1,0)),"SI และ Rate เท่ากัน",IF(IF(M271="high",2,IF(M271="medium",1,0))&gt;IF(Y271="high",2,IF(Y271="medium",1,0)),"SI","Rate"))</f>
        <v/>
      </c>
    </row>
    <row r="272">
      <c r="A272" t="inlineStr">
        <is>
          <t>zone_45</t>
        </is>
      </c>
      <c r="B272" t="inlineStr">
        <is>
          <t>ดาวคะนอง -  แสมดำ</t>
        </is>
      </c>
      <c r="C272" t="inlineStr">
        <is>
          <t>กรุงเทพมหานคร</t>
        </is>
      </c>
      <c r="D272" t="inlineStr">
        <is>
          <t>35</t>
        </is>
      </c>
      <c r="E272" t="inlineStr">
        <is>
          <t>ทล.</t>
        </is>
      </c>
      <c r="F272" t="inlineStr">
        <is>
          <t>1.842–2.2</t>
        </is>
      </c>
      <c r="G272" t="inlineStr">
        <is>
          <t>station_id 127 (ทล.35 กม.6+500)</t>
        </is>
      </c>
      <c r="H272" t="inlineStr">
        <is>
          <t>ทล. สถานีตัวแทนตอนควบคุม</t>
        </is>
      </c>
      <c r="I272" t="n">
        <v>4</v>
      </c>
      <c r="J272" t="n">
        <v>0</v>
      </c>
      <c r="K272" t="n">
        <v>5</v>
      </c>
      <c r="L272" s="5" t="n">
        <v>1.25</v>
      </c>
      <c r="M272" t="inlineStr">
        <is>
          <t>medium</t>
        </is>
      </c>
      <c r="N272" s="6" t="n">
        <v>256167</v>
      </c>
      <c r="O272" s="6" t="n">
        <v>260090</v>
      </c>
      <c r="P272" s="6" t="n">
        <v>259277</v>
      </c>
      <c r="Q272" s="6">
        <f>AVERAGE(N272:P272)</f>
        <v/>
      </c>
      <c r="R272" t="n">
        <v>3</v>
      </c>
      <c r="S272" t="n">
        <v>1</v>
      </c>
      <c r="T272" s="7">
        <f>365*R272*Q272*S272/1000000</f>
        <v/>
      </c>
      <c r="U272" s="8">
        <f>I272/T272</f>
        <v/>
      </c>
      <c r="V272" s="8">
        <f>SUMIF($E$2:$E$599,E272,$I$2:$I$599)/SUMIF($E$2:$E$599,E272,$T$2:$T$599)</f>
        <v/>
      </c>
      <c r="W272" s="8">
        <f>V272+1.645*SQRT(V272/T272)+1/(2*T272)</f>
        <v/>
      </c>
      <c r="X272" s="5">
        <f>U272/W272</f>
        <v/>
      </c>
      <c r="Y272">
        <f>IF(U272&gt;W272,"high",IF(U272&gt;V272,"medium","low"))</f>
        <v/>
      </c>
      <c r="Z272">
        <f>CHOOSE(MAX(IF(M272="high",2,IF(M272="medium",1,0)),IF(Y272="high",2,IF(Y272="medium",1,0)))+1,"low","medium","high")</f>
        <v/>
      </c>
      <c r="AA272">
        <f>IF(IF(M272="high",2,IF(M272="medium",1,0))=IF(Y272="high",2,IF(Y272="medium",1,0)),"SI และ Rate เท่ากัน",IF(IF(M272="high",2,IF(M272="medium",1,0))&gt;IF(Y272="high",2,IF(Y272="medium",1,0)),"SI","Rate"))</f>
        <v/>
      </c>
    </row>
    <row r="273">
      <c r="A273" t="inlineStr">
        <is>
          <t>zone_231</t>
        </is>
      </c>
      <c r="B273" t="inlineStr">
        <is>
          <t>บางนา - ทางเข้าท่าอากาศยานสุวรรณภูมิ</t>
        </is>
      </c>
      <c r="C273" t="inlineStr">
        <is>
          <t>กรุงเทพมหานคร</t>
        </is>
      </c>
      <c r="D273" t="inlineStr">
        <is>
          <t>34</t>
        </is>
      </c>
      <c r="E273" t="inlineStr">
        <is>
          <t>ทล.</t>
        </is>
      </c>
      <c r="F273" t="inlineStr">
        <is>
          <t>0.68–0.9</t>
        </is>
      </c>
      <c r="G273" t="inlineStr">
        <is>
          <t>station_id 92 (ทล.34 กม.3+904)</t>
        </is>
      </c>
      <c r="H273" t="inlineStr">
        <is>
          <t>ทล. สถานีตัวแทนตอนควบคุม</t>
        </is>
      </c>
      <c r="I273" t="n">
        <v>3</v>
      </c>
      <c r="J273" t="n">
        <v>0</v>
      </c>
      <c r="K273" t="n">
        <v>3</v>
      </c>
      <c r="L273" s="5" t="n">
        <v>1</v>
      </c>
      <c r="M273" t="inlineStr">
        <is>
          <t>medium</t>
        </is>
      </c>
      <c r="N273" s="6" t="n">
        <v>212917</v>
      </c>
      <c r="O273" s="6" t="n">
        <v>210163</v>
      </c>
      <c r="P273" s="6" t="n">
        <v>210050</v>
      </c>
      <c r="Q273" s="6">
        <f>AVERAGE(N273:P273)</f>
        <v/>
      </c>
      <c r="R273" t="n">
        <v>3</v>
      </c>
      <c r="S273" t="n">
        <v>1</v>
      </c>
      <c r="T273" s="7">
        <f>365*R273*Q273*S273/1000000</f>
        <v/>
      </c>
      <c r="U273" s="8">
        <f>I273/T273</f>
        <v/>
      </c>
      <c r="V273" s="8">
        <f>SUMIF($E$2:$E$599,E273,$I$2:$I$599)/SUMIF($E$2:$E$599,E273,$T$2:$T$599)</f>
        <v/>
      </c>
      <c r="W273" s="8">
        <f>V273+1.645*SQRT(V273/T273)+1/(2*T273)</f>
        <v/>
      </c>
      <c r="X273" s="5">
        <f>U273/W273</f>
        <v/>
      </c>
      <c r="Y273">
        <f>IF(U273&gt;W273,"high",IF(U273&gt;V273,"medium","low"))</f>
        <v/>
      </c>
      <c r="Z273">
        <f>CHOOSE(MAX(IF(M273="high",2,IF(M273="medium",1,0)),IF(Y273="high",2,IF(Y273="medium",1,0)))+1,"low","medium","high")</f>
        <v/>
      </c>
      <c r="AA273">
        <f>IF(IF(M273="high",2,IF(M273="medium",1,0))=IF(Y273="high",2,IF(Y273="medium",1,0)),"SI และ Rate เท่ากัน",IF(IF(M273="high",2,IF(M273="medium",1,0))&gt;IF(Y273="high",2,IF(Y273="medium",1,0)),"SI","Rate"))</f>
        <v/>
      </c>
    </row>
    <row r="274">
      <c r="A274" t="inlineStr">
        <is>
          <t>zone_419</t>
        </is>
      </c>
      <c r="B274" t="inlineStr">
        <is>
          <t>ต่างระดับคลองหลวง - ประตูน้ำพระอินทร์</t>
        </is>
      </c>
      <c r="C274" t="inlineStr">
        <is>
          <t>ปทุมธานี</t>
        </is>
      </c>
      <c r="D274" t="inlineStr">
        <is>
          <t>1</t>
        </is>
      </c>
      <c r="E274" t="inlineStr">
        <is>
          <t>ทล.</t>
        </is>
      </c>
      <c r="F274" t="inlineStr">
        <is>
          <t>43.05–43.2</t>
        </is>
      </c>
      <c r="G274" t="inlineStr">
        <is>
          <t>station_id 72 (ทล.1 กม.48+100)</t>
        </is>
      </c>
      <c r="H274" t="inlineStr">
        <is>
          <t>ทล. สถานีตัวแทนตอนควบคุม</t>
        </is>
      </c>
      <c r="I274" t="n">
        <v>3</v>
      </c>
      <c r="J274" t="n">
        <v>2</v>
      </c>
      <c r="K274" t="n">
        <v>1</v>
      </c>
      <c r="L274" s="5" t="n">
        <v>1</v>
      </c>
      <c r="M274" t="inlineStr">
        <is>
          <t>medium</t>
        </is>
      </c>
      <c r="N274" s="6" t="n">
        <v>222582</v>
      </c>
      <c r="O274" s="6" t="n">
        <v>231731</v>
      </c>
      <c r="P274" s="6" t="n">
        <v>231957</v>
      </c>
      <c r="Q274" s="6">
        <f>AVERAGE(N274:P274)</f>
        <v/>
      </c>
      <c r="R274" t="n">
        <v>3</v>
      </c>
      <c r="S274" t="n">
        <v>1</v>
      </c>
      <c r="T274" s="7">
        <f>365*R274*Q274*S274/1000000</f>
        <v/>
      </c>
      <c r="U274" s="8">
        <f>I274/T274</f>
        <v/>
      </c>
      <c r="V274" s="8">
        <f>SUMIF($E$2:$E$599,E274,$I$2:$I$599)/SUMIF($E$2:$E$599,E274,$T$2:$T$599)</f>
        <v/>
      </c>
      <c r="W274" s="8">
        <f>V274+1.645*SQRT(V274/T274)+1/(2*T274)</f>
        <v/>
      </c>
      <c r="X274" s="5">
        <f>U274/W274</f>
        <v/>
      </c>
      <c r="Y274">
        <f>IF(U274&gt;W274,"high",IF(U274&gt;V274,"medium","low"))</f>
        <v/>
      </c>
      <c r="Z274">
        <f>CHOOSE(MAX(IF(M274="high",2,IF(M274="medium",1,0)),IF(Y274="high",2,IF(Y274="medium",1,0)))+1,"low","medium","high")</f>
        <v/>
      </c>
      <c r="AA274">
        <f>IF(IF(M274="high",2,IF(M274="medium",1,0))=IF(Y274="high",2,IF(Y274="medium",1,0)),"SI และ Rate เท่ากัน",IF(IF(M274="high",2,IF(M274="medium",1,0))&gt;IF(Y274="high",2,IF(Y274="medium",1,0)),"SI","Rate"))</f>
        <v/>
      </c>
    </row>
    <row r="275">
      <c r="A275" t="inlineStr">
        <is>
          <t>zone_456</t>
        </is>
      </c>
      <c r="B275" t="inlineStr">
        <is>
          <t>แขวงคลองสองต้นนุ่น - พิมพา</t>
        </is>
      </c>
      <c r="C275" t="inlineStr">
        <is>
          <t>สมุทรปราการ</t>
        </is>
      </c>
      <c r="D275" t="inlineStr">
        <is>
          <t>7</t>
        </is>
      </c>
      <c r="E275" t="inlineStr">
        <is>
          <t>ทล.</t>
        </is>
      </c>
      <c r="F275" t="inlineStr">
        <is>
          <t>34.7–34.9</t>
        </is>
      </c>
      <c r="G275" t="inlineStr">
        <is>
          <t>station_id 345 (ทล.7 กม.17+000)</t>
        </is>
      </c>
      <c r="H275" t="inlineStr">
        <is>
          <t>ทล. สถานีตัวแทนตอนควบคุม</t>
        </is>
      </c>
      <c r="I275" t="n">
        <v>3</v>
      </c>
      <c r="J275" t="n">
        <v>0</v>
      </c>
      <c r="K275" t="n">
        <v>3</v>
      </c>
      <c r="L275" s="5" t="n">
        <v>1</v>
      </c>
      <c r="M275" t="inlineStr">
        <is>
          <t>medium</t>
        </is>
      </c>
      <c r="N275" s="6" t="n">
        <v>220901</v>
      </c>
      <c r="O275" s="6" t="n">
        <v>242192</v>
      </c>
      <c r="P275" s="6" t="n">
        <v>262343</v>
      </c>
      <c r="Q275" s="6">
        <f>AVERAGE(N275:P275)</f>
        <v/>
      </c>
      <c r="R275" t="n">
        <v>3</v>
      </c>
      <c r="S275" t="n">
        <v>1</v>
      </c>
      <c r="T275" s="7">
        <f>365*R275*Q275*S275/1000000</f>
        <v/>
      </c>
      <c r="U275" s="8">
        <f>I275/T275</f>
        <v/>
      </c>
      <c r="V275" s="8">
        <f>SUMIF($E$2:$E$599,E275,$I$2:$I$599)/SUMIF($E$2:$E$599,E275,$T$2:$T$599)</f>
        <v/>
      </c>
      <c r="W275" s="8">
        <f>V275+1.645*SQRT(V275/T275)+1/(2*T275)</f>
        <v/>
      </c>
      <c r="X275" s="5">
        <f>U275/W275</f>
        <v/>
      </c>
      <c r="Y275">
        <f>IF(U275&gt;W275,"high",IF(U275&gt;V275,"medium","low"))</f>
        <v/>
      </c>
      <c r="Z275">
        <f>CHOOSE(MAX(IF(M275="high",2,IF(M275="medium",1,0)),IF(Y275="high",2,IF(Y275="medium",1,0)))+1,"low","medium","high")</f>
        <v/>
      </c>
      <c r="AA275">
        <f>IF(IF(M275="high",2,IF(M275="medium",1,0))=IF(Y275="high",2,IF(Y275="medium",1,0)),"SI และ Rate เท่ากัน",IF(IF(M275="high",2,IF(M275="medium",1,0))&gt;IF(Y275="high",2,IF(Y275="medium",1,0)),"SI","Rate"))</f>
        <v/>
      </c>
    </row>
    <row r="276">
      <c r="A276" t="inlineStr">
        <is>
          <t>zone_506</t>
        </is>
      </c>
      <c r="B276" t="inlineStr">
        <is>
          <t>ทางเข้าท่าอากาศยานสุวรรณภูมิ - บางวัว</t>
        </is>
      </c>
      <c r="C276" t="inlineStr">
        <is>
          <t>สมุทรปราการ</t>
        </is>
      </c>
      <c r="D276" t="inlineStr">
        <is>
          <t>34</t>
        </is>
      </c>
      <c r="E276" t="inlineStr">
        <is>
          <t>ทล.</t>
        </is>
      </c>
      <c r="F276" t="inlineStr">
        <is>
          <t>19–19.4</t>
        </is>
      </c>
      <c r="G276" t="inlineStr">
        <is>
          <t>station_id 95 (ทล.34 กม.15+100)</t>
        </is>
      </c>
      <c r="H276" t="inlineStr">
        <is>
          <t>ทล. สถานีตัวแทนตอนควบคุม</t>
        </is>
      </c>
      <c r="I276" t="n">
        <v>3</v>
      </c>
      <c r="J276" t="n">
        <v>1</v>
      </c>
      <c r="K276" t="n">
        <v>3</v>
      </c>
      <c r="L276" s="5" t="n">
        <v>1.3333</v>
      </c>
      <c r="M276" t="inlineStr">
        <is>
          <t>medium</t>
        </is>
      </c>
      <c r="N276" s="6" t="n">
        <v>226283</v>
      </c>
      <c r="O276" s="6" t="n">
        <v>252612</v>
      </c>
      <c r="P276" s="6" t="n">
        <v>250222</v>
      </c>
      <c r="Q276" s="6">
        <f>AVERAGE(N276:P276)</f>
        <v/>
      </c>
      <c r="R276" t="n">
        <v>3</v>
      </c>
      <c r="S276" t="n">
        <v>1</v>
      </c>
      <c r="T276" s="7">
        <f>365*R276*Q276*S276/1000000</f>
        <v/>
      </c>
      <c r="U276" s="8">
        <f>I276/T276</f>
        <v/>
      </c>
      <c r="V276" s="8">
        <f>SUMIF($E$2:$E$599,E276,$I$2:$I$599)/SUMIF($E$2:$E$599,E276,$T$2:$T$599)</f>
        <v/>
      </c>
      <c r="W276" s="8">
        <f>V276+1.645*SQRT(V276/T276)+1/(2*T276)</f>
        <v/>
      </c>
      <c r="X276" s="5">
        <f>U276/W276</f>
        <v/>
      </c>
      <c r="Y276">
        <f>IF(U276&gt;W276,"high",IF(U276&gt;V276,"medium","low"))</f>
        <v/>
      </c>
      <c r="Z276">
        <f>CHOOSE(MAX(IF(M276="high",2,IF(M276="medium",1,0)),IF(Y276="high",2,IF(Y276="medium",1,0)))+1,"low","medium","high")</f>
        <v/>
      </c>
      <c r="AA276">
        <f>IF(IF(M276="high",2,IF(M276="medium",1,0))=IF(Y276="high",2,IF(Y276="medium",1,0)),"SI และ Rate เท่ากัน",IF(IF(M276="high",2,IF(M276="medium",1,0))&gt;IF(Y276="high",2,IF(Y276="medium",1,0)),"SI","Rate"))</f>
        <v/>
      </c>
    </row>
    <row r="277">
      <c r="A277" t="inlineStr">
        <is>
          <t>zone_507</t>
        </is>
      </c>
      <c r="B277" t="inlineStr">
        <is>
          <t>ทางเข้าท่าอากาศยานสุวรรณภูมิ - บางวัว</t>
        </is>
      </c>
      <c r="C277" t="inlineStr">
        <is>
          <t>สมุทรปราการ</t>
        </is>
      </c>
      <c r="D277" t="inlineStr">
        <is>
          <t>34</t>
        </is>
      </c>
      <c r="E277" t="inlineStr">
        <is>
          <t>ทล.</t>
        </is>
      </c>
      <c r="F277" t="inlineStr">
        <is>
          <t>20–20.2</t>
        </is>
      </c>
      <c r="G277" t="inlineStr">
        <is>
          <t>station_id 95 (ทล.34 กม.15+100)</t>
        </is>
      </c>
      <c r="H277" t="inlineStr">
        <is>
          <t>ทล. สถานีตัวแทนตอนควบคุม</t>
        </is>
      </c>
      <c r="I277" t="n">
        <v>3</v>
      </c>
      <c r="J277" t="n">
        <v>1</v>
      </c>
      <c r="K277" t="n">
        <v>2</v>
      </c>
      <c r="L277" s="5" t="n">
        <v>1</v>
      </c>
      <c r="M277" t="inlineStr">
        <is>
          <t>medium</t>
        </is>
      </c>
      <c r="N277" s="6" t="n">
        <v>226283</v>
      </c>
      <c r="O277" s="6" t="n">
        <v>252612</v>
      </c>
      <c r="P277" s="6" t="n">
        <v>250222</v>
      </c>
      <c r="Q277" s="6">
        <f>AVERAGE(N277:P277)</f>
        <v/>
      </c>
      <c r="R277" t="n">
        <v>3</v>
      </c>
      <c r="S277" t="n">
        <v>1</v>
      </c>
      <c r="T277" s="7">
        <f>365*R277*Q277*S277/1000000</f>
        <v/>
      </c>
      <c r="U277" s="8">
        <f>I277/T277</f>
        <v/>
      </c>
      <c r="V277" s="8">
        <f>SUMIF($E$2:$E$599,E277,$I$2:$I$599)/SUMIF($E$2:$E$599,E277,$T$2:$T$599)</f>
        <v/>
      </c>
      <c r="W277" s="8">
        <f>V277+1.645*SQRT(V277/T277)+1/(2*T277)</f>
        <v/>
      </c>
      <c r="X277" s="5">
        <f>U277/W277</f>
        <v/>
      </c>
      <c r="Y277">
        <f>IF(U277&gt;W277,"high",IF(U277&gt;V277,"medium","low"))</f>
        <v/>
      </c>
      <c r="Z277">
        <f>CHOOSE(MAX(IF(M277="high",2,IF(M277="medium",1,0)),IF(Y277="high",2,IF(Y277="medium",1,0)))+1,"low","medium","high")</f>
        <v/>
      </c>
      <c r="AA277">
        <f>IF(IF(M277="high",2,IF(M277="medium",1,0))=IF(Y277="high",2,IF(Y277="medium",1,0)),"SI และ Rate เท่ากัน",IF(IF(M277="high",2,IF(M277="medium",1,0))&gt;IF(Y277="high",2,IF(Y277="medium",1,0)),"SI","Rate"))</f>
        <v/>
      </c>
    </row>
    <row r="278">
      <c r="A278" t="inlineStr">
        <is>
          <t>zone_40</t>
        </is>
      </c>
      <c r="B278" t="inlineStr">
        <is>
          <t>ดาวคะนอง -  แสมดำ</t>
        </is>
      </c>
      <c r="C278" t="inlineStr">
        <is>
          <t>กรุงเทพมหานคร</t>
        </is>
      </c>
      <c r="D278" t="inlineStr">
        <is>
          <t>35</t>
        </is>
      </c>
      <c r="E278" t="inlineStr">
        <is>
          <t>ทล.</t>
        </is>
      </c>
      <c r="F278" t="inlineStr">
        <is>
          <t>11.5–11.7</t>
        </is>
      </c>
      <c r="G278" t="inlineStr">
        <is>
          <t>station_id 127 (ทล.35 กม.6+500)</t>
        </is>
      </c>
      <c r="H278" t="inlineStr">
        <is>
          <t>ทล. สถานีตัวแทนตอนควบคุม</t>
        </is>
      </c>
      <c r="I278" t="n">
        <v>3</v>
      </c>
      <c r="J278" t="n">
        <v>0</v>
      </c>
      <c r="K278" t="n">
        <v>4</v>
      </c>
      <c r="L278" s="5" t="n">
        <v>1.3333</v>
      </c>
      <c r="M278" t="inlineStr">
        <is>
          <t>medium</t>
        </is>
      </c>
      <c r="N278" s="6" t="n">
        <v>256167</v>
      </c>
      <c r="O278" s="6" t="n">
        <v>260090</v>
      </c>
      <c r="P278" s="6" t="n">
        <v>259277</v>
      </c>
      <c r="Q278" s="6">
        <f>AVERAGE(N278:P278)</f>
        <v/>
      </c>
      <c r="R278" t="n">
        <v>3</v>
      </c>
      <c r="S278" t="n">
        <v>1</v>
      </c>
      <c r="T278" s="7">
        <f>365*R278*Q278*S278/1000000</f>
        <v/>
      </c>
      <c r="U278" s="8">
        <f>I278/T278</f>
        <v/>
      </c>
      <c r="V278" s="8">
        <f>SUMIF($E$2:$E$599,E278,$I$2:$I$599)/SUMIF($E$2:$E$599,E278,$T$2:$T$599)</f>
        <v/>
      </c>
      <c r="W278" s="8">
        <f>V278+1.645*SQRT(V278/T278)+1/(2*T278)</f>
        <v/>
      </c>
      <c r="X278" s="5">
        <f>U278/W278</f>
        <v/>
      </c>
      <c r="Y278">
        <f>IF(U278&gt;W278,"high",IF(U278&gt;V278,"medium","low"))</f>
        <v/>
      </c>
      <c r="Z278">
        <f>CHOOSE(MAX(IF(M278="high",2,IF(M278="medium",1,0)),IF(Y278="high",2,IF(Y278="medium",1,0)))+1,"low","medium","high")</f>
        <v/>
      </c>
      <c r="AA278">
        <f>IF(IF(M278="high",2,IF(M278="medium",1,0))=IF(Y278="high",2,IF(Y278="medium",1,0)),"SI และ Rate เท่ากัน",IF(IF(M278="high",2,IF(M278="medium",1,0))&gt;IF(Y278="high",2,IF(Y278="medium",1,0)),"SI","Rate"))</f>
        <v/>
      </c>
    </row>
    <row r="279">
      <c r="A279" t="inlineStr">
        <is>
          <t>zone_52</t>
        </is>
      </c>
      <c r="B279" t="inlineStr">
        <is>
          <t>ดาวคะนอง - แสมดำ</t>
        </is>
      </c>
      <c r="C279" t="inlineStr">
        <is>
          <t>กรุงเทพมหานคร</t>
        </is>
      </c>
      <c r="D279" t="inlineStr">
        <is>
          <t>35</t>
        </is>
      </c>
      <c r="E279" t="inlineStr">
        <is>
          <t>ทล.</t>
        </is>
      </c>
      <c r="F279" t="inlineStr">
        <is>
          <t>12.7–12.755</t>
        </is>
      </c>
      <c r="G279" t="inlineStr">
        <is>
          <t>station_id 127 (ทล.35 กม.6+500)</t>
        </is>
      </c>
      <c r="H279" t="inlineStr">
        <is>
          <t>ทล. สถานีตัวแทนตอนควบคุม</t>
        </is>
      </c>
      <c r="I279" t="n">
        <v>3</v>
      </c>
      <c r="J279" t="n">
        <v>0</v>
      </c>
      <c r="K279" t="n">
        <v>3</v>
      </c>
      <c r="L279" s="5" t="n">
        <v>1</v>
      </c>
      <c r="M279" t="inlineStr">
        <is>
          <t>medium</t>
        </is>
      </c>
      <c r="N279" s="6" t="n">
        <v>256167</v>
      </c>
      <c r="O279" s="6" t="n">
        <v>260090</v>
      </c>
      <c r="P279" s="6" t="n">
        <v>259277</v>
      </c>
      <c r="Q279" s="6">
        <f>AVERAGE(N279:P279)</f>
        <v/>
      </c>
      <c r="R279" t="n">
        <v>3</v>
      </c>
      <c r="S279" t="n">
        <v>1</v>
      </c>
      <c r="T279" s="7">
        <f>365*R279*Q279*S279/1000000</f>
        <v/>
      </c>
      <c r="U279" s="8">
        <f>I279/T279</f>
        <v/>
      </c>
      <c r="V279" s="8">
        <f>SUMIF($E$2:$E$599,E279,$I$2:$I$599)/SUMIF($E$2:$E$599,E279,$T$2:$T$599)</f>
        <v/>
      </c>
      <c r="W279" s="8">
        <f>V279+1.645*SQRT(V279/T279)+1/(2*T279)</f>
        <v/>
      </c>
      <c r="X279" s="5">
        <f>U279/W279</f>
        <v/>
      </c>
      <c r="Y279">
        <f>IF(U279&gt;W279,"high",IF(U279&gt;V279,"medium","low"))</f>
        <v/>
      </c>
      <c r="Z279">
        <f>CHOOSE(MAX(IF(M279="high",2,IF(M279="medium",1,0)),IF(Y279="high",2,IF(Y279="medium",1,0)))+1,"low","medium","high")</f>
        <v/>
      </c>
      <c r="AA279">
        <f>IF(IF(M279="high",2,IF(M279="medium",1,0))=IF(Y279="high",2,IF(Y279="medium",1,0)),"SI และ Rate เท่ากัน",IF(IF(M279="high",2,IF(M279="medium",1,0))&gt;IF(Y279="high",2,IF(Y279="medium",1,0)),"SI","Rate"))</f>
        <v/>
      </c>
    </row>
    <row r="280">
      <c r="A280" t="inlineStr">
        <is>
          <t>zone_146</t>
        </is>
      </c>
      <c r="B280" t="inlineStr">
        <is>
          <t>แขวงคลองสองต้นนุ่น - พิมพา</t>
        </is>
      </c>
      <c r="C280" t="inlineStr">
        <is>
          <t>สมุทรปราการ</t>
        </is>
      </c>
      <c r="D280" t="inlineStr">
        <is>
          <t>7</t>
        </is>
      </c>
      <c r="E280" t="inlineStr">
        <is>
          <t>ทล.</t>
        </is>
      </c>
      <c r="F280" t="inlineStr">
        <is>
          <t>22.9–24.2</t>
        </is>
      </c>
      <c r="G280" t="inlineStr">
        <is>
          <t>station_id 345 (ทล.7 กม.17+000)</t>
        </is>
      </c>
      <c r="H280" t="inlineStr">
        <is>
          <t>ทล. สถานีตัวแทนตอนควบคุม</t>
        </is>
      </c>
      <c r="I280" t="n">
        <v>34</v>
      </c>
      <c r="J280" t="n">
        <v>1</v>
      </c>
      <c r="K280" t="n">
        <v>11</v>
      </c>
      <c r="L280" s="5" t="n">
        <v>0.3529</v>
      </c>
      <c r="M280" t="inlineStr">
        <is>
          <t>low</t>
        </is>
      </c>
      <c r="N280" s="6" t="n">
        <v>220901</v>
      </c>
      <c r="O280" s="6" t="n">
        <v>242192</v>
      </c>
      <c r="P280" s="6" t="n">
        <v>262343</v>
      </c>
      <c r="Q280" s="6">
        <f>AVERAGE(N280:P280)</f>
        <v/>
      </c>
      <c r="R280" t="n">
        <v>3</v>
      </c>
      <c r="S280" t="n">
        <v>1</v>
      </c>
      <c r="T280" s="7">
        <f>365*R280*Q280*S280/1000000</f>
        <v/>
      </c>
      <c r="U280" s="8">
        <f>I280/T280</f>
        <v/>
      </c>
      <c r="V280" s="8">
        <f>SUMIF($E$2:$E$599,E280,$I$2:$I$599)/SUMIF($E$2:$E$599,E280,$T$2:$T$599)</f>
        <v/>
      </c>
      <c r="W280" s="8">
        <f>V280+1.645*SQRT(V280/T280)+1/(2*T280)</f>
        <v/>
      </c>
      <c r="X280" s="5">
        <f>U280/W280</f>
        <v/>
      </c>
      <c r="Y280">
        <f>IF(U280&gt;W280,"high",IF(U280&gt;V280,"medium","low"))</f>
        <v/>
      </c>
      <c r="Z280">
        <f>CHOOSE(MAX(IF(M280="high",2,IF(M280="medium",1,0)),IF(Y280="high",2,IF(Y280="medium",1,0)))+1,"low","medium","high")</f>
        <v/>
      </c>
      <c r="AA280">
        <f>IF(IF(M280="high",2,IF(M280="medium",1,0))=IF(Y280="high",2,IF(Y280="medium",1,0)),"SI และ Rate เท่ากัน",IF(IF(M280="high",2,IF(M280="medium",1,0))&gt;IF(Y280="high",2,IF(Y280="medium",1,0)),"SI","Rate"))</f>
        <v/>
      </c>
    </row>
    <row r="281">
      <c r="A281" t="inlineStr">
        <is>
          <t>zone_93</t>
        </is>
      </c>
      <c r="B281" t="inlineStr">
        <is>
          <t>แขวงรามอินทรา - บางพลี</t>
        </is>
      </c>
      <c r="C281" t="inlineStr">
        <is>
          <t>กรุงเทพมหานคร</t>
        </is>
      </c>
      <c r="D281" t="inlineStr">
        <is>
          <t>9</t>
        </is>
      </c>
      <c r="E281" t="inlineStr">
        <is>
          <t>ทล.</t>
        </is>
      </c>
      <c r="F281" t="inlineStr">
        <is>
          <t>54–55.8</t>
        </is>
      </c>
      <c r="G281" t="inlineStr">
        <is>
          <t>station_id 348 (ทล.9 กม.59+500)</t>
        </is>
      </c>
      <c r="H281" t="inlineStr">
        <is>
          <t>ทล. สถานีตัวแทนตอนควบคุม</t>
        </is>
      </c>
      <c r="I281" t="n">
        <v>17</v>
      </c>
      <c r="J281" t="n">
        <v>0</v>
      </c>
      <c r="K281" t="n">
        <v>6</v>
      </c>
      <c r="L281" s="5" t="n">
        <v>0.3529</v>
      </c>
      <c r="M281" t="inlineStr">
        <is>
          <t>low</t>
        </is>
      </c>
      <c r="N281" s="6" t="n">
        <v>110915</v>
      </c>
      <c r="O281" s="6" t="n">
        <v>117953</v>
      </c>
      <c r="P281" s="6" t="n">
        <v>117813</v>
      </c>
      <c r="Q281" s="6">
        <f>AVERAGE(N281:P281)</f>
        <v/>
      </c>
      <c r="R281" t="n">
        <v>3</v>
      </c>
      <c r="S281" t="n">
        <v>1</v>
      </c>
      <c r="T281" s="7">
        <f>365*R281*Q281*S281/1000000</f>
        <v/>
      </c>
      <c r="U281" s="8">
        <f>I281/T281</f>
        <v/>
      </c>
      <c r="V281" s="8">
        <f>SUMIF($E$2:$E$599,E281,$I$2:$I$599)/SUMIF($E$2:$E$599,E281,$T$2:$T$599)</f>
        <v/>
      </c>
      <c r="W281" s="8">
        <f>V281+1.645*SQRT(V281/T281)+1/(2*T281)</f>
        <v/>
      </c>
      <c r="X281" s="5">
        <f>U281/W281</f>
        <v/>
      </c>
      <c r="Y281">
        <f>IF(U281&gt;W281,"high",IF(U281&gt;V281,"medium","low"))</f>
        <v/>
      </c>
      <c r="Z281">
        <f>CHOOSE(MAX(IF(M281="high",2,IF(M281="medium",1,0)),IF(Y281="high",2,IF(Y281="medium",1,0)))+1,"low","medium","high")</f>
        <v/>
      </c>
      <c r="AA281">
        <f>IF(IF(M281="high",2,IF(M281="medium",1,0))=IF(Y281="high",2,IF(Y281="medium",1,0)),"SI และ Rate เท่ากัน",IF(IF(M281="high",2,IF(M281="medium",1,0))&gt;IF(Y281="high",2,IF(Y281="medium",1,0)),"SI","Rate"))</f>
        <v/>
      </c>
    </row>
    <row r="282">
      <c r="A282" t="inlineStr">
        <is>
          <t>zone_60</t>
        </is>
      </c>
      <c r="B282" t="inlineStr">
        <is>
          <t>ดาวคะนอง - แสมดำ</t>
        </is>
      </c>
      <c r="C282" t="inlineStr">
        <is>
          <t>กรุงเทพมหานคร</t>
        </is>
      </c>
      <c r="D282" t="inlineStr">
        <is>
          <t>35</t>
        </is>
      </c>
      <c r="E282" t="inlineStr">
        <is>
          <t>ทล.</t>
        </is>
      </c>
      <c r="F282" t="inlineStr">
        <is>
          <t>12–13.4</t>
        </is>
      </c>
      <c r="G282" t="inlineStr">
        <is>
          <t>station_id 127 (ทล.35 กม.6+500)</t>
        </is>
      </c>
      <c r="H282" t="inlineStr">
        <is>
          <t>ทล. สถานีตัวแทนตอนควบคุม</t>
        </is>
      </c>
      <c r="I282" t="n">
        <v>34</v>
      </c>
      <c r="J282" t="n">
        <v>2</v>
      </c>
      <c r="K282" t="n">
        <v>14</v>
      </c>
      <c r="L282" s="5" t="n">
        <v>0.4706</v>
      </c>
      <c r="M282" t="inlineStr">
        <is>
          <t>low</t>
        </is>
      </c>
      <c r="N282" s="6" t="n">
        <v>256167</v>
      </c>
      <c r="O282" s="6" t="n">
        <v>260090</v>
      </c>
      <c r="P282" s="6" t="n">
        <v>259277</v>
      </c>
      <c r="Q282" s="6">
        <f>AVERAGE(N282:P282)</f>
        <v/>
      </c>
      <c r="R282" t="n">
        <v>3</v>
      </c>
      <c r="S282" t="n">
        <v>1</v>
      </c>
      <c r="T282" s="7">
        <f>365*R282*Q282*S282/1000000</f>
        <v/>
      </c>
      <c r="U282" s="8">
        <f>I282/T282</f>
        <v/>
      </c>
      <c r="V282" s="8">
        <f>SUMIF($E$2:$E$599,E282,$I$2:$I$599)/SUMIF($E$2:$E$599,E282,$T$2:$T$599)</f>
        <v/>
      </c>
      <c r="W282" s="8">
        <f>V282+1.645*SQRT(V282/T282)+1/(2*T282)</f>
        <v/>
      </c>
      <c r="X282" s="5">
        <f>U282/W282</f>
        <v/>
      </c>
      <c r="Y282">
        <f>IF(U282&gt;W282,"high",IF(U282&gt;V282,"medium","low"))</f>
        <v/>
      </c>
      <c r="Z282">
        <f>CHOOSE(MAX(IF(M282="high",2,IF(M282="medium",1,0)),IF(Y282="high",2,IF(Y282="medium",1,0)))+1,"low","medium","high")</f>
        <v/>
      </c>
      <c r="AA282">
        <f>IF(IF(M282="high",2,IF(M282="medium",1,0))=IF(Y282="high",2,IF(Y282="medium",1,0)),"SI และ Rate เท่ากัน",IF(IF(M282="high",2,IF(M282="medium",1,0))&gt;IF(Y282="high",2,IF(Y282="medium",1,0)),"SI","Rate"))</f>
        <v/>
      </c>
    </row>
    <row r="283">
      <c r="A283" t="inlineStr">
        <is>
          <t>zone_450</t>
        </is>
      </c>
      <c r="B283" t="inlineStr">
        <is>
          <t>แขวงคลองสองต้นนุ่น - พิมพา</t>
        </is>
      </c>
      <c r="C283" t="inlineStr">
        <is>
          <t>สมุทรปราการ</t>
        </is>
      </c>
      <c r="D283" t="inlineStr">
        <is>
          <t>7</t>
        </is>
      </c>
      <c r="E283" t="inlineStr">
        <is>
          <t>ทล.</t>
        </is>
      </c>
      <c r="F283" t="inlineStr">
        <is>
          <t>32.1–34.2</t>
        </is>
      </c>
      <c r="G283" t="inlineStr">
        <is>
          <t>station_id 345 (ทล.7 กม.17+000)</t>
        </is>
      </c>
      <c r="H283" t="inlineStr">
        <is>
          <t>ทล. สถานีตัวแทนตอนควบคุม</t>
        </is>
      </c>
      <c r="I283" t="n">
        <v>32</v>
      </c>
      <c r="J283" t="n">
        <v>0</v>
      </c>
      <c r="K283" t="n">
        <v>12</v>
      </c>
      <c r="L283" s="5" t="n">
        <v>0.375</v>
      </c>
      <c r="M283" t="inlineStr">
        <is>
          <t>low</t>
        </is>
      </c>
      <c r="N283" s="6" t="n">
        <v>220901</v>
      </c>
      <c r="O283" s="6" t="n">
        <v>242192</v>
      </c>
      <c r="P283" s="6" t="n">
        <v>262343</v>
      </c>
      <c r="Q283" s="6">
        <f>AVERAGE(N283:P283)</f>
        <v/>
      </c>
      <c r="R283" t="n">
        <v>3</v>
      </c>
      <c r="S283" t="n">
        <v>1</v>
      </c>
      <c r="T283" s="7">
        <f>365*R283*Q283*S283/1000000</f>
        <v/>
      </c>
      <c r="U283" s="8">
        <f>I283/T283</f>
        <v/>
      </c>
      <c r="V283" s="8">
        <f>SUMIF($E$2:$E$599,E283,$I$2:$I$599)/SUMIF($E$2:$E$599,E283,$T$2:$T$599)</f>
        <v/>
      </c>
      <c r="W283" s="8">
        <f>V283+1.645*SQRT(V283/T283)+1/(2*T283)</f>
        <v/>
      </c>
      <c r="X283" s="5">
        <f>U283/W283</f>
        <v/>
      </c>
      <c r="Y283">
        <f>IF(U283&gt;W283,"high",IF(U283&gt;V283,"medium","low"))</f>
        <v/>
      </c>
      <c r="Z283">
        <f>CHOOSE(MAX(IF(M283="high",2,IF(M283="medium",1,0)),IF(Y283="high",2,IF(Y283="medium",1,0)))+1,"low","medium","high")</f>
        <v/>
      </c>
      <c r="AA283">
        <f>IF(IF(M283="high",2,IF(M283="medium",1,0))=IF(Y283="high",2,IF(Y283="medium",1,0)),"SI และ Rate เท่ากัน",IF(IF(M283="high",2,IF(M283="medium",1,0))&gt;IF(Y283="high",2,IF(Y283="medium",1,0)),"SI","Rate"))</f>
        <v/>
      </c>
    </row>
    <row r="284">
      <c r="A284" t="inlineStr">
        <is>
          <t>zone_496</t>
        </is>
      </c>
      <c r="B284" t="inlineStr">
        <is>
          <t>แขวงคลองสองต้นนุ่น - พิมพา</t>
        </is>
      </c>
      <c r="C284" t="inlineStr">
        <is>
          <t>สมุทรปราการ</t>
        </is>
      </c>
      <c r="D284" t="inlineStr">
        <is>
          <t>7</t>
        </is>
      </c>
      <c r="E284" t="inlineStr">
        <is>
          <t>ทล.</t>
        </is>
      </c>
      <c r="F284" t="inlineStr">
        <is>
          <t>36.2–38.6</t>
        </is>
      </c>
      <c r="G284" t="inlineStr">
        <is>
          <t>station_id 345 (ทล.7 กม.17+000)</t>
        </is>
      </c>
      <c r="H284" t="inlineStr">
        <is>
          <t>ทล. สถานีตัวแทนตอนควบคุม</t>
        </is>
      </c>
      <c r="I284" t="n">
        <v>32</v>
      </c>
      <c r="J284" t="n">
        <v>1</v>
      </c>
      <c r="K284" t="n">
        <v>2</v>
      </c>
      <c r="L284" s="5" t="n">
        <v>0.09379999999999999</v>
      </c>
      <c r="M284" t="inlineStr">
        <is>
          <t>low</t>
        </is>
      </c>
      <c r="N284" s="6" t="n">
        <v>220901</v>
      </c>
      <c r="O284" s="6" t="n">
        <v>242192</v>
      </c>
      <c r="P284" s="6" t="n">
        <v>262343</v>
      </c>
      <c r="Q284" s="6">
        <f>AVERAGE(N284:P284)</f>
        <v/>
      </c>
      <c r="R284" t="n">
        <v>3</v>
      </c>
      <c r="S284" t="n">
        <v>1</v>
      </c>
      <c r="T284" s="7">
        <f>365*R284*Q284*S284/1000000</f>
        <v/>
      </c>
      <c r="U284" s="8">
        <f>I284/T284</f>
        <v/>
      </c>
      <c r="V284" s="8">
        <f>SUMIF($E$2:$E$599,E284,$I$2:$I$599)/SUMIF($E$2:$E$599,E284,$T$2:$T$599)</f>
        <v/>
      </c>
      <c r="W284" s="8">
        <f>V284+1.645*SQRT(V284/T284)+1/(2*T284)</f>
        <v/>
      </c>
      <c r="X284" s="5">
        <f>U284/W284</f>
        <v/>
      </c>
      <c r="Y284">
        <f>IF(U284&gt;W284,"high",IF(U284&gt;V284,"medium","low"))</f>
        <v/>
      </c>
      <c r="Z284">
        <f>CHOOSE(MAX(IF(M284="high",2,IF(M284="medium",1,0)),IF(Y284="high",2,IF(Y284="medium",1,0)))+1,"low","medium","high")</f>
        <v/>
      </c>
      <c r="AA284">
        <f>IF(IF(M284="high",2,IF(M284="medium",1,0))=IF(Y284="high",2,IF(Y284="medium",1,0)),"SI และ Rate เท่ากัน",IF(IF(M284="high",2,IF(M284="medium",1,0))&gt;IF(Y284="high",2,IF(Y284="medium",1,0)),"SI","Rate"))</f>
        <v/>
      </c>
    </row>
    <row r="285">
      <c r="A285" t="inlineStr">
        <is>
          <t>zone_219</t>
        </is>
      </c>
      <c r="B285" t="inlineStr">
        <is>
          <t>แขวงคลองสองต้นนุ่น - พิมพา</t>
        </is>
      </c>
      <c r="C285" t="inlineStr">
        <is>
          <t>กรุงเทพมหานคร</t>
        </is>
      </c>
      <c r="D285" t="inlineStr">
        <is>
          <t>7</t>
        </is>
      </c>
      <c r="E285" t="inlineStr">
        <is>
          <t>ทล.</t>
        </is>
      </c>
      <c r="F285" t="inlineStr">
        <is>
          <t>18.3–19.7</t>
        </is>
      </c>
      <c r="G285" t="inlineStr">
        <is>
          <t>station_id 345 (ทล.7 กม.17+000)</t>
        </is>
      </c>
      <c r="H285" t="inlineStr">
        <is>
          <t>ทล. สถานีตัวแทนตอนควบคุม</t>
        </is>
      </c>
      <c r="I285" t="n">
        <v>31</v>
      </c>
      <c r="J285" t="n">
        <v>1</v>
      </c>
      <c r="K285" t="n">
        <v>12</v>
      </c>
      <c r="L285" s="5" t="n">
        <v>0.4194</v>
      </c>
      <c r="M285" t="inlineStr">
        <is>
          <t>low</t>
        </is>
      </c>
      <c r="N285" s="6" t="n">
        <v>220901</v>
      </c>
      <c r="O285" s="6" t="n">
        <v>242192</v>
      </c>
      <c r="P285" s="6" t="n">
        <v>262343</v>
      </c>
      <c r="Q285" s="6">
        <f>AVERAGE(N285:P285)</f>
        <v/>
      </c>
      <c r="R285" t="n">
        <v>3</v>
      </c>
      <c r="S285" t="n">
        <v>1</v>
      </c>
      <c r="T285" s="7">
        <f>365*R285*Q285*S285/1000000</f>
        <v/>
      </c>
      <c r="U285" s="8">
        <f>I285/T285</f>
        <v/>
      </c>
      <c r="V285" s="8">
        <f>SUMIF($E$2:$E$599,E285,$I$2:$I$599)/SUMIF($E$2:$E$599,E285,$T$2:$T$599)</f>
        <v/>
      </c>
      <c r="W285" s="8">
        <f>V285+1.645*SQRT(V285/T285)+1/(2*T285)</f>
        <v/>
      </c>
      <c r="X285" s="5">
        <f>U285/W285</f>
        <v/>
      </c>
      <c r="Y285">
        <f>IF(U285&gt;W285,"high",IF(U285&gt;V285,"medium","low"))</f>
        <v/>
      </c>
      <c r="Z285">
        <f>CHOOSE(MAX(IF(M285="high",2,IF(M285="medium",1,0)),IF(Y285="high",2,IF(Y285="medium",1,0)))+1,"low","medium","high")</f>
        <v/>
      </c>
      <c r="AA285">
        <f>IF(IF(M285="high",2,IF(M285="medium",1,0))=IF(Y285="high",2,IF(Y285="medium",1,0)),"SI และ Rate เท่ากัน",IF(IF(M285="high",2,IF(M285="medium",1,0))&gt;IF(Y285="high",2,IF(Y285="medium",1,0)),"SI","Rate"))</f>
        <v/>
      </c>
    </row>
    <row r="286">
      <c r="A286" t="inlineStr">
        <is>
          <t>zone_0</t>
        </is>
      </c>
      <c r="B286" t="inlineStr">
        <is>
          <t>บางพลัด - บางบำหรุ</t>
        </is>
      </c>
      <c r="C286" t="inlineStr">
        <is>
          <t>กรุงเทพมหานคร</t>
        </is>
      </c>
      <c r="D286" t="inlineStr">
        <is>
          <t>341</t>
        </is>
      </c>
      <c r="E286" t="inlineStr">
        <is>
          <t>ทล.</t>
        </is>
      </c>
      <c r="F286" t="inlineStr">
        <is>
          <t>0.02–0.342</t>
        </is>
      </c>
      <c r="G286" t="inlineStr">
        <is>
          <t>station_id 125 (ทล.338 กม.9+281)</t>
        </is>
      </c>
      <c r="H286" t="inlineStr">
        <is>
          <t>ทล. สถานีตัวแทนตอนควบคุม</t>
        </is>
      </c>
      <c r="I286" t="n">
        <v>19</v>
      </c>
      <c r="J286" t="n">
        <v>1</v>
      </c>
      <c r="K286" t="n">
        <v>14</v>
      </c>
      <c r="L286" s="5" t="n">
        <v>0.7895</v>
      </c>
      <c r="M286" t="inlineStr">
        <is>
          <t>low</t>
        </is>
      </c>
      <c r="N286" s="6" t="n">
        <v>143761</v>
      </c>
      <c r="O286" s="6" t="n">
        <v>146988</v>
      </c>
      <c r="P286" s="6" t="n">
        <v>145895</v>
      </c>
      <c r="Q286" s="6">
        <f>AVERAGE(N286:P286)</f>
        <v/>
      </c>
      <c r="R286" t="n">
        <v>3</v>
      </c>
      <c r="S286" t="n">
        <v>1</v>
      </c>
      <c r="T286" s="7">
        <f>365*R286*Q286*S286/1000000</f>
        <v/>
      </c>
      <c r="U286" s="8">
        <f>I286/T286</f>
        <v/>
      </c>
      <c r="V286" s="8">
        <f>SUMIF($E$2:$E$599,E286,$I$2:$I$599)/SUMIF($E$2:$E$599,E286,$T$2:$T$599)</f>
        <v/>
      </c>
      <c r="W286" s="8">
        <f>V286+1.645*SQRT(V286/T286)+1/(2*T286)</f>
        <v/>
      </c>
      <c r="X286" s="5">
        <f>U286/W286</f>
        <v/>
      </c>
      <c r="Y286">
        <f>IF(U286&gt;W286,"high",IF(U286&gt;V286,"medium","low"))</f>
        <v/>
      </c>
      <c r="Z286">
        <f>CHOOSE(MAX(IF(M286="high",2,IF(M286="medium",1,0)),IF(Y286="high",2,IF(Y286="medium",1,0)))+1,"low","medium","high")</f>
        <v/>
      </c>
      <c r="AA286">
        <f>IF(IF(M286="high",2,IF(M286="medium",1,0))=IF(Y286="high",2,IF(Y286="medium",1,0)),"SI และ Rate เท่ากัน",IF(IF(M286="high",2,IF(M286="medium",1,0))&gt;IF(Y286="high",2,IF(Y286="medium",1,0)),"SI","Rate"))</f>
        <v/>
      </c>
    </row>
    <row r="287">
      <c r="A287" t="inlineStr">
        <is>
          <t>zone_35</t>
        </is>
      </c>
      <c r="B287" t="inlineStr">
        <is>
          <t>ดาวคะนอง -  แสมดำ</t>
        </is>
      </c>
      <c r="C287" t="inlineStr">
        <is>
          <t>กรุงเทพมหานคร</t>
        </is>
      </c>
      <c r="D287" t="inlineStr">
        <is>
          <t>35</t>
        </is>
      </c>
      <c r="E287" t="inlineStr">
        <is>
          <t>ทล.</t>
        </is>
      </c>
      <c r="F287" t="inlineStr">
        <is>
          <t>4.73–6</t>
        </is>
      </c>
      <c r="G287" t="inlineStr">
        <is>
          <t>station_id 127 (ทล.35 กม.6+500)</t>
        </is>
      </c>
      <c r="H287" t="inlineStr">
        <is>
          <t>ทล. สถานีตัวแทนตอนควบคุม</t>
        </is>
      </c>
      <c r="I287" t="n">
        <v>31</v>
      </c>
      <c r="J287" t="n">
        <v>0</v>
      </c>
      <c r="K287" t="n">
        <v>21</v>
      </c>
      <c r="L287" s="5" t="n">
        <v>0.6774</v>
      </c>
      <c r="M287" t="inlineStr">
        <is>
          <t>low</t>
        </is>
      </c>
      <c r="N287" s="6" t="n">
        <v>256167</v>
      </c>
      <c r="O287" s="6" t="n">
        <v>260090</v>
      </c>
      <c r="P287" s="6" t="n">
        <v>259277</v>
      </c>
      <c r="Q287" s="6">
        <f>AVERAGE(N287:P287)</f>
        <v/>
      </c>
      <c r="R287" t="n">
        <v>3</v>
      </c>
      <c r="S287" t="n">
        <v>1</v>
      </c>
      <c r="T287" s="7">
        <f>365*R287*Q287*S287/1000000</f>
        <v/>
      </c>
      <c r="U287" s="8">
        <f>I287/T287</f>
        <v/>
      </c>
      <c r="V287" s="8">
        <f>SUMIF($E$2:$E$599,E287,$I$2:$I$599)/SUMIF($E$2:$E$599,E287,$T$2:$T$599)</f>
        <v/>
      </c>
      <c r="W287" s="8">
        <f>V287+1.645*SQRT(V287/T287)+1/(2*T287)</f>
        <v/>
      </c>
      <c r="X287" s="5">
        <f>U287/W287</f>
        <v/>
      </c>
      <c r="Y287">
        <f>IF(U287&gt;W287,"high",IF(U287&gt;V287,"medium","low"))</f>
        <v/>
      </c>
      <c r="Z287">
        <f>CHOOSE(MAX(IF(M287="high",2,IF(M287="medium",1,0)),IF(Y287="high",2,IF(Y287="medium",1,0)))+1,"low","medium","high")</f>
        <v/>
      </c>
      <c r="AA287">
        <f>IF(IF(M287="high",2,IF(M287="medium",1,0))=IF(Y287="high",2,IF(Y287="medium",1,0)),"SI และ Rate เท่ากัน",IF(IF(M287="high",2,IF(M287="medium",1,0))&gt;IF(Y287="high",2,IF(Y287="medium",1,0)),"SI","Rate"))</f>
        <v/>
      </c>
    </row>
    <row r="288">
      <c r="A288" t="inlineStr">
        <is>
          <t>zone_249</t>
        </is>
      </c>
      <c r="B288" t="inlineStr">
        <is>
          <t>พญาไท-ศรีนครินทร์</t>
        </is>
      </c>
      <c r="C288" t="inlineStr">
        <is>
          <t>กรุงเทพมหานคร</t>
        </is>
      </c>
      <c r="D288" t="inlineStr">
        <is>
          <t>E002S016|U</t>
        </is>
      </c>
      <c r="E288" t="inlineStr">
        <is>
          <t>กทพ.</t>
        </is>
      </c>
      <c r="F288" t="inlineStr">
        <is>
          <t>0.9–1.1</t>
        </is>
      </c>
      <c r="G288" t="inlineStr">
        <is>
          <t>ศรีรัช</t>
        </is>
      </c>
      <c r="H288" t="inlineStr">
        <is>
          <t>กทพ. ยอดผ่านด่านทั้งสาย ÷ 365</t>
        </is>
      </c>
      <c r="I288" t="n">
        <v>12</v>
      </c>
      <c r="J288" t="n">
        <v>0</v>
      </c>
      <c r="K288" t="n">
        <v>6</v>
      </c>
      <c r="L288" s="5" t="n">
        <v>0.5</v>
      </c>
      <c r="M288" t="inlineStr">
        <is>
          <t>low</t>
        </is>
      </c>
      <c r="N288" s="6" t="n">
        <v>613083.1506849315</v>
      </c>
      <c r="O288" s="6" t="n">
        <v>601127.7068493151</v>
      </c>
      <c r="P288" s="6" t="n">
        <v>607857.5287671232</v>
      </c>
      <c r="Q288" s="6">
        <f>AVERAGE(N288:P288)</f>
        <v/>
      </c>
      <c r="R288" t="n">
        <v>3</v>
      </c>
      <c r="S288" t="n">
        <v>1</v>
      </c>
      <c r="T288" s="7">
        <f>365*R288*Q288*S288/1000000</f>
        <v/>
      </c>
      <c r="U288" s="8">
        <f>I288/T288</f>
        <v/>
      </c>
      <c r="V288" s="8">
        <f>SUMIF($E$2:$E$599,E288,$I$2:$I$599)/SUMIF($E$2:$E$599,E288,$T$2:$T$599)</f>
        <v/>
      </c>
      <c r="W288" s="8">
        <f>V288+1.645*SQRT(V288/T288)+1/(2*T288)</f>
        <v/>
      </c>
      <c r="X288" s="5">
        <f>U288/W288</f>
        <v/>
      </c>
      <c r="Y288">
        <f>IF(U288&gt;W288,"high",IF(U288&gt;V288,"medium","low"))</f>
        <v/>
      </c>
      <c r="Z288">
        <f>CHOOSE(MAX(IF(M288="high",2,IF(M288="medium",1,0)),IF(Y288="high",2,IF(Y288="medium",1,0)))+1,"low","medium","high")</f>
        <v/>
      </c>
      <c r="AA288">
        <f>IF(IF(M288="high",2,IF(M288="medium",1,0))=IF(Y288="high",2,IF(Y288="medium",1,0)),"SI และ Rate เท่ากัน",IF(IF(M288="high",2,IF(M288="medium",1,0))&gt;IF(Y288="high",2,IF(Y288="medium",1,0)),"SI","Rate"))</f>
        <v/>
      </c>
    </row>
    <row r="289">
      <c r="A289" t="inlineStr">
        <is>
          <t>zone_105</t>
        </is>
      </c>
      <c r="B289" t="inlineStr">
        <is>
          <t>แขวงรามอินทรา - บางพลี</t>
        </is>
      </c>
      <c r="C289" t="inlineStr">
        <is>
          <t>กรุงเทพมหานคร</t>
        </is>
      </c>
      <c r="D289" t="inlineStr">
        <is>
          <t>9</t>
        </is>
      </c>
      <c r="E289" t="inlineStr">
        <is>
          <t>ทล.</t>
        </is>
      </c>
      <c r="F289" t="inlineStr">
        <is>
          <t>45.7–46.4</t>
        </is>
      </c>
      <c r="G289" t="inlineStr">
        <is>
          <t>station_id 348 (ทล.9 กม.59+500)</t>
        </is>
      </c>
      <c r="H289" t="inlineStr">
        <is>
          <t>ทล. สถานีตัวแทนตอนควบคุม</t>
        </is>
      </c>
      <c r="I289" t="n">
        <v>15</v>
      </c>
      <c r="J289" t="n">
        <v>2</v>
      </c>
      <c r="K289" t="n">
        <v>7</v>
      </c>
      <c r="L289" s="5" t="n">
        <v>0.5333</v>
      </c>
      <c r="M289" t="inlineStr">
        <is>
          <t>low</t>
        </is>
      </c>
      <c r="N289" s="6" t="n">
        <v>110915</v>
      </c>
      <c r="O289" s="6" t="n">
        <v>117953</v>
      </c>
      <c r="P289" s="6" t="n">
        <v>117813</v>
      </c>
      <c r="Q289" s="6">
        <f>AVERAGE(N289:P289)</f>
        <v/>
      </c>
      <c r="R289" t="n">
        <v>3</v>
      </c>
      <c r="S289" t="n">
        <v>1</v>
      </c>
      <c r="T289" s="7">
        <f>365*R289*Q289*S289/1000000</f>
        <v/>
      </c>
      <c r="U289" s="8">
        <f>I289/T289</f>
        <v/>
      </c>
      <c r="V289" s="8">
        <f>SUMIF($E$2:$E$599,E289,$I$2:$I$599)/SUMIF($E$2:$E$599,E289,$T$2:$T$599)</f>
        <v/>
      </c>
      <c r="W289" s="8">
        <f>V289+1.645*SQRT(V289/T289)+1/(2*T289)</f>
        <v/>
      </c>
      <c r="X289" s="5">
        <f>U289/W289</f>
        <v/>
      </c>
      <c r="Y289">
        <f>IF(U289&gt;W289,"high",IF(U289&gt;V289,"medium","low"))</f>
        <v/>
      </c>
      <c r="Z289">
        <f>CHOOSE(MAX(IF(M289="high",2,IF(M289="medium",1,0)),IF(Y289="high",2,IF(Y289="medium",1,0)))+1,"low","medium","high")</f>
        <v/>
      </c>
      <c r="AA289">
        <f>IF(IF(M289="high",2,IF(M289="medium",1,0))=IF(Y289="high",2,IF(Y289="medium",1,0)),"SI และ Rate เท่ากัน",IF(IF(M289="high",2,IF(M289="medium",1,0))&gt;IF(Y289="high",2,IF(Y289="medium",1,0)),"SI","Rate"))</f>
        <v/>
      </c>
    </row>
    <row r="290">
      <c r="A290" t="inlineStr">
        <is>
          <t>zone_50</t>
        </is>
      </c>
      <c r="B290" t="inlineStr">
        <is>
          <t>ดาวคะนอง - แสมดำ</t>
        </is>
      </c>
      <c r="C290" t="inlineStr">
        <is>
          <t>กรุงเทพมหานคร</t>
        </is>
      </c>
      <c r="D290" t="inlineStr">
        <is>
          <t>35</t>
        </is>
      </c>
      <c r="E290" t="inlineStr">
        <is>
          <t>ทล.</t>
        </is>
      </c>
      <c r="F290" t="inlineStr">
        <is>
          <t>1.015–2.6</t>
        </is>
      </c>
      <c r="G290" t="inlineStr">
        <is>
          <t>station_id 127 (ทล.35 กม.6+500)</t>
        </is>
      </c>
      <c r="H290" t="inlineStr">
        <is>
          <t>ทล. สถานีตัวแทนตอนควบคุม</t>
        </is>
      </c>
      <c r="I290" t="n">
        <v>30</v>
      </c>
      <c r="J290" t="n">
        <v>3</v>
      </c>
      <c r="K290" t="n">
        <v>24</v>
      </c>
      <c r="L290" s="5" t="n">
        <v>0.9</v>
      </c>
      <c r="M290" t="inlineStr">
        <is>
          <t>low</t>
        </is>
      </c>
      <c r="N290" s="6" t="n">
        <v>256167</v>
      </c>
      <c r="O290" s="6" t="n">
        <v>260090</v>
      </c>
      <c r="P290" s="6" t="n">
        <v>259277</v>
      </c>
      <c r="Q290" s="6">
        <f>AVERAGE(N290:P290)</f>
        <v/>
      </c>
      <c r="R290" t="n">
        <v>3</v>
      </c>
      <c r="S290" t="n">
        <v>1</v>
      </c>
      <c r="T290" s="7">
        <f>365*R290*Q290*S290/1000000</f>
        <v/>
      </c>
      <c r="U290" s="8">
        <f>I290/T290</f>
        <v/>
      </c>
      <c r="V290" s="8">
        <f>SUMIF($E$2:$E$599,E290,$I$2:$I$599)/SUMIF($E$2:$E$599,E290,$T$2:$T$599)</f>
        <v/>
      </c>
      <c r="W290" s="8">
        <f>V290+1.645*SQRT(V290/T290)+1/(2*T290)</f>
        <v/>
      </c>
      <c r="X290" s="5">
        <f>U290/W290</f>
        <v/>
      </c>
      <c r="Y290">
        <f>IF(U290&gt;W290,"high",IF(U290&gt;V290,"medium","low"))</f>
        <v/>
      </c>
      <c r="Z290">
        <f>CHOOSE(MAX(IF(M290="high",2,IF(M290="medium",1,0)),IF(Y290="high",2,IF(Y290="medium",1,0)))+1,"low","medium","high")</f>
        <v/>
      </c>
      <c r="AA290">
        <f>IF(IF(M290="high",2,IF(M290="medium",1,0))=IF(Y290="high",2,IF(Y290="medium",1,0)),"SI และ Rate เท่ากัน",IF(IF(M290="high",2,IF(M290="medium",1,0))&gt;IF(Y290="high",2,IF(Y290="medium",1,0)),"SI","Rate"))</f>
        <v/>
      </c>
    </row>
    <row r="291">
      <c r="A291" t="inlineStr">
        <is>
          <t>zone_573</t>
        </is>
      </c>
      <c r="B291" t="inlineStr">
        <is>
          <t>สะพานข้ามแม่น้ำท่าจีนฝั่งตะวันตก - นาโคก</t>
        </is>
      </c>
      <c r="C291" t="inlineStr">
        <is>
          <t>สมุทรสาคร</t>
        </is>
      </c>
      <c r="D291" t="inlineStr">
        <is>
          <t>35</t>
        </is>
      </c>
      <c r="E291" t="inlineStr">
        <is>
          <t>ทล.</t>
        </is>
      </c>
      <c r="F291" t="inlineStr">
        <is>
          <t>31.7–33.3</t>
        </is>
      </c>
      <c r="G291" t="inlineStr">
        <is>
          <t>station_id 59 (ทล.35 กม.30+700)</t>
        </is>
      </c>
      <c r="H291" t="inlineStr">
        <is>
          <t>ทล. สถานีตัวแทนตอนควบคุม</t>
        </is>
      </c>
      <c r="I291" t="n">
        <v>18</v>
      </c>
      <c r="J291" t="n">
        <v>0</v>
      </c>
      <c r="K291" t="n">
        <v>17</v>
      </c>
      <c r="L291" s="5" t="n">
        <v>0.9444</v>
      </c>
      <c r="M291" t="inlineStr">
        <is>
          <t>low</t>
        </is>
      </c>
      <c r="N291" s="6" t="n">
        <v>134343</v>
      </c>
      <c r="O291" s="6" t="n">
        <v>149180</v>
      </c>
      <c r="P291" s="6" t="n">
        <v>149785</v>
      </c>
      <c r="Q291" s="6">
        <f>AVERAGE(N291:P291)</f>
        <v/>
      </c>
      <c r="R291" t="n">
        <v>3</v>
      </c>
      <c r="S291" t="n">
        <v>1</v>
      </c>
      <c r="T291" s="7">
        <f>365*R291*Q291*S291/1000000</f>
        <v/>
      </c>
      <c r="U291" s="8">
        <f>I291/T291</f>
        <v/>
      </c>
      <c r="V291" s="8">
        <f>SUMIF($E$2:$E$599,E291,$I$2:$I$599)/SUMIF($E$2:$E$599,E291,$T$2:$T$599)</f>
        <v/>
      </c>
      <c r="W291" s="8">
        <f>V291+1.645*SQRT(V291/T291)+1/(2*T291)</f>
        <v/>
      </c>
      <c r="X291" s="5">
        <f>U291/W291</f>
        <v/>
      </c>
      <c r="Y291">
        <f>IF(U291&gt;W291,"high",IF(U291&gt;V291,"medium","low"))</f>
        <v/>
      </c>
      <c r="Z291">
        <f>CHOOSE(MAX(IF(M291="high",2,IF(M291="medium",1,0)),IF(Y291="high",2,IF(Y291="medium",1,0)))+1,"low","medium","high")</f>
        <v/>
      </c>
      <c r="AA291">
        <f>IF(IF(M291="high",2,IF(M291="medium",1,0))=IF(Y291="high",2,IF(Y291="medium",1,0)),"SI และ Rate เท่ากัน",IF(IF(M291="high",2,IF(M291="medium",1,0))&gt;IF(Y291="high",2,IF(Y291="medium",1,0)),"SI","Rate"))</f>
        <v/>
      </c>
    </row>
    <row r="292">
      <c r="A292" t="inlineStr">
        <is>
          <t>zone_12</t>
        </is>
      </c>
      <c r="B292" t="inlineStr">
        <is>
          <t>อรุณอมรินทร์ - พุทธมณฑลสาย 4</t>
        </is>
      </c>
      <c r="C292" t="inlineStr">
        <is>
          <t>กรุงเทพมหานคร</t>
        </is>
      </c>
      <c r="D292" t="inlineStr">
        <is>
          <t>338</t>
        </is>
      </c>
      <c r="E292" t="inlineStr">
        <is>
          <t>ทล.</t>
        </is>
      </c>
      <c r="F292" t="inlineStr">
        <is>
          <t>14.5–15</t>
        </is>
      </c>
      <c r="G292" t="inlineStr">
        <is>
          <t>station_id 125 (ทล.338 กม.9+281)</t>
        </is>
      </c>
      <c r="H292" t="inlineStr">
        <is>
          <t>ทล. สถานีตัวแทนตอนควบคุม</t>
        </is>
      </c>
      <c r="I292" t="n">
        <v>18</v>
      </c>
      <c r="J292" t="n">
        <v>0</v>
      </c>
      <c r="K292" t="n">
        <v>14</v>
      </c>
      <c r="L292" s="5" t="n">
        <v>0.7778</v>
      </c>
      <c r="M292" t="inlineStr">
        <is>
          <t>low</t>
        </is>
      </c>
      <c r="N292" s="6" t="n">
        <v>143761</v>
      </c>
      <c r="O292" s="6" t="n">
        <v>146988</v>
      </c>
      <c r="P292" s="6" t="n">
        <v>145895</v>
      </c>
      <c r="Q292" s="6">
        <f>AVERAGE(N292:P292)</f>
        <v/>
      </c>
      <c r="R292" t="n">
        <v>3</v>
      </c>
      <c r="S292" t="n">
        <v>1</v>
      </c>
      <c r="T292" s="7">
        <f>365*R292*Q292*S292/1000000</f>
        <v/>
      </c>
      <c r="U292" s="8">
        <f>I292/T292</f>
        <v/>
      </c>
      <c r="V292" s="8">
        <f>SUMIF($E$2:$E$599,E292,$I$2:$I$599)/SUMIF($E$2:$E$599,E292,$T$2:$T$599)</f>
        <v/>
      </c>
      <c r="W292" s="8">
        <f>V292+1.645*SQRT(V292/T292)+1/(2*T292)</f>
        <v/>
      </c>
      <c r="X292" s="5">
        <f>U292/W292</f>
        <v/>
      </c>
      <c r="Y292">
        <f>IF(U292&gt;W292,"high",IF(U292&gt;V292,"medium","low"))</f>
        <v/>
      </c>
      <c r="Z292">
        <f>CHOOSE(MAX(IF(M292="high",2,IF(M292="medium",1,0)),IF(Y292="high",2,IF(Y292="medium",1,0)))+1,"low","medium","high")</f>
        <v/>
      </c>
      <c r="AA292">
        <f>IF(IF(M292="high",2,IF(M292="medium",1,0))=IF(Y292="high",2,IF(Y292="medium",1,0)),"SI และ Rate เท่ากัน",IF(IF(M292="high",2,IF(M292="medium",1,0))&gt;IF(Y292="high",2,IF(Y292="medium",1,0)),"SI","Rate"))</f>
        <v/>
      </c>
    </row>
    <row r="293">
      <c r="A293" t="inlineStr">
        <is>
          <t>zone_116</t>
        </is>
      </c>
      <c r="B293" t="inlineStr">
        <is>
          <t>บางปะอิน - แขวงรามอินทรา</t>
        </is>
      </c>
      <c r="C293" t="inlineStr">
        <is>
          <t>ปทุมธานี</t>
        </is>
      </c>
      <c r="D293" t="inlineStr">
        <is>
          <t>9</t>
        </is>
      </c>
      <c r="E293" t="inlineStr">
        <is>
          <t>ทล.</t>
        </is>
      </c>
      <c r="F293" t="inlineStr">
        <is>
          <t>26–26.8</t>
        </is>
      </c>
      <c r="G293" t="inlineStr">
        <is>
          <t>station_id 347 (ทล.9 กม.1+500)</t>
        </is>
      </c>
      <c r="H293" t="inlineStr">
        <is>
          <t>ทล. สถานีตัวแทนตอนควบคุม</t>
        </is>
      </c>
      <c r="I293" t="n">
        <v>19</v>
      </c>
      <c r="J293" t="n">
        <v>0</v>
      </c>
      <c r="K293" t="n">
        <v>5</v>
      </c>
      <c r="L293" s="5" t="n">
        <v>0.2632</v>
      </c>
      <c r="M293" t="inlineStr">
        <is>
          <t>low</t>
        </is>
      </c>
      <c r="N293" s="6" t="n">
        <v>146870</v>
      </c>
      <c r="O293" s="6" t="n">
        <v>165212</v>
      </c>
      <c r="P293" s="6" t="n">
        <v>160792</v>
      </c>
      <c r="Q293" s="6">
        <f>AVERAGE(N293:P293)</f>
        <v/>
      </c>
      <c r="R293" t="n">
        <v>3</v>
      </c>
      <c r="S293" t="n">
        <v>1</v>
      </c>
      <c r="T293" s="7">
        <f>365*R293*Q293*S293/1000000</f>
        <v/>
      </c>
      <c r="U293" s="8">
        <f>I293/T293</f>
        <v/>
      </c>
      <c r="V293" s="8">
        <f>SUMIF($E$2:$E$599,E293,$I$2:$I$599)/SUMIF($E$2:$E$599,E293,$T$2:$T$599)</f>
        <v/>
      </c>
      <c r="W293" s="8">
        <f>V293+1.645*SQRT(V293/T293)+1/(2*T293)</f>
        <v/>
      </c>
      <c r="X293" s="5">
        <f>U293/W293</f>
        <v/>
      </c>
      <c r="Y293">
        <f>IF(U293&gt;W293,"high",IF(U293&gt;V293,"medium","low"))</f>
        <v/>
      </c>
      <c r="Z293">
        <f>CHOOSE(MAX(IF(M293="high",2,IF(M293="medium",1,0)),IF(Y293="high",2,IF(Y293="medium",1,0)))+1,"low","medium","high")</f>
        <v/>
      </c>
      <c r="AA293">
        <f>IF(IF(M293="high",2,IF(M293="medium",1,0))=IF(Y293="high",2,IF(Y293="medium",1,0)),"SI และ Rate เท่ากัน",IF(IF(M293="high",2,IF(M293="medium",1,0))&gt;IF(Y293="high",2,IF(Y293="medium",1,0)),"SI","Rate"))</f>
        <v/>
      </c>
    </row>
    <row r="294">
      <c r="A294" t="inlineStr">
        <is>
          <t>zone_584</t>
        </is>
      </c>
      <c r="B294" t="inlineStr">
        <is>
          <t>แสมดำ - สะพานข้ามแม่น้ำท่าจีนฝั่งตะวันตก</t>
        </is>
      </c>
      <c r="C294" t="inlineStr">
        <is>
          <t>สมุทรสาคร</t>
        </is>
      </c>
      <c r="D294" t="inlineStr">
        <is>
          <t>35</t>
        </is>
      </c>
      <c r="E294" t="inlineStr">
        <is>
          <t>ทล.</t>
        </is>
      </c>
      <c r="F294" t="inlineStr">
        <is>
          <t>16–16.3</t>
        </is>
      </c>
      <c r="G294" t="inlineStr">
        <is>
          <t>station_id 57 (ทล.35 กม.24+550)</t>
        </is>
      </c>
      <c r="H294" t="inlineStr">
        <is>
          <t>ทล. สถานีตัวแทนตอนควบคุม</t>
        </is>
      </c>
      <c r="I294" t="n">
        <v>17</v>
      </c>
      <c r="J294" t="n">
        <v>0</v>
      </c>
      <c r="K294" t="n">
        <v>2</v>
      </c>
      <c r="L294" s="5" t="n">
        <v>0.1176</v>
      </c>
      <c r="M294" t="inlineStr">
        <is>
          <t>low</t>
        </is>
      </c>
      <c r="N294" s="6" t="n">
        <v>129063</v>
      </c>
      <c r="O294" s="6" t="n">
        <v>149020</v>
      </c>
      <c r="P294" s="6" t="n">
        <v>143116</v>
      </c>
      <c r="Q294" s="6">
        <f>AVERAGE(N294:P294)</f>
        <v/>
      </c>
      <c r="R294" t="n">
        <v>3</v>
      </c>
      <c r="S294" t="n">
        <v>1</v>
      </c>
      <c r="T294" s="7">
        <f>365*R294*Q294*S294/1000000</f>
        <v/>
      </c>
      <c r="U294" s="8">
        <f>I294/T294</f>
        <v/>
      </c>
      <c r="V294" s="8">
        <f>SUMIF($E$2:$E$599,E294,$I$2:$I$599)/SUMIF($E$2:$E$599,E294,$T$2:$T$599)</f>
        <v/>
      </c>
      <c r="W294" s="8">
        <f>V294+1.645*SQRT(V294/T294)+1/(2*T294)</f>
        <v/>
      </c>
      <c r="X294" s="5">
        <f>U294/W294</f>
        <v/>
      </c>
      <c r="Y294">
        <f>IF(U294&gt;W294,"high",IF(U294&gt;V294,"medium","low"))</f>
        <v/>
      </c>
      <c r="Z294">
        <f>CHOOSE(MAX(IF(M294="high",2,IF(M294="medium",1,0)),IF(Y294="high",2,IF(Y294="medium",1,0)))+1,"low","medium","high")</f>
        <v/>
      </c>
      <c r="AA294">
        <f>IF(IF(M294="high",2,IF(M294="medium",1,0))=IF(Y294="high",2,IF(Y294="medium",1,0)),"SI และ Rate เท่ากัน",IF(IF(M294="high",2,IF(M294="medium",1,0))&gt;IF(Y294="high",2,IF(Y294="medium",1,0)),"SI","Rate"))</f>
        <v/>
      </c>
    </row>
    <row r="295">
      <c r="A295" t="inlineStr">
        <is>
          <t>zone_148</t>
        </is>
      </c>
      <c r="B295" t="inlineStr">
        <is>
          <t>แขวงคลองสองต้นนุ่น - พิมพา</t>
        </is>
      </c>
      <c r="C295" t="inlineStr">
        <is>
          <t>กรุงเทพมหานคร</t>
        </is>
      </c>
      <c r="D295" t="inlineStr">
        <is>
          <t>7</t>
        </is>
      </c>
      <c r="E295" t="inlineStr">
        <is>
          <t>ทล.</t>
        </is>
      </c>
      <c r="F295" t="inlineStr">
        <is>
          <t>20.6–22.4</t>
        </is>
      </c>
      <c r="G295" t="inlineStr">
        <is>
          <t>station_id 345 (ทล.7 กม.17+000)</t>
        </is>
      </c>
      <c r="H295" t="inlineStr">
        <is>
          <t>ทล. สถานีตัวแทนตอนควบคุม</t>
        </is>
      </c>
      <c r="I295" t="n">
        <v>27</v>
      </c>
      <c r="J295" t="n">
        <v>0</v>
      </c>
      <c r="K295" t="n">
        <v>9</v>
      </c>
      <c r="L295" s="5" t="n">
        <v>0.3333</v>
      </c>
      <c r="M295" t="inlineStr">
        <is>
          <t>low</t>
        </is>
      </c>
      <c r="N295" s="6" t="n">
        <v>220901</v>
      </c>
      <c r="O295" s="6" t="n">
        <v>242192</v>
      </c>
      <c r="P295" s="6" t="n">
        <v>262343</v>
      </c>
      <c r="Q295" s="6">
        <f>AVERAGE(N295:P295)</f>
        <v/>
      </c>
      <c r="R295" t="n">
        <v>3</v>
      </c>
      <c r="S295" t="n">
        <v>1</v>
      </c>
      <c r="T295" s="7">
        <f>365*R295*Q295*S295/1000000</f>
        <v/>
      </c>
      <c r="U295" s="8">
        <f>I295/T295</f>
        <v/>
      </c>
      <c r="V295" s="8">
        <f>SUMIF($E$2:$E$599,E295,$I$2:$I$599)/SUMIF($E$2:$E$599,E295,$T$2:$T$599)</f>
        <v/>
      </c>
      <c r="W295" s="8">
        <f>V295+1.645*SQRT(V295/T295)+1/(2*T295)</f>
        <v/>
      </c>
      <c r="X295" s="5">
        <f>U295/W295</f>
        <v/>
      </c>
      <c r="Y295">
        <f>IF(U295&gt;W295,"high",IF(U295&gt;V295,"medium","low"))</f>
        <v/>
      </c>
      <c r="Z295">
        <f>CHOOSE(MAX(IF(M295="high",2,IF(M295="medium",1,0)),IF(Y295="high",2,IF(Y295="medium",1,0)))+1,"low","medium","high")</f>
        <v/>
      </c>
      <c r="AA295">
        <f>IF(IF(M295="high",2,IF(M295="medium",1,0))=IF(Y295="high",2,IF(Y295="medium",1,0)),"SI และ Rate เท่ากัน",IF(IF(M295="high",2,IF(M295="medium",1,0))&gt;IF(Y295="high",2,IF(Y295="medium",1,0)),"SI","Rate"))</f>
        <v/>
      </c>
    </row>
    <row r="296">
      <c r="A296" t="inlineStr">
        <is>
          <t>zone_19</t>
        </is>
      </c>
      <c r="B296" t="inlineStr">
        <is>
          <t>บางแค - คลองมหาสวัสดิ์</t>
        </is>
      </c>
      <c r="C296" t="inlineStr">
        <is>
          <t>กรุงเทพมหานคร</t>
        </is>
      </c>
      <c r="D296" t="inlineStr">
        <is>
          <t>9</t>
        </is>
      </c>
      <c r="E296" t="inlineStr">
        <is>
          <t>ทล.</t>
        </is>
      </c>
      <c r="F296" t="inlineStr">
        <is>
          <t>25–26.3</t>
        </is>
      </c>
      <c r="G296" t="inlineStr">
        <is>
          <t>station_id 123 (ทล.9 กม.20+430)</t>
        </is>
      </c>
      <c r="H296" t="inlineStr">
        <is>
          <t>ทล. สถานีตัวแทนตอนควบคุม</t>
        </is>
      </c>
      <c r="I296" t="n">
        <v>19</v>
      </c>
      <c r="J296" t="n">
        <v>0</v>
      </c>
      <c r="K296" t="n">
        <v>10</v>
      </c>
      <c r="L296" s="5" t="n">
        <v>0.5263</v>
      </c>
      <c r="M296" t="inlineStr">
        <is>
          <t>low</t>
        </is>
      </c>
      <c r="N296" s="6" t="n">
        <v>161583</v>
      </c>
      <c r="O296" s="6" t="n">
        <v>167210</v>
      </c>
      <c r="P296" s="6" t="n">
        <v>164129</v>
      </c>
      <c r="Q296" s="6">
        <f>AVERAGE(N296:P296)</f>
        <v/>
      </c>
      <c r="R296" t="n">
        <v>3</v>
      </c>
      <c r="S296" t="n">
        <v>1</v>
      </c>
      <c r="T296" s="7">
        <f>365*R296*Q296*S296/1000000</f>
        <v/>
      </c>
      <c r="U296" s="8">
        <f>I296/T296</f>
        <v/>
      </c>
      <c r="V296" s="8">
        <f>SUMIF($E$2:$E$599,E296,$I$2:$I$599)/SUMIF($E$2:$E$599,E296,$T$2:$T$599)</f>
        <v/>
      </c>
      <c r="W296" s="8">
        <f>V296+1.645*SQRT(V296/T296)+1/(2*T296)</f>
        <v/>
      </c>
      <c r="X296" s="5">
        <f>U296/W296</f>
        <v/>
      </c>
      <c r="Y296">
        <f>IF(U296&gt;W296,"high",IF(U296&gt;V296,"medium","low"))</f>
        <v/>
      </c>
      <c r="Z296">
        <f>CHOOSE(MAX(IF(M296="high",2,IF(M296="medium",1,0)),IF(Y296="high",2,IF(Y296="medium",1,0)))+1,"low","medium","high")</f>
        <v/>
      </c>
      <c r="AA296">
        <f>IF(IF(M296="high",2,IF(M296="medium",1,0))=IF(Y296="high",2,IF(Y296="medium",1,0)),"SI และ Rate เท่ากัน",IF(IF(M296="high",2,IF(M296="medium",1,0))&gt;IF(Y296="high",2,IF(Y296="medium",1,0)),"SI","Rate"))</f>
        <v/>
      </c>
    </row>
    <row r="297">
      <c r="A297" t="inlineStr">
        <is>
          <t>zone_202</t>
        </is>
      </c>
      <c r="B297" t="inlineStr">
        <is>
          <t>พญาไท-ศรีนครินทร์</t>
        </is>
      </c>
      <c r="C297" t="inlineStr">
        <is>
          <t>กรุงเทพมหานคร</t>
        </is>
      </c>
      <c r="D297" t="inlineStr">
        <is>
          <t>E002S016|I</t>
        </is>
      </c>
      <c r="E297" t="inlineStr">
        <is>
          <t>กทพ.</t>
        </is>
      </c>
      <c r="F297" t="inlineStr">
        <is>
          <t>12.1–12.5</t>
        </is>
      </c>
      <c r="G297" t="inlineStr">
        <is>
          <t>ศรีรัช</t>
        </is>
      </c>
      <c r="H297" t="inlineStr">
        <is>
          <t>กทพ. ยอดผ่านด่านทั้งสาย ÷ 365</t>
        </is>
      </c>
      <c r="I297" t="n">
        <v>11</v>
      </c>
      <c r="J297" t="n">
        <v>0</v>
      </c>
      <c r="K297" t="n">
        <v>6</v>
      </c>
      <c r="L297" s="5" t="n">
        <v>0.5455</v>
      </c>
      <c r="M297" t="inlineStr">
        <is>
          <t>low</t>
        </is>
      </c>
      <c r="N297" s="6" t="n">
        <v>613083.1506849315</v>
      </c>
      <c r="O297" s="6" t="n">
        <v>601127.7068493151</v>
      </c>
      <c r="P297" s="6" t="n">
        <v>607857.5287671232</v>
      </c>
      <c r="Q297" s="6">
        <f>AVERAGE(N297:P297)</f>
        <v/>
      </c>
      <c r="R297" t="n">
        <v>3</v>
      </c>
      <c r="S297" t="n">
        <v>1</v>
      </c>
      <c r="T297" s="7">
        <f>365*R297*Q297*S297/1000000</f>
        <v/>
      </c>
      <c r="U297" s="8">
        <f>I297/T297</f>
        <v/>
      </c>
      <c r="V297" s="8">
        <f>SUMIF($E$2:$E$599,E297,$I$2:$I$599)/SUMIF($E$2:$E$599,E297,$T$2:$T$599)</f>
        <v/>
      </c>
      <c r="W297" s="8">
        <f>V297+1.645*SQRT(V297/T297)+1/(2*T297)</f>
        <v/>
      </c>
      <c r="X297" s="5">
        <f>U297/W297</f>
        <v/>
      </c>
      <c r="Y297">
        <f>IF(U297&gt;W297,"high",IF(U297&gt;V297,"medium","low"))</f>
        <v/>
      </c>
      <c r="Z297">
        <f>CHOOSE(MAX(IF(M297="high",2,IF(M297="medium",1,0)),IF(Y297="high",2,IF(Y297="medium",1,0)))+1,"low","medium","high")</f>
        <v/>
      </c>
      <c r="AA297">
        <f>IF(IF(M297="high",2,IF(M297="medium",1,0))=IF(Y297="high",2,IF(Y297="medium",1,0)),"SI และ Rate เท่ากัน",IF(IF(M297="high",2,IF(M297="medium",1,0))&gt;IF(Y297="high",2,IF(Y297="medium",1,0)),"SI","Rate"))</f>
        <v/>
      </c>
    </row>
    <row r="298">
      <c r="A298" t="inlineStr">
        <is>
          <t>zone_304</t>
        </is>
      </c>
      <c r="B298" t="inlineStr">
        <is>
          <t>แจ้งวัฒนะ-พญาไท</t>
        </is>
      </c>
      <c r="C298" t="inlineStr">
        <is>
          <t>กรุงเทพมหานคร</t>
        </is>
      </c>
      <c r="D298" t="inlineStr">
        <is>
          <t>E002S014|I</t>
        </is>
      </c>
      <c r="E298" t="inlineStr">
        <is>
          <t>กทพ.</t>
        </is>
      </c>
      <c r="F298" t="inlineStr">
        <is>
          <t>11.5–12</t>
        </is>
      </c>
      <c r="G298" t="inlineStr">
        <is>
          <t>ศรีรัช</t>
        </is>
      </c>
      <c r="H298" t="inlineStr">
        <is>
          <t>กทพ. ยอดผ่านด่านทั้งสาย ÷ 365</t>
        </is>
      </c>
      <c r="I298" t="n">
        <v>11</v>
      </c>
      <c r="J298" t="n">
        <v>0</v>
      </c>
      <c r="K298" t="n">
        <v>3</v>
      </c>
      <c r="L298" s="5" t="n">
        <v>0.2727</v>
      </c>
      <c r="M298" t="inlineStr">
        <is>
          <t>low</t>
        </is>
      </c>
      <c r="N298" s="6" t="n">
        <v>613083.1506849315</v>
      </c>
      <c r="O298" s="6" t="n">
        <v>601127.7068493151</v>
      </c>
      <c r="P298" s="6" t="n">
        <v>607857.5287671232</v>
      </c>
      <c r="Q298" s="6">
        <f>AVERAGE(N298:P298)</f>
        <v/>
      </c>
      <c r="R298" t="n">
        <v>3</v>
      </c>
      <c r="S298" t="n">
        <v>1</v>
      </c>
      <c r="T298" s="7">
        <f>365*R298*Q298*S298/1000000</f>
        <v/>
      </c>
      <c r="U298" s="8">
        <f>I298/T298</f>
        <v/>
      </c>
      <c r="V298" s="8">
        <f>SUMIF($E$2:$E$599,E298,$I$2:$I$599)/SUMIF($E$2:$E$599,E298,$T$2:$T$599)</f>
        <v/>
      </c>
      <c r="W298" s="8">
        <f>V298+1.645*SQRT(V298/T298)+1/(2*T298)</f>
        <v/>
      </c>
      <c r="X298" s="5">
        <f>U298/W298</f>
        <v/>
      </c>
      <c r="Y298">
        <f>IF(U298&gt;W298,"high",IF(U298&gt;V298,"medium","low"))</f>
        <v/>
      </c>
      <c r="Z298">
        <f>CHOOSE(MAX(IF(M298="high",2,IF(M298="medium",1,0)),IF(Y298="high",2,IF(Y298="medium",1,0)))+1,"low","medium","high")</f>
        <v/>
      </c>
      <c r="AA298">
        <f>IF(IF(M298="high",2,IF(M298="medium",1,0))=IF(Y298="high",2,IF(Y298="medium",1,0)),"SI และ Rate เท่ากัน",IF(IF(M298="high",2,IF(M298="medium",1,0))&gt;IF(Y298="high",2,IF(Y298="medium",1,0)),"SI","Rate"))</f>
        <v/>
      </c>
    </row>
    <row r="299">
      <c r="A299" t="inlineStr">
        <is>
          <t>zone_77</t>
        </is>
      </c>
      <c r="B299" t="inlineStr">
        <is>
          <t>บางปะอิน - แขวงรามอินทรา</t>
        </is>
      </c>
      <c r="C299" t="inlineStr">
        <is>
          <t>ปทุมธานี</t>
        </is>
      </c>
      <c r="D299" t="inlineStr">
        <is>
          <t>9</t>
        </is>
      </c>
      <c r="E299" t="inlineStr">
        <is>
          <t>ทล.</t>
        </is>
      </c>
      <c r="F299" t="inlineStr">
        <is>
          <t>25–25.7</t>
        </is>
      </c>
      <c r="G299" t="inlineStr">
        <is>
          <t>station_id 347 (ทล.9 กม.1+500)</t>
        </is>
      </c>
      <c r="H299" t="inlineStr">
        <is>
          <t>ทล. สถานีตัวแทนตอนควบคุม</t>
        </is>
      </c>
      <c r="I299" t="n">
        <v>17</v>
      </c>
      <c r="J299" t="n">
        <v>0</v>
      </c>
      <c r="K299" t="n">
        <v>7</v>
      </c>
      <c r="L299" s="5" t="n">
        <v>0.4118</v>
      </c>
      <c r="M299" t="inlineStr">
        <is>
          <t>low</t>
        </is>
      </c>
      <c r="N299" s="6" t="n">
        <v>146870</v>
      </c>
      <c r="O299" s="6" t="n">
        <v>165212</v>
      </c>
      <c r="P299" s="6" t="n">
        <v>160792</v>
      </c>
      <c r="Q299" s="6">
        <f>AVERAGE(N299:P299)</f>
        <v/>
      </c>
      <c r="R299" t="n">
        <v>3</v>
      </c>
      <c r="S299" t="n">
        <v>1</v>
      </c>
      <c r="T299" s="7">
        <f>365*R299*Q299*S299/1000000</f>
        <v/>
      </c>
      <c r="U299" s="8">
        <f>I299/T299</f>
        <v/>
      </c>
      <c r="V299" s="8">
        <f>SUMIF($E$2:$E$599,E299,$I$2:$I$599)/SUMIF($E$2:$E$599,E299,$T$2:$T$599)</f>
        <v/>
      </c>
      <c r="W299" s="8">
        <f>V299+1.645*SQRT(V299/T299)+1/(2*T299)</f>
        <v/>
      </c>
      <c r="X299" s="5">
        <f>U299/W299</f>
        <v/>
      </c>
      <c r="Y299">
        <f>IF(U299&gt;W299,"high",IF(U299&gt;V299,"medium","low"))</f>
        <v/>
      </c>
      <c r="Z299">
        <f>CHOOSE(MAX(IF(M299="high",2,IF(M299="medium",1,0)),IF(Y299="high",2,IF(Y299="medium",1,0)))+1,"low","medium","high")</f>
        <v/>
      </c>
      <c r="AA299">
        <f>IF(IF(M299="high",2,IF(M299="medium",1,0))=IF(Y299="high",2,IF(Y299="medium",1,0)),"SI และ Rate เท่ากัน",IF(IF(M299="high",2,IF(M299="medium",1,0))&gt;IF(Y299="high",2,IF(Y299="medium",1,0)),"SI","Rate"))</f>
        <v/>
      </c>
    </row>
    <row r="300">
      <c r="A300" t="inlineStr">
        <is>
          <t>zone_98</t>
        </is>
      </c>
      <c r="B300" t="inlineStr">
        <is>
          <t>บางปะอิน - แขวงรามอินทรา</t>
        </is>
      </c>
      <c r="C300" t="inlineStr">
        <is>
          <t>กรุงเทพมหานคร</t>
        </is>
      </c>
      <c r="D300" t="inlineStr">
        <is>
          <t>9</t>
        </is>
      </c>
      <c r="E300" t="inlineStr">
        <is>
          <t>ทล.</t>
        </is>
      </c>
      <c r="F300" t="inlineStr">
        <is>
          <t>32.9–33.8</t>
        </is>
      </c>
      <c r="G300" t="inlineStr">
        <is>
          <t>station_id 347 (ทล.9 กม.1+500)</t>
        </is>
      </c>
      <c r="H300" t="inlineStr">
        <is>
          <t>ทล. สถานีตัวแทนตอนควบคุม</t>
        </is>
      </c>
      <c r="I300" t="n">
        <v>17</v>
      </c>
      <c r="J300" t="n">
        <v>0</v>
      </c>
      <c r="K300" t="n">
        <v>7</v>
      </c>
      <c r="L300" s="5" t="n">
        <v>0.4118</v>
      </c>
      <c r="M300" t="inlineStr">
        <is>
          <t>low</t>
        </is>
      </c>
      <c r="N300" s="6" t="n">
        <v>146870</v>
      </c>
      <c r="O300" s="6" t="n">
        <v>165212</v>
      </c>
      <c r="P300" s="6" t="n">
        <v>160792</v>
      </c>
      <c r="Q300" s="6">
        <f>AVERAGE(N300:P300)</f>
        <v/>
      </c>
      <c r="R300" t="n">
        <v>3</v>
      </c>
      <c r="S300" t="n">
        <v>1</v>
      </c>
      <c r="T300" s="7">
        <f>365*R300*Q300*S300/1000000</f>
        <v/>
      </c>
      <c r="U300" s="8">
        <f>I300/T300</f>
        <v/>
      </c>
      <c r="V300" s="8">
        <f>SUMIF($E$2:$E$599,E300,$I$2:$I$599)/SUMIF($E$2:$E$599,E300,$T$2:$T$599)</f>
        <v/>
      </c>
      <c r="W300" s="8">
        <f>V300+1.645*SQRT(V300/T300)+1/(2*T300)</f>
        <v/>
      </c>
      <c r="X300" s="5">
        <f>U300/W300</f>
        <v/>
      </c>
      <c r="Y300">
        <f>IF(U300&gt;W300,"high",IF(U300&gt;V300,"medium","low"))</f>
        <v/>
      </c>
      <c r="Z300">
        <f>CHOOSE(MAX(IF(M300="high",2,IF(M300="medium",1,0)),IF(Y300="high",2,IF(Y300="medium",1,0)))+1,"low","medium","high")</f>
        <v/>
      </c>
      <c r="AA300">
        <f>IF(IF(M300="high",2,IF(M300="medium",1,0))=IF(Y300="high",2,IF(Y300="medium",1,0)),"SI และ Rate เท่ากัน",IF(IF(M300="high",2,IF(M300="medium",1,0))&gt;IF(Y300="high",2,IF(Y300="medium",1,0)),"SI","Rate"))</f>
        <v/>
      </c>
    </row>
    <row r="301">
      <c r="A301" t="inlineStr">
        <is>
          <t>zone_117</t>
        </is>
      </c>
      <c r="B301" t="inlineStr">
        <is>
          <t>บางปะอิน - แขวงรามอินทรา</t>
        </is>
      </c>
      <c r="C301" t="inlineStr">
        <is>
          <t>ปทุมธานี</t>
        </is>
      </c>
      <c r="D301" t="inlineStr">
        <is>
          <t>9</t>
        </is>
      </c>
      <c r="E301" t="inlineStr">
        <is>
          <t>ทล.</t>
        </is>
      </c>
      <c r="F301" t="inlineStr">
        <is>
          <t>25.4–25.8</t>
        </is>
      </c>
      <c r="G301" t="inlineStr">
        <is>
          <t>station_id 347 (ทล.9 กม.1+500)</t>
        </is>
      </c>
      <c r="H301" t="inlineStr">
        <is>
          <t>ทล. สถานีตัวแทนตอนควบคุม</t>
        </is>
      </c>
      <c r="I301" t="n">
        <v>17</v>
      </c>
      <c r="J301" t="n">
        <v>0</v>
      </c>
      <c r="K301" t="n">
        <v>4</v>
      </c>
      <c r="L301" s="5" t="n">
        <v>0.2353</v>
      </c>
      <c r="M301" t="inlineStr">
        <is>
          <t>low</t>
        </is>
      </c>
      <c r="N301" s="6" t="n">
        <v>146870</v>
      </c>
      <c r="O301" s="6" t="n">
        <v>165212</v>
      </c>
      <c r="P301" s="6" t="n">
        <v>160792</v>
      </c>
      <c r="Q301" s="6">
        <f>AVERAGE(N301:P301)</f>
        <v/>
      </c>
      <c r="R301" t="n">
        <v>3</v>
      </c>
      <c r="S301" t="n">
        <v>1</v>
      </c>
      <c r="T301" s="7">
        <f>365*R301*Q301*S301/1000000</f>
        <v/>
      </c>
      <c r="U301" s="8">
        <f>I301/T301</f>
        <v/>
      </c>
      <c r="V301" s="8">
        <f>SUMIF($E$2:$E$599,E301,$I$2:$I$599)/SUMIF($E$2:$E$599,E301,$T$2:$T$599)</f>
        <v/>
      </c>
      <c r="W301" s="8">
        <f>V301+1.645*SQRT(V301/T301)+1/(2*T301)</f>
        <v/>
      </c>
      <c r="X301" s="5">
        <f>U301/W301</f>
        <v/>
      </c>
      <c r="Y301">
        <f>IF(U301&gt;W301,"high",IF(U301&gt;V301,"medium","low"))</f>
        <v/>
      </c>
      <c r="Z301">
        <f>CHOOSE(MAX(IF(M301="high",2,IF(M301="medium",1,0)),IF(Y301="high",2,IF(Y301="medium",1,0)))+1,"low","medium","high")</f>
        <v/>
      </c>
      <c r="AA301">
        <f>IF(IF(M301="high",2,IF(M301="medium",1,0))=IF(Y301="high",2,IF(Y301="medium",1,0)),"SI และ Rate เท่ากัน",IF(IF(M301="high",2,IF(M301="medium",1,0))&gt;IF(Y301="high",2,IF(Y301="medium",1,0)),"SI","Rate"))</f>
        <v/>
      </c>
    </row>
    <row r="302">
      <c r="A302" t="inlineStr">
        <is>
          <t>zone_38</t>
        </is>
      </c>
      <c r="B302" t="inlineStr">
        <is>
          <t>ดาวคะนอง -  แสมดำ</t>
        </is>
      </c>
      <c r="C302" t="inlineStr">
        <is>
          <t>กรุงเทพมหานคร</t>
        </is>
      </c>
      <c r="D302" t="inlineStr">
        <is>
          <t>35</t>
        </is>
      </c>
      <c r="E302" t="inlineStr">
        <is>
          <t>ทล.</t>
        </is>
      </c>
      <c r="F302" t="inlineStr">
        <is>
          <t>11.9–12.85</t>
        </is>
      </c>
      <c r="G302" t="inlineStr">
        <is>
          <t>station_id 127 (ทล.35 กม.6+500)</t>
        </is>
      </c>
      <c r="H302" t="inlineStr">
        <is>
          <t>ทล. สถานีตัวแทนตอนควบคุม</t>
        </is>
      </c>
      <c r="I302" t="n">
        <v>26</v>
      </c>
      <c r="J302" t="n">
        <v>1</v>
      </c>
      <c r="K302" t="n">
        <v>6</v>
      </c>
      <c r="L302" s="5" t="n">
        <v>0.2692</v>
      </c>
      <c r="M302" t="inlineStr">
        <is>
          <t>low</t>
        </is>
      </c>
      <c r="N302" s="6" t="n">
        <v>256167</v>
      </c>
      <c r="O302" s="6" t="n">
        <v>260090</v>
      </c>
      <c r="P302" s="6" t="n">
        <v>259277</v>
      </c>
      <c r="Q302" s="6">
        <f>AVERAGE(N302:P302)</f>
        <v/>
      </c>
      <c r="R302" t="n">
        <v>3</v>
      </c>
      <c r="S302" t="n">
        <v>1</v>
      </c>
      <c r="T302" s="7">
        <f>365*R302*Q302*S302/1000000</f>
        <v/>
      </c>
      <c r="U302" s="8">
        <f>I302/T302</f>
        <v/>
      </c>
      <c r="V302" s="8">
        <f>SUMIF($E$2:$E$599,E302,$I$2:$I$599)/SUMIF($E$2:$E$599,E302,$T$2:$T$599)</f>
        <v/>
      </c>
      <c r="W302" s="8">
        <f>V302+1.645*SQRT(V302/T302)+1/(2*T302)</f>
        <v/>
      </c>
      <c r="X302" s="5">
        <f>U302/W302</f>
        <v/>
      </c>
      <c r="Y302">
        <f>IF(U302&gt;W302,"high",IF(U302&gt;V302,"medium","low"))</f>
        <v/>
      </c>
      <c r="Z302">
        <f>CHOOSE(MAX(IF(M302="high",2,IF(M302="medium",1,0)),IF(Y302="high",2,IF(Y302="medium",1,0)))+1,"low","medium","high")</f>
        <v/>
      </c>
      <c r="AA302">
        <f>IF(IF(M302="high",2,IF(M302="medium",1,0))=IF(Y302="high",2,IF(Y302="medium",1,0)),"SI และ Rate เท่ากัน",IF(IF(M302="high",2,IF(M302="medium",1,0))&gt;IF(Y302="high",2,IF(Y302="medium",1,0)),"SI","Rate"))</f>
        <v/>
      </c>
    </row>
    <row r="303">
      <c r="A303" t="inlineStr">
        <is>
          <t>zone_555</t>
        </is>
      </c>
      <c r="B303" t="inlineStr">
        <is>
          <t>ราษฎร์บูรณะ - พระสมุทรเจดีย์</t>
        </is>
      </c>
      <c r="C303" t="inlineStr">
        <is>
          <t>สมุทรปราการ</t>
        </is>
      </c>
      <c r="D303" t="inlineStr">
        <is>
          <t>303</t>
        </is>
      </c>
      <c r="E303" t="inlineStr">
        <is>
          <t>ทล.</t>
        </is>
      </c>
      <c r="F303" t="inlineStr">
        <is>
          <t>18.55–18.8</t>
        </is>
      </c>
      <c r="G303" t="inlineStr">
        <is>
          <t>station_id 93 (ทล.303 กม.14+000)</t>
        </is>
      </c>
      <c r="H303" t="inlineStr">
        <is>
          <t>ทล. สถานีตัวแทนตอนควบคุม</t>
        </is>
      </c>
      <c r="I303" t="n">
        <v>9</v>
      </c>
      <c r="J303" t="n">
        <v>0</v>
      </c>
      <c r="K303" t="n">
        <v>1</v>
      </c>
      <c r="L303" s="5" t="n">
        <v>0.1111</v>
      </c>
      <c r="M303" t="inlineStr">
        <is>
          <t>low</t>
        </is>
      </c>
      <c r="N303" s="6" t="n">
        <v>72796</v>
      </c>
      <c r="O303" s="6" t="n">
        <v>74031</v>
      </c>
      <c r="P303" s="6" t="n">
        <v>76209</v>
      </c>
      <c r="Q303" s="6">
        <f>AVERAGE(N303:P303)</f>
        <v/>
      </c>
      <c r="R303" t="n">
        <v>3</v>
      </c>
      <c r="S303" t="n">
        <v>1</v>
      </c>
      <c r="T303" s="7">
        <f>365*R303*Q303*S303/1000000</f>
        <v/>
      </c>
      <c r="U303" s="8">
        <f>I303/T303</f>
        <v/>
      </c>
      <c r="V303" s="8">
        <f>SUMIF($E$2:$E$599,E303,$I$2:$I$599)/SUMIF($E$2:$E$599,E303,$T$2:$T$599)</f>
        <v/>
      </c>
      <c r="W303" s="8">
        <f>V303+1.645*SQRT(V303/T303)+1/(2*T303)</f>
        <v/>
      </c>
      <c r="X303" s="5">
        <f>U303/W303</f>
        <v/>
      </c>
      <c r="Y303">
        <f>IF(U303&gt;W303,"high",IF(U303&gt;V303,"medium","low"))</f>
        <v/>
      </c>
      <c r="Z303">
        <f>CHOOSE(MAX(IF(M303="high",2,IF(M303="medium",1,0)),IF(Y303="high",2,IF(Y303="medium",1,0)))+1,"low","medium","high")</f>
        <v/>
      </c>
      <c r="AA303">
        <f>IF(IF(M303="high",2,IF(M303="medium",1,0))=IF(Y303="high",2,IF(Y303="medium",1,0)),"SI และ Rate เท่ากัน",IF(IF(M303="high",2,IF(M303="medium",1,0))&gt;IF(Y303="high",2,IF(Y303="medium",1,0)),"SI","Rate"))</f>
        <v/>
      </c>
    </row>
    <row r="304">
      <c r="A304" t="inlineStr">
        <is>
          <t>zone_611</t>
        </is>
      </c>
      <c r="B304" t="inlineStr">
        <is>
          <t>แสมดำ - สะพานข้ามแม่น้ำท่าจีนฝั่งตะวันตก</t>
        </is>
      </c>
      <c r="C304" t="inlineStr">
        <is>
          <t>สมุทรสาคร</t>
        </is>
      </c>
      <c r="D304" t="inlineStr">
        <is>
          <t>35</t>
        </is>
      </c>
      <c r="E304" t="inlineStr">
        <is>
          <t>ทล.</t>
        </is>
      </c>
      <c r="F304" t="inlineStr">
        <is>
          <t>27.2–28.2</t>
        </is>
      </c>
      <c r="G304" t="inlineStr">
        <is>
          <t>station_id 57 (ทล.35 กม.24+550)</t>
        </is>
      </c>
      <c r="H304" t="inlineStr">
        <is>
          <t>ทล. สถานีตัวแทนตอนควบคุม</t>
        </is>
      </c>
      <c r="I304" t="n">
        <v>15</v>
      </c>
      <c r="J304" t="n">
        <v>2</v>
      </c>
      <c r="K304" t="n">
        <v>8</v>
      </c>
      <c r="L304" s="5" t="n">
        <v>0.6667</v>
      </c>
      <c r="M304" t="inlineStr">
        <is>
          <t>low</t>
        </is>
      </c>
      <c r="N304" s="6" t="n">
        <v>129063</v>
      </c>
      <c r="O304" s="6" t="n">
        <v>149020</v>
      </c>
      <c r="P304" s="6" t="n">
        <v>143116</v>
      </c>
      <c r="Q304" s="6">
        <f>AVERAGE(N304:P304)</f>
        <v/>
      </c>
      <c r="R304" t="n">
        <v>3</v>
      </c>
      <c r="S304" t="n">
        <v>1</v>
      </c>
      <c r="T304" s="7">
        <f>365*R304*Q304*S304/1000000</f>
        <v/>
      </c>
      <c r="U304" s="8">
        <f>I304/T304</f>
        <v/>
      </c>
      <c r="V304" s="8">
        <f>SUMIF($E$2:$E$599,E304,$I$2:$I$599)/SUMIF($E$2:$E$599,E304,$T$2:$T$599)</f>
        <v/>
      </c>
      <c r="W304" s="8">
        <f>V304+1.645*SQRT(V304/T304)+1/(2*T304)</f>
        <v/>
      </c>
      <c r="X304" s="5">
        <f>U304/W304</f>
        <v/>
      </c>
      <c r="Y304">
        <f>IF(U304&gt;W304,"high",IF(U304&gt;V304,"medium","low"))</f>
        <v/>
      </c>
      <c r="Z304">
        <f>CHOOSE(MAX(IF(M304="high",2,IF(M304="medium",1,0)),IF(Y304="high",2,IF(Y304="medium",1,0)))+1,"low","medium","high")</f>
        <v/>
      </c>
      <c r="AA304">
        <f>IF(IF(M304="high",2,IF(M304="medium",1,0))=IF(Y304="high",2,IF(Y304="medium",1,0)),"SI และ Rate เท่ากัน",IF(IF(M304="high",2,IF(M304="medium",1,0))&gt;IF(Y304="high",2,IF(Y304="medium",1,0)),"SI","Rate"))</f>
        <v/>
      </c>
    </row>
    <row r="305">
      <c r="A305" t="inlineStr">
        <is>
          <t>zone_464</t>
        </is>
      </c>
      <c r="B305" t="inlineStr">
        <is>
          <t>แขวงคลองสองต้นนุ่น - พิมพา</t>
        </is>
      </c>
      <c r="C305" t="inlineStr">
        <is>
          <t>สมุทรปราการ</t>
        </is>
      </c>
      <c r="D305" t="inlineStr">
        <is>
          <t>7</t>
        </is>
      </c>
      <c r="E305" t="inlineStr">
        <is>
          <t>ทล.</t>
        </is>
      </c>
      <c r="F305" t="inlineStr">
        <is>
          <t>28.1–29.3</t>
        </is>
      </c>
      <c r="G305" t="inlineStr">
        <is>
          <t>station_id 345 (ทล.7 กม.17+000)</t>
        </is>
      </c>
      <c r="H305" t="inlineStr">
        <is>
          <t>ทล. สถานีตัวแทนตอนควบคุม</t>
        </is>
      </c>
      <c r="I305" t="n">
        <v>24</v>
      </c>
      <c r="J305" t="n">
        <v>0</v>
      </c>
      <c r="K305" t="n">
        <v>8</v>
      </c>
      <c r="L305" s="5" t="n">
        <v>0.3333</v>
      </c>
      <c r="M305" t="inlineStr">
        <is>
          <t>low</t>
        </is>
      </c>
      <c r="N305" s="6" t="n">
        <v>220901</v>
      </c>
      <c r="O305" s="6" t="n">
        <v>242192</v>
      </c>
      <c r="P305" s="6" t="n">
        <v>262343</v>
      </c>
      <c r="Q305" s="6">
        <f>AVERAGE(N305:P305)</f>
        <v/>
      </c>
      <c r="R305" t="n">
        <v>3</v>
      </c>
      <c r="S305" t="n">
        <v>1</v>
      </c>
      <c r="T305" s="7">
        <f>365*R305*Q305*S305/1000000</f>
        <v/>
      </c>
      <c r="U305" s="8">
        <f>I305/T305</f>
        <v/>
      </c>
      <c r="V305" s="8">
        <f>SUMIF($E$2:$E$599,E305,$I$2:$I$599)/SUMIF($E$2:$E$599,E305,$T$2:$T$599)</f>
        <v/>
      </c>
      <c r="W305" s="8">
        <f>V305+1.645*SQRT(V305/T305)+1/(2*T305)</f>
        <v/>
      </c>
      <c r="X305" s="5">
        <f>U305/W305</f>
        <v/>
      </c>
      <c r="Y305">
        <f>IF(U305&gt;W305,"high",IF(U305&gt;V305,"medium","low"))</f>
        <v/>
      </c>
      <c r="Z305">
        <f>CHOOSE(MAX(IF(M305="high",2,IF(M305="medium",1,0)),IF(Y305="high",2,IF(Y305="medium",1,0)))+1,"low","medium","high")</f>
        <v/>
      </c>
      <c r="AA305">
        <f>IF(IF(M305="high",2,IF(M305="medium",1,0))=IF(Y305="high",2,IF(Y305="medium",1,0)),"SI และ Rate เท่ากัน",IF(IF(M305="high",2,IF(M305="medium",1,0))&gt;IF(Y305="high",2,IF(Y305="medium",1,0)),"SI","Rate"))</f>
        <v/>
      </c>
    </row>
    <row r="306">
      <c r="A306" t="inlineStr">
        <is>
          <t>zone_271</t>
        </is>
      </c>
      <c r="B306" t="inlineStr">
        <is>
          <t>พญาไท-บางโคล่</t>
        </is>
      </c>
      <c r="C306" t="inlineStr">
        <is>
          <t>กรุงเทพมหานคร</t>
        </is>
      </c>
      <c r="D306" t="inlineStr">
        <is>
          <t>E002S007|U</t>
        </is>
      </c>
      <c r="E306" t="inlineStr">
        <is>
          <t>กทพ.</t>
        </is>
      </c>
      <c r="F306" t="inlineStr">
        <is>
          <t>6.9–7.5</t>
        </is>
      </c>
      <c r="G306" t="inlineStr">
        <is>
          <t>ศรีรัช</t>
        </is>
      </c>
      <c r="H306" t="inlineStr">
        <is>
          <t>กทพ. ยอดผ่านด่านทั้งสาย ÷ 365</t>
        </is>
      </c>
      <c r="I306" t="n">
        <v>10</v>
      </c>
      <c r="J306" t="n">
        <v>0</v>
      </c>
      <c r="K306" t="n">
        <v>4</v>
      </c>
      <c r="L306" s="5" t="n">
        <v>0.4</v>
      </c>
      <c r="M306" t="inlineStr">
        <is>
          <t>low</t>
        </is>
      </c>
      <c r="N306" s="6" t="n">
        <v>613083.1506849315</v>
      </c>
      <c r="O306" s="6" t="n">
        <v>601127.7068493151</v>
      </c>
      <c r="P306" s="6" t="n">
        <v>607857.5287671232</v>
      </c>
      <c r="Q306" s="6">
        <f>AVERAGE(N306:P306)</f>
        <v/>
      </c>
      <c r="R306" t="n">
        <v>3</v>
      </c>
      <c r="S306" t="n">
        <v>1</v>
      </c>
      <c r="T306" s="7">
        <f>365*R306*Q306*S306/1000000</f>
        <v/>
      </c>
      <c r="U306" s="8">
        <f>I306/T306</f>
        <v/>
      </c>
      <c r="V306" s="8">
        <f>SUMIF($E$2:$E$599,E306,$I$2:$I$599)/SUMIF($E$2:$E$599,E306,$T$2:$T$599)</f>
        <v/>
      </c>
      <c r="W306" s="8">
        <f>V306+1.645*SQRT(V306/T306)+1/(2*T306)</f>
        <v/>
      </c>
      <c r="X306" s="5">
        <f>U306/W306</f>
        <v/>
      </c>
      <c r="Y306">
        <f>IF(U306&gt;W306,"high",IF(U306&gt;V306,"medium","low"))</f>
        <v/>
      </c>
      <c r="Z306">
        <f>CHOOSE(MAX(IF(M306="high",2,IF(M306="medium",1,0)),IF(Y306="high",2,IF(Y306="medium",1,0)))+1,"low","medium","high")</f>
        <v/>
      </c>
      <c r="AA306">
        <f>IF(IF(M306="high",2,IF(M306="medium",1,0))=IF(Y306="high",2,IF(Y306="medium",1,0)),"SI และ Rate เท่ากัน",IF(IF(M306="high",2,IF(M306="medium",1,0))&gt;IF(Y306="high",2,IF(Y306="medium",1,0)),"SI","Rate"))</f>
        <v/>
      </c>
    </row>
    <row r="307">
      <c r="A307" t="inlineStr">
        <is>
          <t>zone_137</t>
        </is>
      </c>
      <c r="B307" t="inlineStr">
        <is>
          <t>บางแค - คลองมหาสวัสดิ์</t>
        </is>
      </c>
      <c r="C307" t="inlineStr">
        <is>
          <t>กรุงเทพมหานคร</t>
        </is>
      </c>
      <c r="D307" t="inlineStr">
        <is>
          <t>9</t>
        </is>
      </c>
      <c r="E307" t="inlineStr">
        <is>
          <t>ทล.</t>
        </is>
      </c>
      <c r="F307" t="inlineStr">
        <is>
          <t>20–22.028</t>
        </is>
      </c>
      <c r="G307" t="inlineStr">
        <is>
          <t>station_id 123 (ทล.9 กม.20+430)</t>
        </is>
      </c>
      <c r="H307" t="inlineStr">
        <is>
          <t>ทล. สถานีตัวแทนตอนควบคุม</t>
        </is>
      </c>
      <c r="I307" t="n">
        <v>17</v>
      </c>
      <c r="J307" t="n">
        <v>0</v>
      </c>
      <c r="K307" t="n">
        <v>6</v>
      </c>
      <c r="L307" s="5" t="n">
        <v>0.3529</v>
      </c>
      <c r="M307" t="inlineStr">
        <is>
          <t>low</t>
        </is>
      </c>
      <c r="N307" s="6" t="n">
        <v>161583</v>
      </c>
      <c r="O307" s="6" t="n">
        <v>167210</v>
      </c>
      <c r="P307" s="6" t="n">
        <v>164129</v>
      </c>
      <c r="Q307" s="6">
        <f>AVERAGE(N307:P307)</f>
        <v/>
      </c>
      <c r="R307" t="n">
        <v>3</v>
      </c>
      <c r="S307" t="n">
        <v>1</v>
      </c>
      <c r="T307" s="7">
        <f>365*R307*Q307*S307/1000000</f>
        <v/>
      </c>
      <c r="U307" s="8">
        <f>I307/T307</f>
        <v/>
      </c>
      <c r="V307" s="8">
        <f>SUMIF($E$2:$E$599,E307,$I$2:$I$599)/SUMIF($E$2:$E$599,E307,$T$2:$T$599)</f>
        <v/>
      </c>
      <c r="W307" s="8">
        <f>V307+1.645*SQRT(V307/T307)+1/(2*T307)</f>
        <v/>
      </c>
      <c r="X307" s="5">
        <f>U307/W307</f>
        <v/>
      </c>
      <c r="Y307">
        <f>IF(U307&gt;W307,"high",IF(U307&gt;V307,"medium","low"))</f>
        <v/>
      </c>
      <c r="Z307">
        <f>CHOOSE(MAX(IF(M307="high",2,IF(M307="medium",1,0)),IF(Y307="high",2,IF(Y307="medium",1,0)))+1,"low","medium","high")</f>
        <v/>
      </c>
      <c r="AA307">
        <f>IF(IF(M307="high",2,IF(M307="medium",1,0))=IF(Y307="high",2,IF(Y307="medium",1,0)),"SI และ Rate เท่ากัน",IF(IF(M307="high",2,IF(M307="medium",1,0))&gt;IF(Y307="high",2,IF(Y307="medium",1,0)),"SI","Rate"))</f>
        <v/>
      </c>
    </row>
    <row r="308">
      <c r="A308" t="inlineStr">
        <is>
          <t>zone_603</t>
        </is>
      </c>
      <c r="B308" t="inlineStr">
        <is>
          <t>แยกสาครเกษม - คลองมะเดื่อ</t>
        </is>
      </c>
      <c r="C308" t="inlineStr">
        <is>
          <t>สมุทรสาคร</t>
        </is>
      </c>
      <c r="D308" t="inlineStr">
        <is>
          <t>3651</t>
        </is>
      </c>
      <c r="E308" t="inlineStr">
        <is>
          <t>ทล.</t>
        </is>
      </c>
      <c r="F308" t="inlineStr">
        <is>
          <t>2.95–3.55</t>
        </is>
      </c>
      <c r="G308" t="inlineStr">
        <is>
          <t>station_id 61 (ทล.3091 กม.0+500)</t>
        </is>
      </c>
      <c r="H308" t="inlineStr">
        <is>
          <t>ทล. สถานีตัวแทนตอนควบคุม</t>
        </is>
      </c>
      <c r="I308" t="n">
        <v>5</v>
      </c>
      <c r="J308" t="n">
        <v>0</v>
      </c>
      <c r="K308" t="n">
        <v>1</v>
      </c>
      <c r="L308" s="5" t="n">
        <v>0.2</v>
      </c>
      <c r="M308" t="inlineStr">
        <is>
          <t>low</t>
        </is>
      </c>
      <c r="N308" s="6" t="n">
        <v>35856</v>
      </c>
      <c r="O308" s="6" t="n">
        <v>37288</v>
      </c>
      <c r="P308" s="6" t="n">
        <v>37588</v>
      </c>
      <c r="Q308" s="6">
        <f>AVERAGE(N308:P308)</f>
        <v/>
      </c>
      <c r="R308" t="n">
        <v>3</v>
      </c>
      <c r="S308" t="n">
        <v>1</v>
      </c>
      <c r="T308" s="7">
        <f>365*R308*Q308*S308/1000000</f>
        <v/>
      </c>
      <c r="U308" s="8">
        <f>I308/T308</f>
        <v/>
      </c>
      <c r="V308" s="8">
        <f>SUMIF($E$2:$E$599,E308,$I$2:$I$599)/SUMIF($E$2:$E$599,E308,$T$2:$T$599)</f>
        <v/>
      </c>
      <c r="W308" s="8">
        <f>V308+1.645*SQRT(V308/T308)+1/(2*T308)</f>
        <v/>
      </c>
      <c r="X308" s="5">
        <f>U308/W308</f>
        <v/>
      </c>
      <c r="Y308">
        <f>IF(U308&gt;W308,"high",IF(U308&gt;V308,"medium","low"))</f>
        <v/>
      </c>
      <c r="Z308">
        <f>CHOOSE(MAX(IF(M308="high",2,IF(M308="medium",1,0)),IF(Y308="high",2,IF(Y308="medium",1,0)))+1,"low","medium","high")</f>
        <v/>
      </c>
      <c r="AA308">
        <f>IF(IF(M308="high",2,IF(M308="medium",1,0))=IF(Y308="high",2,IF(Y308="medium",1,0)),"SI และ Rate เท่ากัน",IF(IF(M308="high",2,IF(M308="medium",1,0))&gt;IF(Y308="high",2,IF(Y308="medium",1,0)),"SI","Rate"))</f>
        <v/>
      </c>
    </row>
    <row r="309">
      <c r="A309" t="inlineStr">
        <is>
          <t>zone_619</t>
        </is>
      </c>
      <c r="B309" t="inlineStr">
        <is>
          <t>อ้อมน้อย - สมุทรสาคร</t>
        </is>
      </c>
      <c r="C309" t="inlineStr">
        <is>
          <t>สมุทรสาคร</t>
        </is>
      </c>
      <c r="D309" t="inlineStr">
        <is>
          <t>3091</t>
        </is>
      </c>
      <c r="E309" t="inlineStr">
        <is>
          <t>ทล.</t>
        </is>
      </c>
      <c r="F309" t="inlineStr">
        <is>
          <t>14.495–15.3</t>
        </is>
      </c>
      <c r="G309" t="inlineStr">
        <is>
          <t>station_id 61 (ทล.3091 กม.0+500)</t>
        </is>
      </c>
      <c r="H309" t="inlineStr">
        <is>
          <t>ทล. สถานีตัวแทนตอนควบคุม</t>
        </is>
      </c>
      <c r="I309" t="n">
        <v>5</v>
      </c>
      <c r="J309" t="n">
        <v>0</v>
      </c>
      <c r="K309" t="n">
        <v>3</v>
      </c>
      <c r="L309" s="5" t="n">
        <v>0.6</v>
      </c>
      <c r="M309" t="inlineStr">
        <is>
          <t>low</t>
        </is>
      </c>
      <c r="N309" s="6" t="n">
        <v>35856</v>
      </c>
      <c r="O309" s="6" t="n">
        <v>37288</v>
      </c>
      <c r="P309" s="6" t="n">
        <v>37588</v>
      </c>
      <c r="Q309" s="6">
        <f>AVERAGE(N309:P309)</f>
        <v/>
      </c>
      <c r="R309" t="n">
        <v>3</v>
      </c>
      <c r="S309" t="n">
        <v>1</v>
      </c>
      <c r="T309" s="7">
        <f>365*R309*Q309*S309/1000000</f>
        <v/>
      </c>
      <c r="U309" s="8">
        <f>I309/T309</f>
        <v/>
      </c>
      <c r="V309" s="8">
        <f>SUMIF($E$2:$E$599,E309,$I$2:$I$599)/SUMIF($E$2:$E$599,E309,$T$2:$T$599)</f>
        <v/>
      </c>
      <c r="W309" s="8">
        <f>V309+1.645*SQRT(V309/T309)+1/(2*T309)</f>
        <v/>
      </c>
      <c r="X309" s="5">
        <f>U309/W309</f>
        <v/>
      </c>
      <c r="Y309">
        <f>IF(U309&gt;W309,"high",IF(U309&gt;V309,"medium","low"))</f>
        <v/>
      </c>
      <c r="Z309">
        <f>CHOOSE(MAX(IF(M309="high",2,IF(M309="medium",1,0)),IF(Y309="high",2,IF(Y309="medium",1,0)))+1,"low","medium","high")</f>
        <v/>
      </c>
      <c r="AA309">
        <f>IF(IF(M309="high",2,IF(M309="medium",1,0))=IF(Y309="high",2,IF(Y309="medium",1,0)),"SI และ Rate เท่ากัน",IF(IF(M309="high",2,IF(M309="medium",1,0))&gt;IF(Y309="high",2,IF(Y309="medium",1,0)),"SI","Rate"))</f>
        <v/>
      </c>
    </row>
    <row r="310">
      <c r="A310" t="inlineStr">
        <is>
          <t>zone_29</t>
        </is>
      </c>
      <c r="B310" t="inlineStr">
        <is>
          <t>บางแค - คลองมหาสวัสดิ์</t>
        </is>
      </c>
      <c r="C310" t="inlineStr">
        <is>
          <t>กรุงเทพมหานคร</t>
        </is>
      </c>
      <c r="D310" t="inlineStr">
        <is>
          <t>3901</t>
        </is>
      </c>
      <c r="E310" t="inlineStr">
        <is>
          <t>ทล.</t>
        </is>
      </c>
      <c r="F310" t="inlineStr">
        <is>
          <t>28.2–28.3</t>
        </is>
      </c>
      <c r="G310" t="inlineStr">
        <is>
          <t>station_id 131 (ทล.3901 กม.20+430)</t>
        </is>
      </c>
      <c r="H310" t="inlineStr">
        <is>
          <t>ทล. สถานีตัวแทนตอนควบคุม</t>
        </is>
      </c>
      <c r="I310" t="n">
        <v>5</v>
      </c>
      <c r="J310" t="n">
        <v>0</v>
      </c>
      <c r="K310" t="n">
        <v>3</v>
      </c>
      <c r="L310" s="5" t="n">
        <v>0.6</v>
      </c>
      <c r="M310" t="inlineStr">
        <is>
          <t>low</t>
        </is>
      </c>
      <c r="N310" s="6" t="n">
        <v>33842</v>
      </c>
      <c r="O310" s="6" t="n">
        <v>35924</v>
      </c>
      <c r="P310" s="6" t="n">
        <v>41328</v>
      </c>
      <c r="Q310" s="6">
        <f>AVERAGE(N310:P310)</f>
        <v/>
      </c>
      <c r="R310" t="n">
        <v>3</v>
      </c>
      <c r="S310" t="n">
        <v>1</v>
      </c>
      <c r="T310" s="7">
        <f>365*R310*Q310*S310/1000000</f>
        <v/>
      </c>
      <c r="U310" s="8">
        <f>I310/T310</f>
        <v/>
      </c>
      <c r="V310" s="8">
        <f>SUMIF($E$2:$E$599,E310,$I$2:$I$599)/SUMIF($E$2:$E$599,E310,$T$2:$T$599)</f>
        <v/>
      </c>
      <c r="W310" s="8">
        <f>V310+1.645*SQRT(V310/T310)+1/(2*T310)</f>
        <v/>
      </c>
      <c r="X310" s="5">
        <f>U310/W310</f>
        <v/>
      </c>
      <c r="Y310">
        <f>IF(U310&gt;W310,"high",IF(U310&gt;V310,"medium","low"))</f>
        <v/>
      </c>
      <c r="Z310">
        <f>CHOOSE(MAX(IF(M310="high",2,IF(M310="medium",1,0)),IF(Y310="high",2,IF(Y310="medium",1,0)))+1,"low","medium","high")</f>
        <v/>
      </c>
      <c r="AA310">
        <f>IF(IF(M310="high",2,IF(M310="medium",1,0))=IF(Y310="high",2,IF(Y310="medium",1,0)),"SI และ Rate เท่ากัน",IF(IF(M310="high",2,IF(M310="medium",1,0))&gt;IF(Y310="high",2,IF(Y310="medium",1,0)),"SI","Rate"))</f>
        <v/>
      </c>
    </row>
    <row r="311">
      <c r="A311" t="inlineStr">
        <is>
          <t>zone_13</t>
        </is>
      </c>
      <c r="B311" t="inlineStr">
        <is>
          <t>อรุณอมรินทร์ - พุทธมณฑลสาย 4</t>
        </is>
      </c>
      <c r="C311" t="inlineStr">
        <is>
          <t>กรุงเทพมหานคร</t>
        </is>
      </c>
      <c r="D311" t="inlineStr">
        <is>
          <t>338</t>
        </is>
      </c>
      <c r="E311" t="inlineStr">
        <is>
          <t>ทล.</t>
        </is>
      </c>
      <c r="F311" t="inlineStr">
        <is>
          <t>13.84–14.32</t>
        </is>
      </c>
      <c r="G311" t="inlineStr">
        <is>
          <t>station_id 125 (ทล.338 กม.9+281)</t>
        </is>
      </c>
      <c r="H311" t="inlineStr">
        <is>
          <t>ทล. สถานีตัวแทนตอนควบคุม</t>
        </is>
      </c>
      <c r="I311" t="n">
        <v>15</v>
      </c>
      <c r="J311" t="n">
        <v>0</v>
      </c>
      <c r="K311" t="n">
        <v>6</v>
      </c>
      <c r="L311" s="5" t="n">
        <v>0.4</v>
      </c>
      <c r="M311" t="inlineStr">
        <is>
          <t>low</t>
        </is>
      </c>
      <c r="N311" s="6" t="n">
        <v>143761</v>
      </c>
      <c r="O311" s="6" t="n">
        <v>146988</v>
      </c>
      <c r="P311" s="6" t="n">
        <v>145895</v>
      </c>
      <c r="Q311" s="6">
        <f>AVERAGE(N311:P311)</f>
        <v/>
      </c>
      <c r="R311" t="n">
        <v>3</v>
      </c>
      <c r="S311" t="n">
        <v>1</v>
      </c>
      <c r="T311" s="7">
        <f>365*R311*Q311*S311/1000000</f>
        <v/>
      </c>
      <c r="U311" s="8">
        <f>I311/T311</f>
        <v/>
      </c>
      <c r="V311" s="8">
        <f>SUMIF($E$2:$E$599,E311,$I$2:$I$599)/SUMIF($E$2:$E$599,E311,$T$2:$T$599)</f>
        <v/>
      </c>
      <c r="W311" s="8">
        <f>V311+1.645*SQRT(V311/T311)+1/(2*T311)</f>
        <v/>
      </c>
      <c r="X311" s="5">
        <f>U311/W311</f>
        <v/>
      </c>
      <c r="Y311">
        <f>IF(U311&gt;W311,"high",IF(U311&gt;V311,"medium","low"))</f>
        <v/>
      </c>
      <c r="Z311">
        <f>CHOOSE(MAX(IF(M311="high",2,IF(M311="medium",1,0)),IF(Y311="high",2,IF(Y311="medium",1,0)))+1,"low","medium","high")</f>
        <v/>
      </c>
      <c r="AA311">
        <f>IF(IF(M311="high",2,IF(M311="medium",1,0))=IF(Y311="high",2,IF(Y311="medium",1,0)),"SI และ Rate เท่ากัน",IF(IF(M311="high",2,IF(M311="medium",1,0))&gt;IF(Y311="high",2,IF(Y311="medium",1,0)),"SI","Rate"))</f>
        <v/>
      </c>
    </row>
    <row r="312">
      <c r="A312" t="inlineStr">
        <is>
          <t>zone_25</t>
        </is>
      </c>
      <c r="B312" t="inlineStr">
        <is>
          <t>อรุณอมรินทร์ - พุทธมณฑลสาย4</t>
        </is>
      </c>
      <c r="C312" t="inlineStr">
        <is>
          <t>กรุงเทพมหานคร</t>
        </is>
      </c>
      <c r="D312" t="inlineStr">
        <is>
          <t>338</t>
        </is>
      </c>
      <c r="E312" t="inlineStr">
        <is>
          <t>ทล.</t>
        </is>
      </c>
      <c r="F312" t="inlineStr">
        <is>
          <t>13.27–13.7</t>
        </is>
      </c>
      <c r="G312" t="inlineStr">
        <is>
          <t>station_id 125 (ทล.338 กม.9+281)</t>
        </is>
      </c>
      <c r="H312" t="inlineStr">
        <is>
          <t>ทล. สถานีตัวแทนตอนควบคุม</t>
        </is>
      </c>
      <c r="I312" t="n">
        <v>15</v>
      </c>
      <c r="J312" t="n">
        <v>0</v>
      </c>
      <c r="K312" t="n">
        <v>7</v>
      </c>
      <c r="L312" s="5" t="n">
        <v>0.4667</v>
      </c>
      <c r="M312" t="inlineStr">
        <is>
          <t>low</t>
        </is>
      </c>
      <c r="N312" s="6" t="n">
        <v>143761</v>
      </c>
      <c r="O312" s="6" t="n">
        <v>146988</v>
      </c>
      <c r="P312" s="6" t="n">
        <v>145895</v>
      </c>
      <c r="Q312" s="6">
        <f>AVERAGE(N312:P312)</f>
        <v/>
      </c>
      <c r="R312" t="n">
        <v>3</v>
      </c>
      <c r="S312" t="n">
        <v>1</v>
      </c>
      <c r="T312" s="7">
        <f>365*R312*Q312*S312/1000000</f>
        <v/>
      </c>
      <c r="U312" s="8">
        <f>I312/T312</f>
        <v/>
      </c>
      <c r="V312" s="8">
        <f>SUMIF($E$2:$E$599,E312,$I$2:$I$599)/SUMIF($E$2:$E$599,E312,$T$2:$T$599)</f>
        <v/>
      </c>
      <c r="W312" s="8">
        <f>V312+1.645*SQRT(V312/T312)+1/(2*T312)</f>
        <v/>
      </c>
      <c r="X312" s="5">
        <f>U312/W312</f>
        <v/>
      </c>
      <c r="Y312">
        <f>IF(U312&gt;W312,"high",IF(U312&gt;V312,"medium","low"))</f>
        <v/>
      </c>
      <c r="Z312">
        <f>CHOOSE(MAX(IF(M312="high",2,IF(M312="medium",1,0)),IF(Y312="high",2,IF(Y312="medium",1,0)))+1,"low","medium","high")</f>
        <v/>
      </c>
      <c r="AA312">
        <f>IF(IF(M312="high",2,IF(M312="medium",1,0))=IF(Y312="high",2,IF(Y312="medium",1,0)),"SI และ Rate เท่ากัน",IF(IF(M312="high",2,IF(M312="medium",1,0))&gt;IF(Y312="high",2,IF(Y312="medium",1,0)),"SI","Rate"))</f>
        <v/>
      </c>
    </row>
    <row r="313">
      <c r="A313" t="inlineStr">
        <is>
          <t>zone_10</t>
        </is>
      </c>
      <c r="B313" t="inlineStr">
        <is>
          <t>อรุณอมรินทร์ - พุทธมณฑลสาย 4</t>
        </is>
      </c>
      <c r="C313" t="inlineStr">
        <is>
          <t>กรุงเทพมหานคร</t>
        </is>
      </c>
      <c r="D313" t="inlineStr">
        <is>
          <t>338</t>
        </is>
      </c>
      <c r="E313" t="inlineStr">
        <is>
          <t>ทล.</t>
        </is>
      </c>
      <c r="F313" t="inlineStr">
        <is>
          <t>1.958–2.2</t>
        </is>
      </c>
      <c r="G313" t="inlineStr">
        <is>
          <t>station_id 126 (ทล.338 กม.2+164)</t>
        </is>
      </c>
      <c r="H313" t="inlineStr">
        <is>
          <t>ทล. สถานีตัวแทนตอนควบคุม</t>
        </is>
      </c>
      <c r="I313" t="n">
        <v>8</v>
      </c>
      <c r="J313" t="n">
        <v>0</v>
      </c>
      <c r="K313" t="n">
        <v>4</v>
      </c>
      <c r="L313" s="5" t="n">
        <v>0.5</v>
      </c>
      <c r="M313" t="inlineStr">
        <is>
          <t>low</t>
        </is>
      </c>
      <c r="N313" s="6" t="n">
        <v>68592</v>
      </c>
      <c r="O313" s="6" t="n">
        <v>70016</v>
      </c>
      <c r="P313" s="6" t="n">
        <v>69899</v>
      </c>
      <c r="Q313" s="6">
        <f>AVERAGE(N313:P313)</f>
        <v/>
      </c>
      <c r="R313" t="n">
        <v>3</v>
      </c>
      <c r="S313" t="n">
        <v>1</v>
      </c>
      <c r="T313" s="7">
        <f>365*R313*Q313*S313/1000000</f>
        <v/>
      </c>
      <c r="U313" s="8">
        <f>I313/T313</f>
        <v/>
      </c>
      <c r="V313" s="8">
        <f>SUMIF($E$2:$E$599,E313,$I$2:$I$599)/SUMIF($E$2:$E$599,E313,$T$2:$T$599)</f>
        <v/>
      </c>
      <c r="W313" s="8">
        <f>V313+1.645*SQRT(V313/T313)+1/(2*T313)</f>
        <v/>
      </c>
      <c r="X313" s="5">
        <f>U313/W313</f>
        <v/>
      </c>
      <c r="Y313">
        <f>IF(U313&gt;W313,"high",IF(U313&gt;V313,"medium","low"))</f>
        <v/>
      </c>
      <c r="Z313">
        <f>CHOOSE(MAX(IF(M313="high",2,IF(M313="medium",1,0)),IF(Y313="high",2,IF(Y313="medium",1,0)))+1,"low","medium","high")</f>
        <v/>
      </c>
      <c r="AA313">
        <f>IF(IF(M313="high",2,IF(M313="medium",1,0))=IF(Y313="high",2,IF(Y313="medium",1,0)),"SI และ Rate เท่ากัน",IF(IF(M313="high",2,IF(M313="medium",1,0))&gt;IF(Y313="high",2,IF(Y313="medium",1,0)),"SI","Rate"))</f>
        <v/>
      </c>
    </row>
    <row r="314">
      <c r="A314" t="inlineStr">
        <is>
          <t>zone_1</t>
        </is>
      </c>
      <c r="B314" t="inlineStr">
        <is>
          <t>บางแค - คลองมหาสวัสดิ์</t>
        </is>
      </c>
      <c r="C314" t="inlineStr">
        <is>
          <t>กรุงเทพมหานคร</t>
        </is>
      </c>
      <c r="D314" t="inlineStr">
        <is>
          <t>9</t>
        </is>
      </c>
      <c r="E314" t="inlineStr">
        <is>
          <t>ทล.</t>
        </is>
      </c>
      <c r="F314" t="inlineStr">
        <is>
          <t>31.1–31.75</t>
        </is>
      </c>
      <c r="G314" t="inlineStr">
        <is>
          <t>station_id 123 (ทล.9 กม.20+430)</t>
        </is>
      </c>
      <c r="H314" t="inlineStr">
        <is>
          <t>ทล. สถานีตัวแทนตอนควบคุม</t>
        </is>
      </c>
      <c r="I314" t="n">
        <v>16</v>
      </c>
      <c r="J314" t="n">
        <v>0</v>
      </c>
      <c r="K314" t="n">
        <v>10</v>
      </c>
      <c r="L314" s="5" t="n">
        <v>0.625</v>
      </c>
      <c r="M314" t="inlineStr">
        <is>
          <t>low</t>
        </is>
      </c>
      <c r="N314" s="6" t="n">
        <v>161583</v>
      </c>
      <c r="O314" s="6" t="n">
        <v>167210</v>
      </c>
      <c r="P314" s="6" t="n">
        <v>164129</v>
      </c>
      <c r="Q314" s="6">
        <f>AVERAGE(N314:P314)</f>
        <v/>
      </c>
      <c r="R314" t="n">
        <v>3</v>
      </c>
      <c r="S314" t="n">
        <v>1</v>
      </c>
      <c r="T314" s="7">
        <f>365*R314*Q314*S314/1000000</f>
        <v/>
      </c>
      <c r="U314" s="8">
        <f>I314/T314</f>
        <v/>
      </c>
      <c r="V314" s="8">
        <f>SUMIF($E$2:$E$599,E314,$I$2:$I$599)/SUMIF($E$2:$E$599,E314,$T$2:$T$599)</f>
        <v/>
      </c>
      <c r="W314" s="8">
        <f>V314+1.645*SQRT(V314/T314)+1/(2*T314)</f>
        <v/>
      </c>
      <c r="X314" s="5">
        <f>U314/W314</f>
        <v/>
      </c>
      <c r="Y314">
        <f>IF(U314&gt;W314,"high",IF(U314&gt;V314,"medium","low"))</f>
        <v/>
      </c>
      <c r="Z314">
        <f>CHOOSE(MAX(IF(M314="high",2,IF(M314="medium",1,0)),IF(Y314="high",2,IF(Y314="medium",1,0)))+1,"low","medium","high")</f>
        <v/>
      </c>
      <c r="AA314">
        <f>IF(IF(M314="high",2,IF(M314="medium",1,0))=IF(Y314="high",2,IF(Y314="medium",1,0)),"SI และ Rate เท่ากัน",IF(IF(M314="high",2,IF(M314="medium",1,0))&gt;IF(Y314="high",2,IF(Y314="medium",1,0)),"SI","Rate"))</f>
        <v/>
      </c>
    </row>
    <row r="315">
      <c r="A315" t="inlineStr">
        <is>
          <t>zone_99</t>
        </is>
      </c>
      <c r="B315" t="inlineStr">
        <is>
          <t>ถนนศรีนครินทร - แขวงคลองสองต้นนุ่น</t>
        </is>
      </c>
      <c r="C315" t="inlineStr">
        <is>
          <t>กรุงเทพมหานคร</t>
        </is>
      </c>
      <c r="D315" t="inlineStr">
        <is>
          <t>7</t>
        </is>
      </c>
      <c r="E315" t="inlineStr">
        <is>
          <t>ทล.</t>
        </is>
      </c>
      <c r="F315" t="inlineStr">
        <is>
          <t>1.8–3.3</t>
        </is>
      </c>
      <c r="G315" t="inlineStr">
        <is>
          <t>station_id 345 (ทล.7 กม.17+000)</t>
        </is>
      </c>
      <c r="H315" t="inlineStr">
        <is>
          <t>ทล. สถานีตัวแทนตอนควบคุม</t>
        </is>
      </c>
      <c r="I315" t="n">
        <v>22</v>
      </c>
      <c r="J315" t="n">
        <v>0</v>
      </c>
      <c r="K315" t="n">
        <v>17</v>
      </c>
      <c r="L315" s="5" t="n">
        <v>0.7727000000000001</v>
      </c>
      <c r="M315" t="inlineStr">
        <is>
          <t>low</t>
        </is>
      </c>
      <c r="N315" s="6" t="n">
        <v>220901</v>
      </c>
      <c r="O315" s="6" t="n">
        <v>242192</v>
      </c>
      <c r="P315" s="6" t="n">
        <v>262343</v>
      </c>
      <c r="Q315" s="6">
        <f>AVERAGE(N315:P315)</f>
        <v/>
      </c>
      <c r="R315" t="n">
        <v>3</v>
      </c>
      <c r="S315" t="n">
        <v>1</v>
      </c>
      <c r="T315" s="7">
        <f>365*R315*Q315*S315/1000000</f>
        <v/>
      </c>
      <c r="U315" s="8">
        <f>I315/T315</f>
        <v/>
      </c>
      <c r="V315" s="8">
        <f>SUMIF($E$2:$E$599,E315,$I$2:$I$599)/SUMIF($E$2:$E$599,E315,$T$2:$T$599)</f>
        <v/>
      </c>
      <c r="W315" s="8">
        <f>V315+1.645*SQRT(V315/T315)+1/(2*T315)</f>
        <v/>
      </c>
      <c r="X315" s="5">
        <f>U315/W315</f>
        <v/>
      </c>
      <c r="Y315">
        <f>IF(U315&gt;W315,"high",IF(U315&gt;V315,"medium","low"))</f>
        <v/>
      </c>
      <c r="Z315">
        <f>CHOOSE(MAX(IF(M315="high",2,IF(M315="medium",1,0)),IF(Y315="high",2,IF(Y315="medium",1,0)))+1,"low","medium","high")</f>
        <v/>
      </c>
      <c r="AA315">
        <f>IF(IF(M315="high",2,IF(M315="medium",1,0))=IF(Y315="high",2,IF(Y315="medium",1,0)),"SI และ Rate เท่ากัน",IF(IF(M315="high",2,IF(M315="medium",1,0))&gt;IF(Y315="high",2,IF(Y315="medium",1,0)),"SI","Rate"))</f>
        <v/>
      </c>
    </row>
    <row r="316">
      <c r="A316" t="inlineStr">
        <is>
          <t>zone_311</t>
        </is>
      </c>
      <c r="B316" t="inlineStr">
        <is>
          <t>รามอินทรา-อาจณรงค์</t>
        </is>
      </c>
      <c r="C316" t="inlineStr">
        <is>
          <t>กรุงเทพมหานคร</t>
        </is>
      </c>
      <c r="D316" t="inlineStr">
        <is>
          <t>E003S008|U</t>
        </is>
      </c>
      <c r="E316" t="inlineStr">
        <is>
          <t>กทพ.</t>
        </is>
      </c>
      <c r="F316" t="inlineStr">
        <is>
          <t>5.5–5.5</t>
        </is>
      </c>
      <c r="G316" t="inlineStr">
        <is>
          <t>ฉลองรัช</t>
        </is>
      </c>
      <c r="H316" t="inlineStr">
        <is>
          <t>กทพ. ยอดผ่านด่านทั้งสาย ÷ 365</t>
        </is>
      </c>
      <c r="I316" t="n">
        <v>4</v>
      </c>
      <c r="J316" t="n">
        <v>0</v>
      </c>
      <c r="K316" t="n">
        <v>0</v>
      </c>
      <c r="L316" s="5" t="n">
        <v>0</v>
      </c>
      <c r="M316" t="inlineStr">
        <is>
          <t>low</t>
        </is>
      </c>
      <c r="N316" s="6" t="n">
        <v>213053.802739726</v>
      </c>
      <c r="O316" s="6" t="n">
        <v>207436.4739726027</v>
      </c>
      <c r="P316" s="6" t="n">
        <v>205336.6383561644</v>
      </c>
      <c r="Q316" s="6">
        <f>AVERAGE(N316:P316)</f>
        <v/>
      </c>
      <c r="R316" t="n">
        <v>3</v>
      </c>
      <c r="S316" t="n">
        <v>1</v>
      </c>
      <c r="T316" s="7">
        <f>365*R316*Q316*S316/1000000</f>
        <v/>
      </c>
      <c r="U316" s="8">
        <f>I316/T316</f>
        <v/>
      </c>
      <c r="V316" s="8">
        <f>SUMIF($E$2:$E$599,E316,$I$2:$I$599)/SUMIF($E$2:$E$599,E316,$T$2:$T$599)</f>
        <v/>
      </c>
      <c r="W316" s="8">
        <f>V316+1.645*SQRT(V316/T316)+1/(2*T316)</f>
        <v/>
      </c>
      <c r="X316" s="5">
        <f>U316/W316</f>
        <v/>
      </c>
      <c r="Y316">
        <f>IF(U316&gt;W316,"high",IF(U316&gt;V316,"medium","low"))</f>
        <v/>
      </c>
      <c r="Z316">
        <f>CHOOSE(MAX(IF(M316="high",2,IF(M316="medium",1,0)),IF(Y316="high",2,IF(Y316="medium",1,0)))+1,"low","medium","high")</f>
        <v/>
      </c>
      <c r="AA316">
        <f>IF(IF(M316="high",2,IF(M316="medium",1,0))=IF(Y316="high",2,IF(Y316="medium",1,0)),"SI และ Rate เท่ากัน",IF(IF(M316="high",2,IF(M316="medium",1,0))&gt;IF(Y316="high",2,IF(Y316="medium",1,0)),"SI","Rate"))</f>
        <v/>
      </c>
    </row>
    <row r="317">
      <c r="A317" t="inlineStr">
        <is>
          <t>zone_397</t>
        </is>
      </c>
      <c r="B317" t="inlineStr">
        <is>
          <t>บางปะอิน - แขวงรามอินทรา</t>
        </is>
      </c>
      <c r="C317" t="inlineStr">
        <is>
          <t>ปทุมธานี</t>
        </is>
      </c>
      <c r="D317" t="inlineStr">
        <is>
          <t>9</t>
        </is>
      </c>
      <c r="E317" t="inlineStr">
        <is>
          <t>ทล.</t>
        </is>
      </c>
      <c r="F317" t="inlineStr">
        <is>
          <t>10.72–12.5</t>
        </is>
      </c>
      <c r="G317" t="inlineStr">
        <is>
          <t>station_id 347 (ทล.9 กม.1+500)</t>
        </is>
      </c>
      <c r="H317" t="inlineStr">
        <is>
          <t>ทล. สถานีตัวแทนตอนควบคุม</t>
        </is>
      </c>
      <c r="I317" t="n">
        <v>15</v>
      </c>
      <c r="J317" t="n">
        <v>0</v>
      </c>
      <c r="K317" t="n">
        <v>11</v>
      </c>
      <c r="L317" s="5" t="n">
        <v>0.7333</v>
      </c>
      <c r="M317" t="inlineStr">
        <is>
          <t>low</t>
        </is>
      </c>
      <c r="N317" s="6" t="n">
        <v>146870</v>
      </c>
      <c r="O317" s="6" t="n">
        <v>165212</v>
      </c>
      <c r="P317" s="6" t="n">
        <v>160792</v>
      </c>
      <c r="Q317" s="6">
        <f>AVERAGE(N317:P317)</f>
        <v/>
      </c>
      <c r="R317" t="n">
        <v>3</v>
      </c>
      <c r="S317" t="n">
        <v>1</v>
      </c>
      <c r="T317" s="7">
        <f>365*R317*Q317*S317/1000000</f>
        <v/>
      </c>
      <c r="U317" s="8">
        <f>I317/T317</f>
        <v/>
      </c>
      <c r="V317" s="8">
        <f>SUMIF($E$2:$E$599,E317,$I$2:$I$599)/SUMIF($E$2:$E$599,E317,$T$2:$T$599)</f>
        <v/>
      </c>
      <c r="W317" s="8">
        <f>V317+1.645*SQRT(V317/T317)+1/(2*T317)</f>
        <v/>
      </c>
      <c r="X317" s="5">
        <f>U317/W317</f>
        <v/>
      </c>
      <c r="Y317">
        <f>IF(U317&gt;W317,"high",IF(U317&gt;V317,"medium","low"))</f>
        <v/>
      </c>
      <c r="Z317">
        <f>CHOOSE(MAX(IF(M317="high",2,IF(M317="medium",1,0)),IF(Y317="high",2,IF(Y317="medium",1,0)))+1,"low","medium","high")</f>
        <v/>
      </c>
      <c r="AA317">
        <f>IF(IF(M317="high",2,IF(M317="medium",1,0))=IF(Y317="high",2,IF(Y317="medium",1,0)),"SI และ Rate เท่ากัน",IF(IF(M317="high",2,IF(M317="medium",1,0))&gt;IF(Y317="high",2,IF(Y317="medium",1,0)),"SI","Rate"))</f>
        <v/>
      </c>
    </row>
    <row r="318">
      <c r="A318" t="inlineStr">
        <is>
          <t>zone_31</t>
        </is>
      </c>
      <c r="B318" t="inlineStr">
        <is>
          <t>ดาวคะนอง -  แสมดำ</t>
        </is>
      </c>
      <c r="C318" t="inlineStr">
        <is>
          <t>กรุงเทพมหานคร</t>
        </is>
      </c>
      <c r="D318" t="inlineStr">
        <is>
          <t>35</t>
        </is>
      </c>
      <c r="E318" t="inlineStr">
        <is>
          <t>ทล.</t>
        </is>
      </c>
      <c r="F318" t="inlineStr">
        <is>
          <t>10–11</t>
        </is>
      </c>
      <c r="G318" t="inlineStr">
        <is>
          <t>station_id 127 (ทล.35 กม.6+500)</t>
        </is>
      </c>
      <c r="H318" t="inlineStr">
        <is>
          <t>ทล. สถานีตัวแทนตอนควบคุม</t>
        </is>
      </c>
      <c r="I318" t="n">
        <v>23</v>
      </c>
      <c r="J318" t="n">
        <v>1</v>
      </c>
      <c r="K318" t="n">
        <v>14</v>
      </c>
      <c r="L318" s="5" t="n">
        <v>0.6522</v>
      </c>
      <c r="M318" t="inlineStr">
        <is>
          <t>low</t>
        </is>
      </c>
      <c r="N318" s="6" t="n">
        <v>256167</v>
      </c>
      <c r="O318" s="6" t="n">
        <v>260090</v>
      </c>
      <c r="P318" s="6" t="n">
        <v>259277</v>
      </c>
      <c r="Q318" s="6">
        <f>AVERAGE(N318:P318)</f>
        <v/>
      </c>
      <c r="R318" t="n">
        <v>3</v>
      </c>
      <c r="S318" t="n">
        <v>1</v>
      </c>
      <c r="T318" s="7">
        <f>365*R318*Q318*S318/1000000</f>
        <v/>
      </c>
      <c r="U318" s="8">
        <f>I318/T318</f>
        <v/>
      </c>
      <c r="V318" s="8">
        <f>SUMIF($E$2:$E$599,E318,$I$2:$I$599)/SUMIF($E$2:$E$599,E318,$T$2:$T$599)</f>
        <v/>
      </c>
      <c r="W318" s="8">
        <f>V318+1.645*SQRT(V318/T318)+1/(2*T318)</f>
        <v/>
      </c>
      <c r="X318" s="5">
        <f>U318/W318</f>
        <v/>
      </c>
      <c r="Y318">
        <f>IF(U318&gt;W318,"high",IF(U318&gt;V318,"medium","low"))</f>
        <v/>
      </c>
      <c r="Z318">
        <f>CHOOSE(MAX(IF(M318="high",2,IF(M318="medium",1,0)),IF(Y318="high",2,IF(Y318="medium",1,0)))+1,"low","medium","high")</f>
        <v/>
      </c>
      <c r="AA318">
        <f>IF(IF(M318="high",2,IF(M318="medium",1,0))=IF(Y318="high",2,IF(Y318="medium",1,0)),"SI และ Rate เท่ากัน",IF(IF(M318="high",2,IF(M318="medium",1,0))&gt;IF(Y318="high",2,IF(Y318="medium",1,0)),"SI","Rate"))</f>
        <v/>
      </c>
    </row>
    <row r="319">
      <c r="A319" t="inlineStr">
        <is>
          <t>zone_37</t>
        </is>
      </c>
      <c r="B319" t="inlineStr">
        <is>
          <t>ดาวคะนอง -  แสมดำ</t>
        </is>
      </c>
      <c r="C319" t="inlineStr">
        <is>
          <t>กรุงเทพมหานคร</t>
        </is>
      </c>
      <c r="D319" t="inlineStr">
        <is>
          <t>35</t>
        </is>
      </c>
      <c r="E319" t="inlineStr">
        <is>
          <t>ทล.</t>
        </is>
      </c>
      <c r="F319" t="inlineStr">
        <is>
          <t>13.7–14.6</t>
        </is>
      </c>
      <c r="G319" t="inlineStr">
        <is>
          <t>station_id 127 (ทล.35 กม.6+500)</t>
        </is>
      </c>
      <c r="H319" t="inlineStr">
        <is>
          <t>ทล. สถานีตัวแทนตอนควบคุม</t>
        </is>
      </c>
      <c r="I319" t="n">
        <v>23</v>
      </c>
      <c r="J319" t="n">
        <v>0</v>
      </c>
      <c r="K319" t="n">
        <v>9</v>
      </c>
      <c r="L319" s="5" t="n">
        <v>0.3913</v>
      </c>
      <c r="M319" t="inlineStr">
        <is>
          <t>low</t>
        </is>
      </c>
      <c r="N319" s="6" t="n">
        <v>256167</v>
      </c>
      <c r="O319" s="6" t="n">
        <v>260090</v>
      </c>
      <c r="P319" s="6" t="n">
        <v>259277</v>
      </c>
      <c r="Q319" s="6">
        <f>AVERAGE(N319:P319)</f>
        <v/>
      </c>
      <c r="R319" t="n">
        <v>3</v>
      </c>
      <c r="S319" t="n">
        <v>1</v>
      </c>
      <c r="T319" s="7">
        <f>365*R319*Q319*S319/1000000</f>
        <v/>
      </c>
      <c r="U319" s="8">
        <f>I319/T319</f>
        <v/>
      </c>
      <c r="V319" s="8">
        <f>SUMIF($E$2:$E$599,E319,$I$2:$I$599)/SUMIF($E$2:$E$599,E319,$T$2:$T$599)</f>
        <v/>
      </c>
      <c r="W319" s="8">
        <f>V319+1.645*SQRT(V319/T319)+1/(2*T319)</f>
        <v/>
      </c>
      <c r="X319" s="5">
        <f>U319/W319</f>
        <v/>
      </c>
      <c r="Y319">
        <f>IF(U319&gt;W319,"high",IF(U319&gt;V319,"medium","low"))</f>
        <v/>
      </c>
      <c r="Z319">
        <f>CHOOSE(MAX(IF(M319="high",2,IF(M319="medium",1,0)),IF(Y319="high",2,IF(Y319="medium",1,0)))+1,"low","medium","high")</f>
        <v/>
      </c>
      <c r="AA319">
        <f>IF(IF(M319="high",2,IF(M319="medium",1,0))=IF(Y319="high",2,IF(Y319="medium",1,0)),"SI และ Rate เท่ากัน",IF(IF(M319="high",2,IF(M319="medium",1,0))&gt;IF(Y319="high",2,IF(Y319="medium",1,0)),"SI","Rate"))</f>
        <v/>
      </c>
    </row>
    <row r="320">
      <c r="A320" t="inlineStr">
        <is>
          <t>zone_55</t>
        </is>
      </c>
      <c r="B320" t="inlineStr">
        <is>
          <t>ดาวคะนอง -  แสมดำ</t>
        </is>
      </c>
      <c r="C320" t="inlineStr">
        <is>
          <t>กรุงเทพมหานคร</t>
        </is>
      </c>
      <c r="D320" t="inlineStr">
        <is>
          <t>35</t>
        </is>
      </c>
      <c r="E320" t="inlineStr">
        <is>
          <t>ทล.</t>
        </is>
      </c>
      <c r="F320" t="inlineStr">
        <is>
          <t>9–14.625</t>
        </is>
      </c>
      <c r="G320" t="inlineStr">
        <is>
          <t>station_id 127 (ทล.35 กม.6+500)</t>
        </is>
      </c>
      <c r="H320" t="inlineStr">
        <is>
          <t>ทล. สถานีตัวแทนตอนควบคุม</t>
        </is>
      </c>
      <c r="I320" t="n">
        <v>23</v>
      </c>
      <c r="J320" t="n">
        <v>0</v>
      </c>
      <c r="K320" t="n">
        <v>14</v>
      </c>
      <c r="L320" s="5" t="n">
        <v>0.6087</v>
      </c>
      <c r="M320" t="inlineStr">
        <is>
          <t>low</t>
        </is>
      </c>
      <c r="N320" s="6" t="n">
        <v>256167</v>
      </c>
      <c r="O320" s="6" t="n">
        <v>260090</v>
      </c>
      <c r="P320" s="6" t="n">
        <v>259277</v>
      </c>
      <c r="Q320" s="6">
        <f>AVERAGE(N320:P320)</f>
        <v/>
      </c>
      <c r="R320" t="n">
        <v>3</v>
      </c>
      <c r="S320" t="n">
        <v>1</v>
      </c>
      <c r="T320" s="7">
        <f>365*R320*Q320*S320/1000000</f>
        <v/>
      </c>
      <c r="U320" s="8">
        <f>I320/T320</f>
        <v/>
      </c>
      <c r="V320" s="8">
        <f>SUMIF($E$2:$E$599,E320,$I$2:$I$599)/SUMIF($E$2:$E$599,E320,$T$2:$T$599)</f>
        <v/>
      </c>
      <c r="W320" s="8">
        <f>V320+1.645*SQRT(V320/T320)+1/(2*T320)</f>
        <v/>
      </c>
      <c r="X320" s="5">
        <f>U320/W320</f>
        <v/>
      </c>
      <c r="Y320">
        <f>IF(U320&gt;W320,"high",IF(U320&gt;V320,"medium","low"))</f>
        <v/>
      </c>
      <c r="Z320">
        <f>CHOOSE(MAX(IF(M320="high",2,IF(M320="medium",1,0)),IF(Y320="high",2,IF(Y320="medium",1,0)))+1,"low","medium","high")</f>
        <v/>
      </c>
      <c r="AA320">
        <f>IF(IF(M320="high",2,IF(M320="medium",1,0))=IF(Y320="high",2,IF(Y320="medium",1,0)),"SI และ Rate เท่ากัน",IF(IF(M320="high",2,IF(M320="medium",1,0))&gt;IF(Y320="high",2,IF(Y320="medium",1,0)),"SI","Rate"))</f>
        <v/>
      </c>
    </row>
    <row r="321">
      <c r="A321" t="inlineStr">
        <is>
          <t>zone_201</t>
        </is>
      </c>
      <c r="B321" t="inlineStr">
        <is>
          <t>พญาไท-ศรีนครินทร์</t>
        </is>
      </c>
      <c r="C321" t="inlineStr">
        <is>
          <t>กรุงเทพมหานคร</t>
        </is>
      </c>
      <c r="D321" t="inlineStr">
        <is>
          <t>E002S016|I</t>
        </is>
      </c>
      <c r="E321" t="inlineStr">
        <is>
          <t>กทพ.</t>
        </is>
      </c>
      <c r="F321" t="inlineStr">
        <is>
          <t>7.1–7.3</t>
        </is>
      </c>
      <c r="G321" t="inlineStr">
        <is>
          <t>ศรีรัช</t>
        </is>
      </c>
      <c r="H321" t="inlineStr">
        <is>
          <t>กทพ. ยอดผ่านด่านทั้งสาย ÷ 365</t>
        </is>
      </c>
      <c r="I321" t="n">
        <v>9</v>
      </c>
      <c r="J321" t="n">
        <v>0</v>
      </c>
      <c r="K321" t="n">
        <v>0</v>
      </c>
      <c r="L321" s="5" t="n">
        <v>0</v>
      </c>
      <c r="M321" t="inlineStr">
        <is>
          <t>low</t>
        </is>
      </c>
      <c r="N321" s="6" t="n">
        <v>613083.1506849315</v>
      </c>
      <c r="O321" s="6" t="n">
        <v>601127.7068493151</v>
      </c>
      <c r="P321" s="6" t="n">
        <v>607857.5287671232</v>
      </c>
      <c r="Q321" s="6">
        <f>AVERAGE(N321:P321)</f>
        <v/>
      </c>
      <c r="R321" t="n">
        <v>3</v>
      </c>
      <c r="S321" t="n">
        <v>1</v>
      </c>
      <c r="T321" s="7">
        <f>365*R321*Q321*S321/1000000</f>
        <v/>
      </c>
      <c r="U321" s="8">
        <f>I321/T321</f>
        <v/>
      </c>
      <c r="V321" s="8">
        <f>SUMIF($E$2:$E$599,E321,$I$2:$I$599)/SUMIF($E$2:$E$599,E321,$T$2:$T$599)</f>
        <v/>
      </c>
      <c r="W321" s="8">
        <f>V321+1.645*SQRT(V321/T321)+1/(2*T321)</f>
        <v/>
      </c>
      <c r="X321" s="5">
        <f>U321/W321</f>
        <v/>
      </c>
      <c r="Y321">
        <f>IF(U321&gt;W321,"high",IF(U321&gt;V321,"medium","low"))</f>
        <v/>
      </c>
      <c r="Z321">
        <f>CHOOSE(MAX(IF(M321="high",2,IF(M321="medium",1,0)),IF(Y321="high",2,IF(Y321="medium",1,0)))+1,"low","medium","high")</f>
        <v/>
      </c>
      <c r="AA321">
        <f>IF(IF(M321="high",2,IF(M321="medium",1,0))=IF(Y321="high",2,IF(Y321="medium",1,0)),"SI และ Rate เท่ากัน",IF(IF(M321="high",2,IF(M321="medium",1,0))&gt;IF(Y321="high",2,IF(Y321="medium",1,0)),"SI","Rate"))</f>
        <v/>
      </c>
    </row>
    <row r="322">
      <c r="A322" t="inlineStr">
        <is>
          <t>zone_266</t>
        </is>
      </c>
      <c r="B322" t="inlineStr">
        <is>
          <t>แจ้งวัฒนะ-พญาไท</t>
        </is>
      </c>
      <c r="C322" t="inlineStr">
        <is>
          <t>กรุงเทพมหานคร</t>
        </is>
      </c>
      <c r="D322" t="inlineStr">
        <is>
          <t>E002S014|I</t>
        </is>
      </c>
      <c r="E322" t="inlineStr">
        <is>
          <t>กทพ.</t>
        </is>
      </c>
      <c r="F322" t="inlineStr">
        <is>
          <t>14.6–14.9</t>
        </is>
      </c>
      <c r="G322" t="inlineStr">
        <is>
          <t>ศรีรัช</t>
        </is>
      </c>
      <c r="H322" t="inlineStr">
        <is>
          <t>กทพ. ยอดผ่านด่านทั้งสาย ÷ 365</t>
        </is>
      </c>
      <c r="I322" t="n">
        <v>9</v>
      </c>
      <c r="J322" t="n">
        <v>0</v>
      </c>
      <c r="K322" t="n">
        <v>6</v>
      </c>
      <c r="L322" s="5" t="n">
        <v>0.6667</v>
      </c>
      <c r="M322" t="inlineStr">
        <is>
          <t>low</t>
        </is>
      </c>
      <c r="N322" s="6" t="n">
        <v>613083.1506849315</v>
      </c>
      <c r="O322" s="6" t="n">
        <v>601127.7068493151</v>
      </c>
      <c r="P322" s="6" t="n">
        <v>607857.5287671232</v>
      </c>
      <c r="Q322" s="6">
        <f>AVERAGE(N322:P322)</f>
        <v/>
      </c>
      <c r="R322" t="n">
        <v>3</v>
      </c>
      <c r="S322" t="n">
        <v>1</v>
      </c>
      <c r="T322" s="7">
        <f>365*R322*Q322*S322/1000000</f>
        <v/>
      </c>
      <c r="U322" s="8">
        <f>I322/T322</f>
        <v/>
      </c>
      <c r="V322" s="8">
        <f>SUMIF($E$2:$E$599,E322,$I$2:$I$599)/SUMIF($E$2:$E$599,E322,$T$2:$T$599)</f>
        <v/>
      </c>
      <c r="W322" s="8">
        <f>V322+1.645*SQRT(V322/T322)+1/(2*T322)</f>
        <v/>
      </c>
      <c r="X322" s="5">
        <f>U322/W322</f>
        <v/>
      </c>
      <c r="Y322">
        <f>IF(U322&gt;W322,"high",IF(U322&gt;V322,"medium","low"))</f>
        <v/>
      </c>
      <c r="Z322">
        <f>CHOOSE(MAX(IF(M322="high",2,IF(M322="medium",1,0)),IF(Y322="high",2,IF(Y322="medium",1,0)))+1,"low","medium","high")</f>
        <v/>
      </c>
      <c r="AA322">
        <f>IF(IF(M322="high",2,IF(M322="medium",1,0))=IF(Y322="high",2,IF(Y322="medium",1,0)),"SI และ Rate เท่ากัน",IF(IF(M322="high",2,IF(M322="medium",1,0))&gt;IF(Y322="high",2,IF(Y322="medium",1,0)),"SI","Rate"))</f>
        <v/>
      </c>
    </row>
    <row r="323">
      <c r="A323" t="inlineStr">
        <is>
          <t>zone_280</t>
        </is>
      </c>
      <c r="B323" t="inlineStr">
        <is>
          <t>แจ้งวัฒนะ-พญาไท</t>
        </is>
      </c>
      <c r="C323" t="inlineStr">
        <is>
          <t>กรุงเทพมหานคร</t>
        </is>
      </c>
      <c r="D323" t="inlineStr">
        <is>
          <t>E002S014|U</t>
        </is>
      </c>
      <c r="E323" t="inlineStr">
        <is>
          <t>กทพ.</t>
        </is>
      </c>
      <c r="F323" t="inlineStr">
        <is>
          <t>15.2–15.7</t>
        </is>
      </c>
      <c r="G323" t="inlineStr">
        <is>
          <t>ศรีรัช</t>
        </is>
      </c>
      <c r="H323" t="inlineStr">
        <is>
          <t>กทพ. ยอดผ่านด่านทั้งสาย ÷ 365</t>
        </is>
      </c>
      <c r="I323" t="n">
        <v>9</v>
      </c>
      <c r="J323" t="n">
        <v>0</v>
      </c>
      <c r="K323" t="n">
        <v>4</v>
      </c>
      <c r="L323" s="5" t="n">
        <v>0.4444</v>
      </c>
      <c r="M323" t="inlineStr">
        <is>
          <t>low</t>
        </is>
      </c>
      <c r="N323" s="6" t="n">
        <v>613083.1506849315</v>
      </c>
      <c r="O323" s="6" t="n">
        <v>601127.7068493151</v>
      </c>
      <c r="P323" s="6" t="n">
        <v>607857.5287671232</v>
      </c>
      <c r="Q323" s="6">
        <f>AVERAGE(N323:P323)</f>
        <v/>
      </c>
      <c r="R323" t="n">
        <v>3</v>
      </c>
      <c r="S323" t="n">
        <v>1</v>
      </c>
      <c r="T323" s="7">
        <f>365*R323*Q323*S323/1000000</f>
        <v/>
      </c>
      <c r="U323" s="8">
        <f>I323/T323</f>
        <v/>
      </c>
      <c r="V323" s="8">
        <f>SUMIF($E$2:$E$599,E323,$I$2:$I$599)/SUMIF($E$2:$E$599,E323,$T$2:$T$599)</f>
        <v/>
      </c>
      <c r="W323" s="8">
        <f>V323+1.645*SQRT(V323/T323)+1/(2*T323)</f>
        <v/>
      </c>
      <c r="X323" s="5">
        <f>U323/W323</f>
        <v/>
      </c>
      <c r="Y323">
        <f>IF(U323&gt;W323,"high",IF(U323&gt;V323,"medium","low"))</f>
        <v/>
      </c>
      <c r="Z323">
        <f>CHOOSE(MAX(IF(M323="high",2,IF(M323="medium",1,0)),IF(Y323="high",2,IF(Y323="medium",1,0)))+1,"low","medium","high")</f>
        <v/>
      </c>
      <c r="AA323">
        <f>IF(IF(M323="high",2,IF(M323="medium",1,0))=IF(Y323="high",2,IF(Y323="medium",1,0)),"SI และ Rate เท่ากัน",IF(IF(M323="high",2,IF(M323="medium",1,0))&gt;IF(Y323="high",2,IF(Y323="medium",1,0)),"SI","Rate"))</f>
        <v/>
      </c>
    </row>
    <row r="324">
      <c r="A324" t="inlineStr">
        <is>
          <t>zone_475</t>
        </is>
      </c>
      <c r="B324" t="inlineStr">
        <is>
          <t>บางนา-ชลบุรี</t>
        </is>
      </c>
      <c r="C324" t="inlineStr">
        <is>
          <t>สมุทรปราการ</t>
        </is>
      </c>
      <c r="D324" t="inlineStr">
        <is>
          <t>E004S009|U</t>
        </is>
      </c>
      <c r="E324" t="inlineStr">
        <is>
          <t>กทพ.</t>
        </is>
      </c>
      <c r="F324" t="inlineStr">
        <is>
          <t>31.4–31.6</t>
        </is>
      </c>
      <c r="G324" t="inlineStr">
        <is>
          <t>บูรพาวิถี</t>
        </is>
      </c>
      <c r="H324" t="inlineStr">
        <is>
          <t>กทพ. ยอดผ่านด่านทั้งสาย ÷ 365</t>
        </is>
      </c>
      <c r="I324" t="n">
        <v>3</v>
      </c>
      <c r="J324" t="n">
        <v>0</v>
      </c>
      <c r="K324" t="n">
        <v>2</v>
      </c>
      <c r="L324" s="5" t="n">
        <v>0.6667</v>
      </c>
      <c r="M324" t="inlineStr">
        <is>
          <t>low</t>
        </is>
      </c>
      <c r="N324" s="6" t="n">
        <v>143309.3260273973</v>
      </c>
      <c r="O324" s="6" t="n">
        <v>145474.1863013699</v>
      </c>
      <c r="P324" s="6" t="n">
        <v>147094.4356164384</v>
      </c>
      <c r="Q324" s="6">
        <f>AVERAGE(N324:P324)</f>
        <v/>
      </c>
      <c r="R324" t="n">
        <v>3</v>
      </c>
      <c r="S324" t="n">
        <v>1</v>
      </c>
      <c r="T324" s="7">
        <f>365*R324*Q324*S324/1000000</f>
        <v/>
      </c>
      <c r="U324" s="8">
        <f>I324/T324</f>
        <v/>
      </c>
      <c r="V324" s="8">
        <f>SUMIF($E$2:$E$599,E324,$I$2:$I$599)/SUMIF($E$2:$E$599,E324,$T$2:$T$599)</f>
        <v/>
      </c>
      <c r="W324" s="8">
        <f>V324+1.645*SQRT(V324/T324)+1/(2*T324)</f>
        <v/>
      </c>
      <c r="X324" s="5">
        <f>U324/W324</f>
        <v/>
      </c>
      <c r="Y324">
        <f>IF(U324&gt;W324,"high",IF(U324&gt;V324,"medium","low"))</f>
        <v/>
      </c>
      <c r="Z324">
        <f>CHOOSE(MAX(IF(M324="high",2,IF(M324="medium",1,0)),IF(Y324="high",2,IF(Y324="medium",1,0)))+1,"low","medium","high")</f>
        <v/>
      </c>
      <c r="AA324">
        <f>IF(IF(M324="high",2,IF(M324="medium",1,0))=IF(Y324="high",2,IF(Y324="medium",1,0)),"SI และ Rate เท่ากัน",IF(IF(M324="high",2,IF(M324="medium",1,0))&gt;IF(Y324="high",2,IF(Y324="medium",1,0)),"SI","Rate"))</f>
        <v/>
      </c>
    </row>
    <row r="325">
      <c r="A325" t="inlineStr">
        <is>
          <t>zone_502</t>
        </is>
      </c>
      <c r="B325" t="inlineStr">
        <is>
          <t>บางนา-ชลบุรี</t>
        </is>
      </c>
      <c r="C325" t="inlineStr">
        <is>
          <t>สมุทรปราการ</t>
        </is>
      </c>
      <c r="D325" t="inlineStr">
        <is>
          <t>E004S009|I</t>
        </is>
      </c>
      <c r="E325" t="inlineStr">
        <is>
          <t>กทพ.</t>
        </is>
      </c>
      <c r="F325" t="inlineStr">
        <is>
          <t>22.9–23.1</t>
        </is>
      </c>
      <c r="G325" t="inlineStr">
        <is>
          <t>บูรพาวิถี</t>
        </is>
      </c>
      <c r="H325" t="inlineStr">
        <is>
          <t>กทพ. ยอดผ่านด่านทั้งสาย ÷ 365</t>
        </is>
      </c>
      <c r="I325" t="n">
        <v>3</v>
      </c>
      <c r="J325" t="n">
        <v>0</v>
      </c>
      <c r="K325" t="n">
        <v>2</v>
      </c>
      <c r="L325" s="5" t="n">
        <v>0.6667</v>
      </c>
      <c r="M325" t="inlineStr">
        <is>
          <t>low</t>
        </is>
      </c>
      <c r="N325" s="6" t="n">
        <v>143309.3260273973</v>
      </c>
      <c r="O325" s="6" t="n">
        <v>145474.1863013699</v>
      </c>
      <c r="P325" s="6" t="n">
        <v>147094.4356164384</v>
      </c>
      <c r="Q325" s="6">
        <f>AVERAGE(N325:P325)</f>
        <v/>
      </c>
      <c r="R325" t="n">
        <v>3</v>
      </c>
      <c r="S325" t="n">
        <v>1</v>
      </c>
      <c r="T325" s="7">
        <f>365*R325*Q325*S325/1000000</f>
        <v/>
      </c>
      <c r="U325" s="8">
        <f>I325/T325</f>
        <v/>
      </c>
      <c r="V325" s="8">
        <f>SUMIF($E$2:$E$599,E325,$I$2:$I$599)/SUMIF($E$2:$E$599,E325,$T$2:$T$599)</f>
        <v/>
      </c>
      <c r="W325" s="8">
        <f>V325+1.645*SQRT(V325/T325)+1/(2*T325)</f>
        <v/>
      </c>
      <c r="X325" s="5">
        <f>U325/W325</f>
        <v/>
      </c>
      <c r="Y325">
        <f>IF(U325&gt;W325,"high",IF(U325&gt;V325,"medium","low"))</f>
        <v/>
      </c>
      <c r="Z325">
        <f>CHOOSE(MAX(IF(M325="high",2,IF(M325="medium",1,0)),IF(Y325="high",2,IF(Y325="medium",1,0)))+1,"low","medium","high")</f>
        <v/>
      </c>
      <c r="AA325">
        <f>IF(IF(M325="high",2,IF(M325="medium",1,0))=IF(Y325="high",2,IF(Y325="medium",1,0)),"SI และ Rate เท่ากัน",IF(IF(M325="high",2,IF(M325="medium",1,0))&gt;IF(Y325="high",2,IF(Y325="medium",1,0)),"SI","Rate"))</f>
        <v/>
      </c>
    </row>
    <row r="326">
      <c r="A326" t="inlineStr">
        <is>
          <t>zone_533</t>
        </is>
      </c>
      <c r="B326" t="inlineStr">
        <is>
          <t>บางนา-ชลบุรี</t>
        </is>
      </c>
      <c r="C326" t="inlineStr">
        <is>
          <t>สมุทรปราการ</t>
        </is>
      </c>
      <c r="D326" t="inlineStr">
        <is>
          <t>E004S009|I</t>
        </is>
      </c>
      <c r="E326" t="inlineStr">
        <is>
          <t>กทพ.</t>
        </is>
      </c>
      <c r="F326" t="inlineStr">
        <is>
          <t>11–11</t>
        </is>
      </c>
      <c r="G326" t="inlineStr">
        <is>
          <t>บูรพาวิถี</t>
        </is>
      </c>
      <c r="H326" t="inlineStr">
        <is>
          <t>กทพ. ยอดผ่านด่านทั้งสาย ÷ 365</t>
        </is>
      </c>
      <c r="I326" t="n">
        <v>3</v>
      </c>
      <c r="J326" t="n">
        <v>0</v>
      </c>
      <c r="K326" t="n">
        <v>0</v>
      </c>
      <c r="L326" s="5" t="n">
        <v>0</v>
      </c>
      <c r="M326" t="inlineStr">
        <is>
          <t>low</t>
        </is>
      </c>
      <c r="N326" s="6" t="n">
        <v>143309.3260273973</v>
      </c>
      <c r="O326" s="6" t="n">
        <v>145474.1863013699</v>
      </c>
      <c r="P326" s="6" t="n">
        <v>147094.4356164384</v>
      </c>
      <c r="Q326" s="6">
        <f>AVERAGE(N326:P326)</f>
        <v/>
      </c>
      <c r="R326" t="n">
        <v>3</v>
      </c>
      <c r="S326" t="n">
        <v>1</v>
      </c>
      <c r="T326" s="7">
        <f>365*R326*Q326*S326/1000000</f>
        <v/>
      </c>
      <c r="U326" s="8">
        <f>I326/T326</f>
        <v/>
      </c>
      <c r="V326" s="8">
        <f>SUMIF($E$2:$E$599,E326,$I$2:$I$599)/SUMIF($E$2:$E$599,E326,$T$2:$T$599)</f>
        <v/>
      </c>
      <c r="W326" s="8">
        <f>V326+1.645*SQRT(V326/T326)+1/(2*T326)</f>
        <v/>
      </c>
      <c r="X326" s="5">
        <f>U326/W326</f>
        <v/>
      </c>
      <c r="Y326">
        <f>IF(U326&gt;W326,"high",IF(U326&gt;V326,"medium","low"))</f>
        <v/>
      </c>
      <c r="Z326">
        <f>CHOOSE(MAX(IF(M326="high",2,IF(M326="medium",1,0)),IF(Y326="high",2,IF(Y326="medium",1,0)))+1,"low","medium","high")</f>
        <v/>
      </c>
      <c r="AA326">
        <f>IF(IF(M326="high",2,IF(M326="medium",1,0))=IF(Y326="high",2,IF(Y326="medium",1,0)),"SI และ Rate เท่ากัน",IF(IF(M326="high",2,IF(M326="medium",1,0))&gt;IF(Y326="high",2,IF(Y326="medium",1,0)),"SI","Rate"))</f>
        <v/>
      </c>
    </row>
    <row r="327">
      <c r="A327" t="inlineStr">
        <is>
          <t>zone_408</t>
        </is>
      </c>
      <c r="B327" t="inlineStr">
        <is>
          <t>ธัญบุรี - คลองระพีพัฒน์</t>
        </is>
      </c>
      <c r="C327" t="inlineStr">
        <is>
          <t>ปทุมธานี</t>
        </is>
      </c>
      <c r="D327" t="inlineStr">
        <is>
          <t>352</t>
        </is>
      </c>
      <c r="E327" t="inlineStr">
        <is>
          <t>ทล.</t>
        </is>
      </c>
      <c r="F327" t="inlineStr">
        <is>
          <t>4.42–4.6</t>
        </is>
      </c>
      <c r="G327" t="inlineStr">
        <is>
          <t>station_id 54 (ทล.352 กม.3+600)</t>
        </is>
      </c>
      <c r="H327" t="inlineStr">
        <is>
          <t>ทล. สถานีตัวแทนตอนควบคุม</t>
        </is>
      </c>
      <c r="I327" t="n">
        <v>3</v>
      </c>
      <c r="J327" t="n">
        <v>0</v>
      </c>
      <c r="K327" t="n">
        <v>0</v>
      </c>
      <c r="L327" s="5" t="n">
        <v>0</v>
      </c>
      <c r="M327" t="inlineStr">
        <is>
          <t>low</t>
        </is>
      </c>
      <c r="N327" s="6" t="n">
        <v>18915</v>
      </c>
      <c r="O327" s="6" t="n">
        <v>22121</v>
      </c>
      <c r="P327" s="6" t="n">
        <v>21755</v>
      </c>
      <c r="Q327" s="6">
        <f>AVERAGE(N327:P327)</f>
        <v/>
      </c>
      <c r="R327" t="n">
        <v>3</v>
      </c>
      <c r="S327" t="n">
        <v>1</v>
      </c>
      <c r="T327" s="7">
        <f>365*R327*Q327*S327/1000000</f>
        <v/>
      </c>
      <c r="U327" s="8">
        <f>I327/T327</f>
        <v/>
      </c>
      <c r="V327" s="8">
        <f>SUMIF($E$2:$E$599,E327,$I$2:$I$599)/SUMIF($E$2:$E$599,E327,$T$2:$T$599)</f>
        <v/>
      </c>
      <c r="W327" s="8">
        <f>V327+1.645*SQRT(V327/T327)+1/(2*T327)</f>
        <v/>
      </c>
      <c r="X327" s="5">
        <f>U327/W327</f>
        <v/>
      </c>
      <c r="Y327">
        <f>IF(U327&gt;W327,"high",IF(U327&gt;V327,"medium","low"))</f>
        <v/>
      </c>
      <c r="Z327">
        <f>CHOOSE(MAX(IF(M327="high",2,IF(M327="medium",1,0)),IF(Y327="high",2,IF(Y327="medium",1,0)))+1,"low","medium","high")</f>
        <v/>
      </c>
      <c r="AA327">
        <f>IF(IF(M327="high",2,IF(M327="medium",1,0))=IF(Y327="high",2,IF(Y327="medium",1,0)),"SI และ Rate เท่ากัน",IF(IF(M327="high",2,IF(M327="medium",1,0))&gt;IF(Y327="high",2,IF(Y327="medium",1,0)),"SI","Rate"))</f>
        <v/>
      </c>
    </row>
    <row r="328">
      <c r="A328" t="inlineStr">
        <is>
          <t>zone_18</t>
        </is>
      </c>
      <c r="B328" t="inlineStr">
        <is>
          <t>บางแค - คลองมหาสวัสดิ์</t>
        </is>
      </c>
      <c r="C328" t="inlineStr">
        <is>
          <t>กรุงเทพมหานคร</t>
        </is>
      </c>
      <c r="D328" t="inlineStr">
        <is>
          <t>9</t>
        </is>
      </c>
      <c r="E328" t="inlineStr">
        <is>
          <t>ทล.</t>
        </is>
      </c>
      <c r="F328" t="inlineStr">
        <is>
          <t>30.056–31.7</t>
        </is>
      </c>
      <c r="G328" t="inlineStr">
        <is>
          <t>station_id 123 (ทล.9 กม.20+430)</t>
        </is>
      </c>
      <c r="H328" t="inlineStr">
        <is>
          <t>ทล. สถานีตัวแทนตอนควบคุม</t>
        </is>
      </c>
      <c r="I328" t="n">
        <v>15</v>
      </c>
      <c r="J328" t="n">
        <v>0</v>
      </c>
      <c r="K328" t="n">
        <v>8</v>
      </c>
      <c r="L328" s="5" t="n">
        <v>0.5333</v>
      </c>
      <c r="M328" t="inlineStr">
        <is>
          <t>low</t>
        </is>
      </c>
      <c r="N328" s="6" t="n">
        <v>161583</v>
      </c>
      <c r="O328" s="6" t="n">
        <v>167210</v>
      </c>
      <c r="P328" s="6" t="n">
        <v>164129</v>
      </c>
      <c r="Q328" s="6">
        <f>AVERAGE(N328:P328)</f>
        <v/>
      </c>
      <c r="R328" t="n">
        <v>3</v>
      </c>
      <c r="S328" t="n">
        <v>1</v>
      </c>
      <c r="T328" s="7">
        <f>365*R328*Q328*S328/1000000</f>
        <v/>
      </c>
      <c r="U328" s="8">
        <f>I328/T328</f>
        <v/>
      </c>
      <c r="V328" s="8">
        <f>SUMIF($E$2:$E$599,E328,$I$2:$I$599)/SUMIF($E$2:$E$599,E328,$T$2:$T$599)</f>
        <v/>
      </c>
      <c r="W328" s="8">
        <f>V328+1.645*SQRT(V328/T328)+1/(2*T328)</f>
        <v/>
      </c>
      <c r="X328" s="5">
        <f>U328/W328</f>
        <v/>
      </c>
      <c r="Y328">
        <f>IF(U328&gt;W328,"high",IF(U328&gt;V328,"medium","low"))</f>
        <v/>
      </c>
      <c r="Z328">
        <f>CHOOSE(MAX(IF(M328="high",2,IF(M328="medium",1,0)),IF(Y328="high",2,IF(Y328="medium",1,0)))+1,"low","medium","high")</f>
        <v/>
      </c>
      <c r="AA328">
        <f>IF(IF(M328="high",2,IF(M328="medium",1,0))=IF(Y328="high",2,IF(Y328="medium",1,0)),"SI และ Rate เท่ากัน",IF(IF(M328="high",2,IF(M328="medium",1,0))&gt;IF(Y328="high",2,IF(Y328="medium",1,0)),"SI","Rate"))</f>
        <v/>
      </c>
    </row>
    <row r="329">
      <c r="A329" t="inlineStr">
        <is>
          <t>zone_71</t>
        </is>
      </c>
      <c r="B329" t="inlineStr">
        <is>
          <t>ถนนศรีนครินทร - แขวงคลองสองต้นนุ่น</t>
        </is>
      </c>
      <c r="C329" t="inlineStr">
        <is>
          <t>กรุงเทพมหานคร</t>
        </is>
      </c>
      <c r="D329" t="inlineStr">
        <is>
          <t>7</t>
        </is>
      </c>
      <c r="E329" t="inlineStr">
        <is>
          <t>ทล.</t>
        </is>
      </c>
      <c r="F329" t="inlineStr">
        <is>
          <t>3.9–5</t>
        </is>
      </c>
      <c r="G329" t="inlineStr">
        <is>
          <t>station_id 345 (ทล.7 กม.17+000)</t>
        </is>
      </c>
      <c r="H329" t="inlineStr">
        <is>
          <t>ทล. สถานีตัวแทนตอนควบคุม</t>
        </is>
      </c>
      <c r="I329" t="n">
        <v>21</v>
      </c>
      <c r="J329" t="n">
        <v>0</v>
      </c>
      <c r="K329" t="n">
        <v>3</v>
      </c>
      <c r="L329" s="5" t="n">
        <v>0.1429</v>
      </c>
      <c r="M329" t="inlineStr">
        <is>
          <t>low</t>
        </is>
      </c>
      <c r="N329" s="6" t="n">
        <v>220901</v>
      </c>
      <c r="O329" s="6" t="n">
        <v>242192</v>
      </c>
      <c r="P329" s="6" t="n">
        <v>262343</v>
      </c>
      <c r="Q329" s="6">
        <f>AVERAGE(N329:P329)</f>
        <v/>
      </c>
      <c r="R329" t="n">
        <v>3</v>
      </c>
      <c r="S329" t="n">
        <v>1</v>
      </c>
      <c r="T329" s="7">
        <f>365*R329*Q329*S329/1000000</f>
        <v/>
      </c>
      <c r="U329" s="8">
        <f>I329/T329</f>
        <v/>
      </c>
      <c r="V329" s="8">
        <f>SUMIF($E$2:$E$599,E329,$I$2:$I$599)/SUMIF($E$2:$E$599,E329,$T$2:$T$599)</f>
        <v/>
      </c>
      <c r="W329" s="8">
        <f>V329+1.645*SQRT(V329/T329)+1/(2*T329)</f>
        <v/>
      </c>
      <c r="X329" s="5">
        <f>U329/W329</f>
        <v/>
      </c>
      <c r="Y329">
        <f>IF(U329&gt;W329,"high",IF(U329&gt;V329,"medium","low"))</f>
        <v/>
      </c>
      <c r="Z329">
        <f>CHOOSE(MAX(IF(M329="high",2,IF(M329="medium",1,0)),IF(Y329="high",2,IF(Y329="medium",1,0)))+1,"low","medium","high")</f>
        <v/>
      </c>
      <c r="AA329">
        <f>IF(IF(M329="high",2,IF(M329="medium",1,0))=IF(Y329="high",2,IF(Y329="medium",1,0)),"SI และ Rate เท่ากัน",IF(IF(M329="high",2,IF(M329="medium",1,0))&gt;IF(Y329="high",2,IF(Y329="medium",1,0)),"SI","Rate"))</f>
        <v/>
      </c>
    </row>
    <row r="330">
      <c r="A330" t="inlineStr">
        <is>
          <t>zone_103</t>
        </is>
      </c>
      <c r="B330" t="inlineStr">
        <is>
          <t>ถนนศรีนครินทร - แขวงคลองสองต้นนุ่น</t>
        </is>
      </c>
      <c r="C330" t="inlineStr">
        <is>
          <t>กรุงเทพมหานคร</t>
        </is>
      </c>
      <c r="D330" t="inlineStr">
        <is>
          <t>7</t>
        </is>
      </c>
      <c r="E330" t="inlineStr">
        <is>
          <t>ทล.</t>
        </is>
      </c>
      <c r="F330" t="inlineStr">
        <is>
          <t>5–6.5</t>
        </is>
      </c>
      <c r="G330" t="inlineStr">
        <is>
          <t>station_id 345 (ทล.7 กม.17+000)</t>
        </is>
      </c>
      <c r="H330" t="inlineStr">
        <is>
          <t>ทล. สถานีตัวแทนตอนควบคุม</t>
        </is>
      </c>
      <c r="I330" t="n">
        <v>21</v>
      </c>
      <c r="J330" t="n">
        <v>0</v>
      </c>
      <c r="K330" t="n">
        <v>6</v>
      </c>
      <c r="L330" s="5" t="n">
        <v>0.2857</v>
      </c>
      <c r="M330" t="inlineStr">
        <is>
          <t>low</t>
        </is>
      </c>
      <c r="N330" s="6" t="n">
        <v>220901</v>
      </c>
      <c r="O330" s="6" t="n">
        <v>242192</v>
      </c>
      <c r="P330" s="6" t="n">
        <v>262343</v>
      </c>
      <c r="Q330" s="6">
        <f>AVERAGE(N330:P330)</f>
        <v/>
      </c>
      <c r="R330" t="n">
        <v>3</v>
      </c>
      <c r="S330" t="n">
        <v>1</v>
      </c>
      <c r="T330" s="7">
        <f>365*R330*Q330*S330/1000000</f>
        <v/>
      </c>
      <c r="U330" s="8">
        <f>I330/T330</f>
        <v/>
      </c>
      <c r="V330" s="8">
        <f>SUMIF($E$2:$E$599,E330,$I$2:$I$599)/SUMIF($E$2:$E$599,E330,$T$2:$T$599)</f>
        <v/>
      </c>
      <c r="W330" s="8">
        <f>V330+1.645*SQRT(V330/T330)+1/(2*T330)</f>
        <v/>
      </c>
      <c r="X330" s="5">
        <f>U330/W330</f>
        <v/>
      </c>
      <c r="Y330">
        <f>IF(U330&gt;W330,"high",IF(U330&gt;V330,"medium","low"))</f>
        <v/>
      </c>
      <c r="Z330">
        <f>CHOOSE(MAX(IF(M330="high",2,IF(M330="medium",1,0)),IF(Y330="high",2,IF(Y330="medium",1,0)))+1,"low","medium","high")</f>
        <v/>
      </c>
      <c r="AA330">
        <f>IF(IF(M330="high",2,IF(M330="medium",1,0))=IF(Y330="high",2,IF(Y330="medium",1,0)),"SI และ Rate เท่ากัน",IF(IF(M330="high",2,IF(M330="medium",1,0))&gt;IF(Y330="high",2,IF(Y330="medium",1,0)),"SI","Rate"))</f>
        <v/>
      </c>
    </row>
    <row r="331">
      <c r="A331" t="inlineStr">
        <is>
          <t>zone_509</t>
        </is>
      </c>
      <c r="B331" t="inlineStr">
        <is>
          <t>ทางเข้าท่าอากาศยานสุวรรณภูมิ - บางวัว</t>
        </is>
      </c>
      <c r="C331" t="inlineStr">
        <is>
          <t>สมุทรปราการ</t>
        </is>
      </c>
      <c r="D331" t="inlineStr">
        <is>
          <t>34</t>
        </is>
      </c>
      <c r="E331" t="inlineStr">
        <is>
          <t>ทล.</t>
        </is>
      </c>
      <c r="F331" t="inlineStr">
        <is>
          <t>26–27</t>
        </is>
      </c>
      <c r="G331" t="inlineStr">
        <is>
          <t>station_id 95 (ทล.34 กม.15+100)</t>
        </is>
      </c>
      <c r="H331" t="inlineStr">
        <is>
          <t>ทล. สถานีตัวแทนตอนควบคุม</t>
        </is>
      </c>
      <c r="I331" t="n">
        <v>21</v>
      </c>
      <c r="J331" t="n">
        <v>3</v>
      </c>
      <c r="K331" t="n">
        <v>5</v>
      </c>
      <c r="L331" s="5" t="n">
        <v>0.381</v>
      </c>
      <c r="M331" t="inlineStr">
        <is>
          <t>low</t>
        </is>
      </c>
      <c r="N331" s="6" t="n">
        <v>226283</v>
      </c>
      <c r="O331" s="6" t="n">
        <v>252612</v>
      </c>
      <c r="P331" s="6" t="n">
        <v>250222</v>
      </c>
      <c r="Q331" s="6">
        <f>AVERAGE(N331:P331)</f>
        <v/>
      </c>
      <c r="R331" t="n">
        <v>3</v>
      </c>
      <c r="S331" t="n">
        <v>1</v>
      </c>
      <c r="T331" s="7">
        <f>365*R331*Q331*S331/1000000</f>
        <v/>
      </c>
      <c r="U331" s="8">
        <f>I331/T331</f>
        <v/>
      </c>
      <c r="V331" s="8">
        <f>SUMIF($E$2:$E$599,E331,$I$2:$I$599)/SUMIF($E$2:$E$599,E331,$T$2:$T$599)</f>
        <v/>
      </c>
      <c r="W331" s="8">
        <f>V331+1.645*SQRT(V331/T331)+1/(2*T331)</f>
        <v/>
      </c>
      <c r="X331" s="5">
        <f>U331/W331</f>
        <v/>
      </c>
      <c r="Y331">
        <f>IF(U331&gt;W331,"high",IF(U331&gt;V331,"medium","low"))</f>
        <v/>
      </c>
      <c r="Z331">
        <f>CHOOSE(MAX(IF(M331="high",2,IF(M331="medium",1,0)),IF(Y331="high",2,IF(Y331="medium",1,0)))+1,"low","medium","high")</f>
        <v/>
      </c>
      <c r="AA331">
        <f>IF(IF(M331="high",2,IF(M331="medium",1,0))=IF(Y331="high",2,IF(Y331="medium",1,0)),"SI และ Rate เท่ากัน",IF(IF(M331="high",2,IF(M331="medium",1,0))&gt;IF(Y331="high",2,IF(Y331="medium",1,0)),"SI","Rate"))</f>
        <v/>
      </c>
    </row>
    <row r="332">
      <c r="A332" t="inlineStr">
        <is>
          <t>zone_329</t>
        </is>
      </c>
      <c r="B332" t="inlineStr">
        <is>
          <t>แคราย - คลองบ้านใหม่</t>
        </is>
      </c>
      <c r="C332" t="inlineStr">
        <is>
          <t>นนทบุรี</t>
        </is>
      </c>
      <c r="D332" t="inlineStr">
        <is>
          <t>306</t>
        </is>
      </c>
      <c r="E332" t="inlineStr">
        <is>
          <t>ทล.</t>
        </is>
      </c>
      <c r="F332" t="inlineStr">
        <is>
          <t>16.91–17.05</t>
        </is>
      </c>
      <c r="G332" t="inlineStr">
        <is>
          <t>station_id 111 (ทล.306 กม.19+390)</t>
        </is>
      </c>
      <c r="H332" t="inlineStr">
        <is>
          <t>ทล. สถานีตัวแทนตอนควบคุม</t>
        </is>
      </c>
      <c r="I332" t="n">
        <v>5</v>
      </c>
      <c r="J332" t="n">
        <v>0</v>
      </c>
      <c r="K332" t="n">
        <v>1</v>
      </c>
      <c r="L332" s="5" t="n">
        <v>0.2</v>
      </c>
      <c r="M332" t="inlineStr">
        <is>
          <t>low</t>
        </is>
      </c>
      <c r="N332" s="6" t="n">
        <v>44519</v>
      </c>
      <c r="O332" s="6" t="n">
        <v>44382</v>
      </c>
      <c r="P332" s="6" t="n">
        <v>43007</v>
      </c>
      <c r="Q332" s="6">
        <f>AVERAGE(N332:P332)</f>
        <v/>
      </c>
      <c r="R332" t="n">
        <v>3</v>
      </c>
      <c r="S332" t="n">
        <v>1</v>
      </c>
      <c r="T332" s="7">
        <f>365*R332*Q332*S332/1000000</f>
        <v/>
      </c>
      <c r="U332" s="8">
        <f>I332/T332</f>
        <v/>
      </c>
      <c r="V332" s="8">
        <f>SUMIF($E$2:$E$599,E332,$I$2:$I$599)/SUMIF($E$2:$E$599,E332,$T$2:$T$599)</f>
        <v/>
      </c>
      <c r="W332" s="8">
        <f>V332+1.645*SQRT(V332/T332)+1/(2*T332)</f>
        <v/>
      </c>
      <c r="X332" s="5">
        <f>U332/W332</f>
        <v/>
      </c>
      <c r="Y332">
        <f>IF(U332&gt;W332,"high",IF(U332&gt;V332,"medium","low"))</f>
        <v/>
      </c>
      <c r="Z332">
        <f>CHOOSE(MAX(IF(M332="high",2,IF(M332="medium",1,0)),IF(Y332="high",2,IF(Y332="medium",1,0)))+1,"low","medium","high")</f>
        <v/>
      </c>
      <c r="AA332">
        <f>IF(IF(M332="high",2,IF(M332="medium",1,0))=IF(Y332="high",2,IF(Y332="medium",1,0)),"SI และ Rate เท่ากัน",IF(IF(M332="high",2,IF(M332="medium",1,0))&gt;IF(Y332="high",2,IF(Y332="medium",1,0)),"SI","Rate"))</f>
        <v/>
      </c>
    </row>
    <row r="333">
      <c r="A333" t="inlineStr">
        <is>
          <t>zone_257</t>
        </is>
      </c>
      <c r="B333" t="inlineStr">
        <is>
          <t>ดาวคะนอง-ท่าเรือ</t>
        </is>
      </c>
      <c r="C333" t="inlineStr">
        <is>
          <t>กรุงเทพมหานคร</t>
        </is>
      </c>
      <c r="D333" t="inlineStr">
        <is>
          <t>E001S003|U</t>
        </is>
      </c>
      <c r="E333" t="inlineStr">
        <is>
          <t>กทพ.</t>
        </is>
      </c>
      <c r="F333" t="inlineStr">
        <is>
          <t>23.5–23.5</t>
        </is>
      </c>
      <c r="G333" t="inlineStr">
        <is>
          <t>เฉลิมมหานคร</t>
        </is>
      </c>
      <c r="H333" t="inlineStr">
        <is>
          <t>กทพ. ยอดผ่านด่านทั้งสาย ÷ 365</t>
        </is>
      </c>
      <c r="I333" t="n">
        <v>5</v>
      </c>
      <c r="J333" t="n">
        <v>0</v>
      </c>
      <c r="K333" t="n">
        <v>1</v>
      </c>
      <c r="L333" s="5" t="n">
        <v>0.2</v>
      </c>
      <c r="M333" t="inlineStr">
        <is>
          <t>low</t>
        </is>
      </c>
      <c r="N333" s="6" t="n">
        <v>307323.093150685</v>
      </c>
      <c r="O333" s="6" t="n">
        <v>305804.9945205479</v>
      </c>
      <c r="P333" s="6" t="n">
        <v>304213.8739726027</v>
      </c>
      <c r="Q333" s="6">
        <f>AVERAGE(N333:P333)</f>
        <v/>
      </c>
      <c r="R333" t="n">
        <v>3</v>
      </c>
      <c r="S333" t="n">
        <v>1</v>
      </c>
      <c r="T333" s="7">
        <f>365*R333*Q333*S333/1000000</f>
        <v/>
      </c>
      <c r="U333" s="8">
        <f>I333/T333</f>
        <v/>
      </c>
      <c r="V333" s="8">
        <f>SUMIF($E$2:$E$599,E333,$I$2:$I$599)/SUMIF($E$2:$E$599,E333,$T$2:$T$599)</f>
        <v/>
      </c>
      <c r="W333" s="8">
        <f>V333+1.645*SQRT(V333/T333)+1/(2*T333)</f>
        <v/>
      </c>
      <c r="X333" s="5">
        <f>U333/W333</f>
        <v/>
      </c>
      <c r="Y333">
        <f>IF(U333&gt;W333,"high",IF(U333&gt;V333,"medium","low"))</f>
        <v/>
      </c>
      <c r="Z333">
        <f>CHOOSE(MAX(IF(M333="high",2,IF(M333="medium",1,0)),IF(Y333="high",2,IF(Y333="medium",1,0)))+1,"low","medium","high")</f>
        <v/>
      </c>
      <c r="AA333">
        <f>IF(IF(M333="high",2,IF(M333="medium",1,0))=IF(Y333="high",2,IF(Y333="medium",1,0)),"SI และ Rate เท่ากัน",IF(IF(M333="high",2,IF(M333="medium",1,0))&gt;IF(Y333="high",2,IF(Y333="medium",1,0)),"SI","Rate"))</f>
        <v/>
      </c>
    </row>
    <row r="334">
      <c r="A334" t="inlineStr">
        <is>
          <t>zone_489</t>
        </is>
      </c>
      <c r="B334" t="inlineStr">
        <is>
          <t>บางพลี-สุขสวัสดิ์</t>
        </is>
      </c>
      <c r="C334" t="inlineStr">
        <is>
          <t>สมุทรปราการ</t>
        </is>
      </c>
      <c r="D334" t="inlineStr">
        <is>
          <t>E007S013|U</t>
        </is>
      </c>
      <c r="E334" t="inlineStr">
        <is>
          <t>กทพ.</t>
        </is>
      </c>
      <c r="F334" t="inlineStr">
        <is>
          <t>3.7–3.8</t>
        </is>
      </c>
      <c r="G334" t="inlineStr">
        <is>
          <t>ทางพิเศษกาญจนาภิเษก(บางพลี-สุขสวัสดิ์)</t>
        </is>
      </c>
      <c r="H334" t="inlineStr">
        <is>
          <t>กทพ. ยอดผ่านด่านทั้งสาย ÷ 365</t>
        </is>
      </c>
      <c r="I334" t="n">
        <v>4</v>
      </c>
      <c r="J334" t="n">
        <v>0</v>
      </c>
      <c r="K334" t="n">
        <v>2</v>
      </c>
      <c r="L334" s="5" t="n">
        <v>0.5</v>
      </c>
      <c r="M334" t="inlineStr">
        <is>
          <t>low</t>
        </is>
      </c>
      <c r="N334" s="6" t="n">
        <v>233037.0054794521</v>
      </c>
      <c r="O334" s="6" t="n">
        <v>233284.9890410959</v>
      </c>
      <c r="P334" s="6" t="n">
        <v>228365.901369863</v>
      </c>
      <c r="Q334" s="6">
        <f>AVERAGE(N334:P334)</f>
        <v/>
      </c>
      <c r="R334" t="n">
        <v>3</v>
      </c>
      <c r="S334" t="n">
        <v>1</v>
      </c>
      <c r="T334" s="7">
        <f>365*R334*Q334*S334/1000000</f>
        <v/>
      </c>
      <c r="U334" s="8">
        <f>I334/T334</f>
        <v/>
      </c>
      <c r="V334" s="8">
        <f>SUMIF($E$2:$E$599,E334,$I$2:$I$599)/SUMIF($E$2:$E$599,E334,$T$2:$T$599)</f>
        <v/>
      </c>
      <c r="W334" s="8">
        <f>V334+1.645*SQRT(V334/T334)+1/(2*T334)</f>
        <v/>
      </c>
      <c r="X334" s="5">
        <f>U334/W334</f>
        <v/>
      </c>
      <c r="Y334">
        <f>IF(U334&gt;W334,"high",IF(U334&gt;V334,"medium","low"))</f>
        <v/>
      </c>
      <c r="Z334">
        <f>CHOOSE(MAX(IF(M334="high",2,IF(M334="medium",1,0)),IF(Y334="high",2,IF(Y334="medium",1,0)))+1,"low","medium","high")</f>
        <v/>
      </c>
      <c r="AA334">
        <f>IF(IF(M334="high",2,IF(M334="medium",1,0))=IF(Y334="high",2,IF(Y334="medium",1,0)),"SI และ Rate เท่ากัน",IF(IF(M334="high",2,IF(M334="medium",1,0))&gt;IF(Y334="high",2,IF(Y334="medium",1,0)),"SI","Rate"))</f>
        <v/>
      </c>
    </row>
    <row r="335">
      <c r="A335" t="inlineStr">
        <is>
          <t>zone_549</t>
        </is>
      </c>
      <c r="B335" t="inlineStr">
        <is>
          <t>บางพลี-สุขสวัสดิ์</t>
        </is>
      </c>
      <c r="C335" t="inlineStr">
        <is>
          <t>สมุทรปราการ</t>
        </is>
      </c>
      <c r="D335" t="inlineStr">
        <is>
          <t>E007S013|I</t>
        </is>
      </c>
      <c r="E335" t="inlineStr">
        <is>
          <t>กทพ.</t>
        </is>
      </c>
      <c r="F335" t="inlineStr">
        <is>
          <t>10–10.2</t>
        </is>
      </c>
      <c r="G335" t="inlineStr">
        <is>
          <t>ทางพิเศษกาญจนาภิเษก(บางพลี-สุขสวัสดิ์)</t>
        </is>
      </c>
      <c r="H335" t="inlineStr">
        <is>
          <t>กทพ. ยอดผ่านด่านทั้งสาย ÷ 365</t>
        </is>
      </c>
      <c r="I335" t="n">
        <v>4</v>
      </c>
      <c r="J335" t="n">
        <v>0</v>
      </c>
      <c r="K335" t="n">
        <v>0</v>
      </c>
      <c r="L335" s="5" t="n">
        <v>0</v>
      </c>
      <c r="M335" t="inlineStr">
        <is>
          <t>low</t>
        </is>
      </c>
      <c r="N335" s="6" t="n">
        <v>233037.0054794521</v>
      </c>
      <c r="O335" s="6" t="n">
        <v>233284.9890410959</v>
      </c>
      <c r="P335" s="6" t="n">
        <v>228365.901369863</v>
      </c>
      <c r="Q335" s="6">
        <f>AVERAGE(N335:P335)</f>
        <v/>
      </c>
      <c r="R335" t="n">
        <v>3</v>
      </c>
      <c r="S335" t="n">
        <v>1</v>
      </c>
      <c r="T335" s="7">
        <f>365*R335*Q335*S335/1000000</f>
        <v/>
      </c>
      <c r="U335" s="8">
        <f>I335/T335</f>
        <v/>
      </c>
      <c r="V335" s="8">
        <f>SUMIF($E$2:$E$599,E335,$I$2:$I$599)/SUMIF($E$2:$E$599,E335,$T$2:$T$599)</f>
        <v/>
      </c>
      <c r="W335" s="8">
        <f>V335+1.645*SQRT(V335/T335)+1/(2*T335)</f>
        <v/>
      </c>
      <c r="X335" s="5">
        <f>U335/W335</f>
        <v/>
      </c>
      <c r="Y335">
        <f>IF(U335&gt;W335,"high",IF(U335&gt;V335,"medium","low"))</f>
        <v/>
      </c>
      <c r="Z335">
        <f>CHOOSE(MAX(IF(M335="high",2,IF(M335="medium",1,0)),IF(Y335="high",2,IF(Y335="medium",1,0)))+1,"low","medium","high")</f>
        <v/>
      </c>
      <c r="AA335">
        <f>IF(IF(M335="high",2,IF(M335="medium",1,0))=IF(Y335="high",2,IF(Y335="medium",1,0)),"SI และ Rate เท่ากัน",IF(IF(M335="high",2,IF(M335="medium",1,0))&gt;IF(Y335="high",2,IF(Y335="medium",1,0)),"SI","Rate"))</f>
        <v/>
      </c>
    </row>
    <row r="336">
      <c r="A336" t="inlineStr">
        <is>
          <t>zone_559</t>
        </is>
      </c>
      <c r="B336" t="inlineStr">
        <is>
          <t>บางพลี-สุขสวัสดิ์</t>
        </is>
      </c>
      <c r="C336" t="inlineStr">
        <is>
          <t>สมุทรปราการ</t>
        </is>
      </c>
      <c r="D336" t="inlineStr">
        <is>
          <t>E007S013|I</t>
        </is>
      </c>
      <c r="E336" t="inlineStr">
        <is>
          <t>กทพ.</t>
        </is>
      </c>
      <c r="F336" t="inlineStr">
        <is>
          <t>11.5–11.8</t>
        </is>
      </c>
      <c r="G336" t="inlineStr">
        <is>
          <t>ทางพิเศษกาญจนาภิเษก(บางพลี-สุขสวัสดิ์)</t>
        </is>
      </c>
      <c r="H336" t="inlineStr">
        <is>
          <t>กทพ. ยอดผ่านด่านทั้งสาย ÷ 365</t>
        </is>
      </c>
      <c r="I336" t="n">
        <v>4</v>
      </c>
      <c r="J336" t="n">
        <v>0</v>
      </c>
      <c r="K336" t="n">
        <v>1</v>
      </c>
      <c r="L336" s="5" t="n">
        <v>0.25</v>
      </c>
      <c r="M336" t="inlineStr">
        <is>
          <t>low</t>
        </is>
      </c>
      <c r="N336" s="6" t="n">
        <v>233037.0054794521</v>
      </c>
      <c r="O336" s="6" t="n">
        <v>233284.9890410959</v>
      </c>
      <c r="P336" s="6" t="n">
        <v>228365.901369863</v>
      </c>
      <c r="Q336" s="6">
        <f>AVERAGE(N336:P336)</f>
        <v/>
      </c>
      <c r="R336" t="n">
        <v>3</v>
      </c>
      <c r="S336" t="n">
        <v>1</v>
      </c>
      <c r="T336" s="7">
        <f>365*R336*Q336*S336/1000000</f>
        <v/>
      </c>
      <c r="U336" s="8">
        <f>I336/T336</f>
        <v/>
      </c>
      <c r="V336" s="8">
        <f>SUMIF($E$2:$E$599,E336,$I$2:$I$599)/SUMIF($E$2:$E$599,E336,$T$2:$T$599)</f>
        <v/>
      </c>
      <c r="W336" s="8">
        <f>V336+1.645*SQRT(V336/T336)+1/(2*T336)</f>
        <v/>
      </c>
      <c r="X336" s="5">
        <f>U336/W336</f>
        <v/>
      </c>
      <c r="Y336">
        <f>IF(U336&gt;W336,"high",IF(U336&gt;V336,"medium","low"))</f>
        <v/>
      </c>
      <c r="Z336">
        <f>CHOOSE(MAX(IF(M336="high",2,IF(M336="medium",1,0)),IF(Y336="high",2,IF(Y336="medium",1,0)))+1,"low","medium","high")</f>
        <v/>
      </c>
      <c r="AA336">
        <f>IF(IF(M336="high",2,IF(M336="medium",1,0))=IF(Y336="high",2,IF(Y336="medium",1,0)),"SI และ Rate เท่ากัน",IF(IF(M336="high",2,IF(M336="medium",1,0))&gt;IF(Y336="high",2,IF(Y336="medium",1,0)),"SI","Rate"))</f>
        <v/>
      </c>
    </row>
    <row r="337">
      <c r="A337" t="inlineStr">
        <is>
          <t>zone_130</t>
        </is>
      </c>
      <c r="B337" t="inlineStr">
        <is>
          <t>พระประแดง - บางแค</t>
        </is>
      </c>
      <c r="C337" t="inlineStr">
        <is>
          <t>กรุงเทพมหานคร</t>
        </is>
      </c>
      <c r="D337" t="inlineStr">
        <is>
          <t>9</t>
        </is>
      </c>
      <c r="E337" t="inlineStr">
        <is>
          <t>ทล.</t>
        </is>
      </c>
      <c r="F337" t="inlineStr">
        <is>
          <t>14.3–15.492</t>
        </is>
      </c>
      <c r="G337" t="inlineStr">
        <is>
          <t>station_id 123 (ทล.9 กม.20+430)</t>
        </is>
      </c>
      <c r="H337" t="inlineStr">
        <is>
          <t>ทล. สถานีตัวแทนตอนควบคุม</t>
        </is>
      </c>
      <c r="I337" t="n">
        <v>14</v>
      </c>
      <c r="J337" t="n">
        <v>1</v>
      </c>
      <c r="K337" t="n">
        <v>5</v>
      </c>
      <c r="L337" s="5" t="n">
        <v>0.4286</v>
      </c>
      <c r="M337" t="inlineStr">
        <is>
          <t>low</t>
        </is>
      </c>
      <c r="N337" s="6" t="n">
        <v>161583</v>
      </c>
      <c r="O337" s="6" t="n">
        <v>167210</v>
      </c>
      <c r="P337" s="6" t="n">
        <v>164129</v>
      </c>
      <c r="Q337" s="6">
        <f>AVERAGE(N337:P337)</f>
        <v/>
      </c>
      <c r="R337" t="n">
        <v>3</v>
      </c>
      <c r="S337" t="n">
        <v>1</v>
      </c>
      <c r="T337" s="7">
        <f>365*R337*Q337*S337/1000000</f>
        <v/>
      </c>
      <c r="U337" s="8">
        <f>I337/T337</f>
        <v/>
      </c>
      <c r="V337" s="8">
        <f>SUMIF($E$2:$E$599,E337,$I$2:$I$599)/SUMIF($E$2:$E$599,E337,$T$2:$T$599)</f>
        <v/>
      </c>
      <c r="W337" s="8">
        <f>V337+1.645*SQRT(V337/T337)+1/(2*T337)</f>
        <v/>
      </c>
      <c r="X337" s="5">
        <f>U337/W337</f>
        <v/>
      </c>
      <c r="Y337">
        <f>IF(U337&gt;W337,"high",IF(U337&gt;V337,"medium","low"))</f>
        <v/>
      </c>
      <c r="Z337">
        <f>CHOOSE(MAX(IF(M337="high",2,IF(M337="medium",1,0)),IF(Y337="high",2,IF(Y337="medium",1,0)))+1,"low","medium","high")</f>
        <v/>
      </c>
      <c r="AA337">
        <f>IF(IF(M337="high",2,IF(M337="medium",1,0))=IF(Y337="high",2,IF(Y337="medium",1,0)),"SI และ Rate เท่ากัน",IF(IF(M337="high",2,IF(M337="medium",1,0))&gt;IF(Y337="high",2,IF(Y337="medium",1,0)),"SI","Rate"))</f>
        <v/>
      </c>
    </row>
    <row r="338">
      <c r="A338" t="inlineStr">
        <is>
          <t>zone_531</t>
        </is>
      </c>
      <c r="B338" t="inlineStr">
        <is>
          <t>แบริ่ง - ท้ายบ้าน</t>
        </is>
      </c>
      <c r="C338" t="inlineStr">
        <is>
          <t>สมุทรปราการ</t>
        </is>
      </c>
      <c r="D338" t="inlineStr">
        <is>
          <t>3</t>
        </is>
      </c>
      <c r="E338" t="inlineStr">
        <is>
          <t>ทล.</t>
        </is>
      </c>
      <c r="F338" t="inlineStr">
        <is>
          <t>28.975–29.2</t>
        </is>
      </c>
      <c r="G338" t="inlineStr">
        <is>
          <t>station_id 91 (ทล.3 กม.20+000)</t>
        </is>
      </c>
      <c r="H338" t="inlineStr">
        <is>
          <t>ทล. สถานีตัวแทนตอนควบคุม</t>
        </is>
      </c>
      <c r="I338" t="n">
        <v>3</v>
      </c>
      <c r="J338" t="n">
        <v>0</v>
      </c>
      <c r="K338" t="n">
        <v>1</v>
      </c>
      <c r="L338" s="5" t="n">
        <v>0.3333</v>
      </c>
      <c r="M338" t="inlineStr">
        <is>
          <t>low</t>
        </is>
      </c>
      <c r="N338" s="6" t="n">
        <v>22377</v>
      </c>
      <c r="O338" s="6" t="n">
        <v>24245</v>
      </c>
      <c r="P338" s="6" t="n">
        <v>24082</v>
      </c>
      <c r="Q338" s="6">
        <f>AVERAGE(N338:P338)</f>
        <v/>
      </c>
      <c r="R338" t="n">
        <v>3</v>
      </c>
      <c r="S338" t="n">
        <v>1</v>
      </c>
      <c r="T338" s="7">
        <f>365*R338*Q338*S338/1000000</f>
        <v/>
      </c>
      <c r="U338" s="8">
        <f>I338/T338</f>
        <v/>
      </c>
      <c r="V338" s="8">
        <f>SUMIF($E$2:$E$599,E338,$I$2:$I$599)/SUMIF($E$2:$E$599,E338,$T$2:$T$599)</f>
        <v/>
      </c>
      <c r="W338" s="8">
        <f>V338+1.645*SQRT(V338/T338)+1/(2*T338)</f>
        <v/>
      </c>
      <c r="X338" s="5">
        <f>U338/W338</f>
        <v/>
      </c>
      <c r="Y338">
        <f>IF(U338&gt;W338,"high",IF(U338&gt;V338,"medium","low"))</f>
        <v/>
      </c>
      <c r="Z338">
        <f>CHOOSE(MAX(IF(M338="high",2,IF(M338="medium",1,0)),IF(Y338="high",2,IF(Y338="medium",1,0)))+1,"low","medium","high")</f>
        <v/>
      </c>
      <c r="AA338">
        <f>IF(IF(M338="high",2,IF(M338="medium",1,0))=IF(Y338="high",2,IF(Y338="medium",1,0)),"SI และ Rate เท่ากัน",IF(IF(M338="high",2,IF(M338="medium",1,0))&gt;IF(Y338="high",2,IF(Y338="medium",1,0)),"SI","Rate"))</f>
        <v/>
      </c>
    </row>
    <row r="339">
      <c r="A339" t="inlineStr">
        <is>
          <t>zone_267</t>
        </is>
      </c>
      <c r="B339" t="inlineStr">
        <is>
          <t>คันนายาว - แยกเข้ามีนบุรี</t>
        </is>
      </c>
      <c r="C339" t="inlineStr">
        <is>
          <t>กรุงเทพมหานคร</t>
        </is>
      </c>
      <c r="D339" t="inlineStr">
        <is>
          <t>304</t>
        </is>
      </c>
      <c r="E339" t="inlineStr">
        <is>
          <t>ทล.</t>
        </is>
      </c>
      <c r="F339" t="inlineStr">
        <is>
          <t>25.78–26.075</t>
        </is>
      </c>
      <c r="G339" t="inlineStr">
        <is>
          <t>station_id 2 (ทล.304 กม.28+250)</t>
        </is>
      </c>
      <c r="H339" t="inlineStr">
        <is>
          <t>ทล. สถานีตัวแทนตอนควบคุม</t>
        </is>
      </c>
      <c r="I339" t="n">
        <v>6</v>
      </c>
      <c r="J339" t="n">
        <v>1</v>
      </c>
      <c r="K339" t="n">
        <v>2</v>
      </c>
      <c r="L339" s="5" t="n">
        <v>0.5</v>
      </c>
      <c r="M339" t="inlineStr">
        <is>
          <t>low</t>
        </is>
      </c>
      <c r="N339" s="6" t="n">
        <v>51653</v>
      </c>
      <c r="O339" s="6" t="n">
        <v>53216</v>
      </c>
      <c r="P339" s="6" t="n">
        <v>78286</v>
      </c>
      <c r="Q339" s="6">
        <f>AVERAGE(N339:P339)</f>
        <v/>
      </c>
      <c r="R339" t="n">
        <v>3</v>
      </c>
      <c r="S339" t="n">
        <v>1</v>
      </c>
      <c r="T339" s="7">
        <f>365*R339*Q339*S339/1000000</f>
        <v/>
      </c>
      <c r="U339" s="8">
        <f>I339/T339</f>
        <v/>
      </c>
      <c r="V339" s="8">
        <f>SUMIF($E$2:$E$599,E339,$I$2:$I$599)/SUMIF($E$2:$E$599,E339,$T$2:$T$599)</f>
        <v/>
      </c>
      <c r="W339" s="8">
        <f>V339+1.645*SQRT(V339/T339)+1/(2*T339)</f>
        <v/>
      </c>
      <c r="X339" s="5">
        <f>U339/W339</f>
        <v/>
      </c>
      <c r="Y339">
        <f>IF(U339&gt;W339,"high",IF(U339&gt;V339,"medium","low"))</f>
        <v/>
      </c>
      <c r="Z339">
        <f>CHOOSE(MAX(IF(M339="high",2,IF(M339="medium",1,0)),IF(Y339="high",2,IF(Y339="medium",1,0)))+1,"low","medium","high")</f>
        <v/>
      </c>
      <c r="AA339">
        <f>IF(IF(M339="high",2,IF(M339="medium",1,0))=IF(Y339="high",2,IF(Y339="medium",1,0)),"SI และ Rate เท่ากัน",IF(IF(M339="high",2,IF(M339="medium",1,0))&gt;IF(Y339="high",2,IF(Y339="medium",1,0)),"SI","Rate"))</f>
        <v/>
      </c>
    </row>
    <row r="340">
      <c r="A340" t="inlineStr">
        <is>
          <t>zone_160</t>
        </is>
      </c>
      <c r="B340" t="inlineStr">
        <is>
          <t>พญาไท-ศรีนครินทร์</t>
        </is>
      </c>
      <c r="C340" t="inlineStr">
        <is>
          <t>กรุงเทพมหานคร</t>
        </is>
      </c>
      <c r="D340" t="inlineStr">
        <is>
          <t>E002S016|U</t>
        </is>
      </c>
      <c r="E340" t="inlineStr">
        <is>
          <t>กทพ.</t>
        </is>
      </c>
      <c r="F340" t="inlineStr">
        <is>
          <t>10–10.3</t>
        </is>
      </c>
      <c r="G340" t="inlineStr">
        <is>
          <t>ศรีรัช</t>
        </is>
      </c>
      <c r="H340" t="inlineStr">
        <is>
          <t>กทพ. ยอดผ่านด่านทั้งสาย ÷ 365</t>
        </is>
      </c>
      <c r="I340" t="n">
        <v>8</v>
      </c>
      <c r="J340" t="n">
        <v>0</v>
      </c>
      <c r="K340" t="n">
        <v>0</v>
      </c>
      <c r="L340" s="5" t="n">
        <v>0</v>
      </c>
      <c r="M340" t="inlineStr">
        <is>
          <t>low</t>
        </is>
      </c>
      <c r="N340" s="6" t="n">
        <v>613083.1506849315</v>
      </c>
      <c r="O340" s="6" t="n">
        <v>601127.7068493151</v>
      </c>
      <c r="P340" s="6" t="n">
        <v>607857.5287671232</v>
      </c>
      <c r="Q340" s="6">
        <f>AVERAGE(N340:P340)</f>
        <v/>
      </c>
      <c r="R340" t="n">
        <v>3</v>
      </c>
      <c r="S340" t="n">
        <v>1</v>
      </c>
      <c r="T340" s="7">
        <f>365*R340*Q340*S340/1000000</f>
        <v/>
      </c>
      <c r="U340" s="8">
        <f>I340/T340</f>
        <v/>
      </c>
      <c r="V340" s="8">
        <f>SUMIF($E$2:$E$599,E340,$I$2:$I$599)/SUMIF($E$2:$E$599,E340,$T$2:$T$599)</f>
        <v/>
      </c>
      <c r="W340" s="8">
        <f>V340+1.645*SQRT(V340/T340)+1/(2*T340)</f>
        <v/>
      </c>
      <c r="X340" s="5">
        <f>U340/W340</f>
        <v/>
      </c>
      <c r="Y340">
        <f>IF(U340&gt;W340,"high",IF(U340&gt;V340,"medium","low"))</f>
        <v/>
      </c>
      <c r="Z340">
        <f>CHOOSE(MAX(IF(M340="high",2,IF(M340="medium",1,0)),IF(Y340="high",2,IF(Y340="medium",1,0)))+1,"low","medium","high")</f>
        <v/>
      </c>
      <c r="AA340">
        <f>IF(IF(M340="high",2,IF(M340="medium",1,0))=IF(Y340="high",2,IF(Y340="medium",1,0)),"SI และ Rate เท่ากัน",IF(IF(M340="high",2,IF(M340="medium",1,0))&gt;IF(Y340="high",2,IF(Y340="medium",1,0)),"SI","Rate"))</f>
        <v/>
      </c>
    </row>
    <row r="341">
      <c r="A341" t="inlineStr">
        <is>
          <t>zone_451</t>
        </is>
      </c>
      <c r="B341" t="inlineStr">
        <is>
          <t>แขวงคลองสองต้นนุ่น - พิมพา</t>
        </is>
      </c>
      <c r="C341" t="inlineStr">
        <is>
          <t>สมุทรปราการ</t>
        </is>
      </c>
      <c r="D341" t="inlineStr">
        <is>
          <t>7</t>
        </is>
      </c>
      <c r="E341" t="inlineStr">
        <is>
          <t>ทล.</t>
        </is>
      </c>
      <c r="F341" t="inlineStr">
        <is>
          <t>34.5–35.3</t>
        </is>
      </c>
      <c r="G341" t="inlineStr">
        <is>
          <t>station_id 345 (ทล.7 กม.17+000)</t>
        </is>
      </c>
      <c r="H341" t="inlineStr">
        <is>
          <t>ทล. สถานีตัวแทนตอนควบคุม</t>
        </is>
      </c>
      <c r="I341" t="n">
        <v>19</v>
      </c>
      <c r="J341" t="n">
        <v>0</v>
      </c>
      <c r="K341" t="n">
        <v>5</v>
      </c>
      <c r="L341" s="5" t="n">
        <v>0.2632</v>
      </c>
      <c r="M341" t="inlineStr">
        <is>
          <t>low</t>
        </is>
      </c>
      <c r="N341" s="6" t="n">
        <v>220901</v>
      </c>
      <c r="O341" s="6" t="n">
        <v>242192</v>
      </c>
      <c r="P341" s="6" t="n">
        <v>262343</v>
      </c>
      <c r="Q341" s="6">
        <f>AVERAGE(N341:P341)</f>
        <v/>
      </c>
      <c r="R341" t="n">
        <v>3</v>
      </c>
      <c r="S341" t="n">
        <v>1</v>
      </c>
      <c r="T341" s="7">
        <f>365*R341*Q341*S341/1000000</f>
        <v/>
      </c>
      <c r="U341" s="8">
        <f>I341/T341</f>
        <v/>
      </c>
      <c r="V341" s="8">
        <f>SUMIF($E$2:$E$599,E341,$I$2:$I$599)/SUMIF($E$2:$E$599,E341,$T$2:$T$599)</f>
        <v/>
      </c>
      <c r="W341" s="8">
        <f>V341+1.645*SQRT(V341/T341)+1/(2*T341)</f>
        <v/>
      </c>
      <c r="X341" s="5">
        <f>U341/W341</f>
        <v/>
      </c>
      <c r="Y341">
        <f>IF(U341&gt;W341,"high",IF(U341&gt;V341,"medium","low"))</f>
        <v/>
      </c>
      <c r="Z341">
        <f>CHOOSE(MAX(IF(M341="high",2,IF(M341="medium",1,0)),IF(Y341="high",2,IF(Y341="medium",1,0)))+1,"low","medium","high")</f>
        <v/>
      </c>
      <c r="AA341">
        <f>IF(IF(M341="high",2,IF(M341="medium",1,0))=IF(Y341="high",2,IF(Y341="medium",1,0)),"SI และ Rate เท่ากัน",IF(IF(M341="high",2,IF(M341="medium",1,0))&gt;IF(Y341="high",2,IF(Y341="medium",1,0)),"SI","Rate"))</f>
        <v/>
      </c>
    </row>
    <row r="342">
      <c r="A342" t="inlineStr">
        <is>
          <t>zone_607</t>
        </is>
      </c>
      <c r="B342" t="inlineStr">
        <is>
          <t>สมุทรสาคร - บางบอน</t>
        </is>
      </c>
      <c r="C342" t="inlineStr">
        <is>
          <t>สมุทรสาคร</t>
        </is>
      </c>
      <c r="D342" t="inlineStr">
        <is>
          <t>3242</t>
        </is>
      </c>
      <c r="E342" t="inlineStr">
        <is>
          <t>ทล.</t>
        </is>
      </c>
      <c r="F342" t="inlineStr">
        <is>
          <t>13.185–13.48</t>
        </is>
      </c>
      <c r="G342" t="inlineStr">
        <is>
          <t>station_id 69 (ทล.3242 กม.4+130)</t>
        </is>
      </c>
      <c r="H342" t="inlineStr">
        <is>
          <t>ทล. สถานีตัวแทนตอนควบคุม</t>
        </is>
      </c>
      <c r="I342" t="n">
        <v>5</v>
      </c>
      <c r="J342" t="n">
        <v>0</v>
      </c>
      <c r="K342" t="n">
        <v>3</v>
      </c>
      <c r="L342" s="5" t="n">
        <v>0.6</v>
      </c>
      <c r="M342" t="inlineStr">
        <is>
          <t>low</t>
        </is>
      </c>
      <c r="N342" s="6" t="n">
        <v>47547</v>
      </c>
      <c r="O342" s="6" t="n">
        <v>49902</v>
      </c>
      <c r="P342" s="6" t="n">
        <v>49217</v>
      </c>
      <c r="Q342" s="6">
        <f>AVERAGE(N342:P342)</f>
        <v/>
      </c>
      <c r="R342" t="n">
        <v>3</v>
      </c>
      <c r="S342" t="n">
        <v>1</v>
      </c>
      <c r="T342" s="7">
        <f>365*R342*Q342*S342/1000000</f>
        <v/>
      </c>
      <c r="U342" s="8">
        <f>I342/T342</f>
        <v/>
      </c>
      <c r="V342" s="8">
        <f>SUMIF($E$2:$E$599,E342,$I$2:$I$599)/SUMIF($E$2:$E$599,E342,$T$2:$T$599)</f>
        <v/>
      </c>
      <c r="W342" s="8">
        <f>V342+1.645*SQRT(V342/T342)+1/(2*T342)</f>
        <v/>
      </c>
      <c r="X342" s="5">
        <f>U342/W342</f>
        <v/>
      </c>
      <c r="Y342">
        <f>IF(U342&gt;W342,"high",IF(U342&gt;V342,"medium","low"))</f>
        <v/>
      </c>
      <c r="Z342">
        <f>CHOOSE(MAX(IF(M342="high",2,IF(M342="medium",1,0)),IF(Y342="high",2,IF(Y342="medium",1,0)))+1,"low","medium","high")</f>
        <v/>
      </c>
      <c r="AA342">
        <f>IF(IF(M342="high",2,IF(M342="medium",1,0))=IF(Y342="high",2,IF(Y342="medium",1,0)),"SI และ Rate เท่ากัน",IF(IF(M342="high",2,IF(M342="medium",1,0))&gt;IF(Y342="high",2,IF(Y342="medium",1,0)),"SI","Rate"))</f>
        <v/>
      </c>
    </row>
    <row r="343">
      <c r="A343" t="inlineStr">
        <is>
          <t>zone_154</t>
        </is>
      </c>
      <c r="B343" t="inlineStr">
        <is>
          <t>แขวงรามอินทรา - บางพลี</t>
        </is>
      </c>
      <c r="C343" t="inlineStr">
        <is>
          <t>กรุงเทพมหานคร</t>
        </is>
      </c>
      <c r="D343" t="inlineStr">
        <is>
          <t>9</t>
        </is>
      </c>
      <c r="E343" t="inlineStr">
        <is>
          <t>ทล.</t>
        </is>
      </c>
      <c r="F343" t="inlineStr">
        <is>
          <t>60.8–61.4</t>
        </is>
      </c>
      <c r="G343" t="inlineStr">
        <is>
          <t>station_id 348 (ทล.9 กม.59+500)</t>
        </is>
      </c>
      <c r="H343" t="inlineStr">
        <is>
          <t>ทล. สถานีตัวแทนตอนควบคุม</t>
        </is>
      </c>
      <c r="I343" t="n">
        <v>10</v>
      </c>
      <c r="J343" t="n">
        <v>0</v>
      </c>
      <c r="K343" t="n">
        <v>5</v>
      </c>
      <c r="L343" s="5" t="n">
        <v>0.5</v>
      </c>
      <c r="M343" t="inlineStr">
        <is>
          <t>low</t>
        </is>
      </c>
      <c r="N343" s="6" t="n">
        <v>110915</v>
      </c>
      <c r="O343" s="6" t="n">
        <v>117953</v>
      </c>
      <c r="P343" s="6" t="n">
        <v>117813</v>
      </c>
      <c r="Q343" s="6">
        <f>AVERAGE(N343:P343)</f>
        <v/>
      </c>
      <c r="R343" t="n">
        <v>3</v>
      </c>
      <c r="S343" t="n">
        <v>1</v>
      </c>
      <c r="T343" s="7">
        <f>365*R343*Q343*S343/1000000</f>
        <v/>
      </c>
      <c r="U343" s="8">
        <f>I343/T343</f>
        <v/>
      </c>
      <c r="V343" s="8">
        <f>SUMIF($E$2:$E$599,E343,$I$2:$I$599)/SUMIF($E$2:$E$599,E343,$T$2:$T$599)</f>
        <v/>
      </c>
      <c r="W343" s="8">
        <f>V343+1.645*SQRT(V343/T343)+1/(2*T343)</f>
        <v/>
      </c>
      <c r="X343" s="5">
        <f>U343/W343</f>
        <v/>
      </c>
      <c r="Y343">
        <f>IF(U343&gt;W343,"high",IF(U343&gt;V343,"medium","low"))</f>
        <v/>
      </c>
      <c r="Z343">
        <f>CHOOSE(MAX(IF(M343="high",2,IF(M343="medium",1,0)),IF(Y343="high",2,IF(Y343="medium",1,0)))+1,"low","medium","high")</f>
        <v/>
      </c>
      <c r="AA343">
        <f>IF(IF(M343="high",2,IF(M343="medium",1,0))=IF(Y343="high",2,IF(Y343="medium",1,0)),"SI และ Rate เท่ากัน",IF(IF(M343="high",2,IF(M343="medium",1,0))&gt;IF(Y343="high",2,IF(Y343="medium",1,0)),"SI","Rate"))</f>
        <v/>
      </c>
    </row>
    <row r="344">
      <c r="A344" t="inlineStr">
        <is>
          <t>zone_488</t>
        </is>
      </c>
      <c r="B344" t="inlineStr">
        <is>
          <t>แขวงรามอินทรา - บางพลี</t>
        </is>
      </c>
      <c r="C344" t="inlineStr">
        <is>
          <t>สมุทรปราการ</t>
        </is>
      </c>
      <c r="D344" t="inlineStr">
        <is>
          <t>9</t>
        </is>
      </c>
      <c r="E344" t="inlineStr">
        <is>
          <t>ทล.</t>
        </is>
      </c>
      <c r="F344" t="inlineStr">
        <is>
          <t>8.7–64</t>
        </is>
      </c>
      <c r="G344" t="inlineStr">
        <is>
          <t>station_id 347 (ทล.9 กม.1+500)</t>
        </is>
      </c>
      <c r="H344" t="inlineStr">
        <is>
          <t>ทล. สถานีตัวแทนตอนควบคุม</t>
        </is>
      </c>
      <c r="I344" t="n">
        <v>13</v>
      </c>
      <c r="J344" t="n">
        <v>0</v>
      </c>
      <c r="K344" t="n">
        <v>5</v>
      </c>
      <c r="L344" s="5" t="n">
        <v>0.3846</v>
      </c>
      <c r="M344" t="inlineStr">
        <is>
          <t>low</t>
        </is>
      </c>
      <c r="N344" s="6" t="n">
        <v>146870</v>
      </c>
      <c r="O344" s="6" t="n">
        <v>165212</v>
      </c>
      <c r="P344" s="6" t="n">
        <v>160792</v>
      </c>
      <c r="Q344" s="6">
        <f>AVERAGE(N344:P344)</f>
        <v/>
      </c>
      <c r="R344" t="n">
        <v>3</v>
      </c>
      <c r="S344" t="n">
        <v>1</v>
      </c>
      <c r="T344" s="7">
        <f>365*R344*Q344*S344/1000000</f>
        <v/>
      </c>
      <c r="U344" s="8">
        <f>I344/T344</f>
        <v/>
      </c>
      <c r="V344" s="8">
        <f>SUMIF($E$2:$E$599,E344,$I$2:$I$599)/SUMIF($E$2:$E$599,E344,$T$2:$T$599)</f>
        <v/>
      </c>
      <c r="W344" s="8">
        <f>V344+1.645*SQRT(V344/T344)+1/(2*T344)</f>
        <v/>
      </c>
      <c r="X344" s="5">
        <f>U344/W344</f>
        <v/>
      </c>
      <c r="Y344">
        <f>IF(U344&gt;W344,"high",IF(U344&gt;V344,"medium","low"))</f>
        <v/>
      </c>
      <c r="Z344">
        <f>CHOOSE(MAX(IF(M344="high",2,IF(M344="medium",1,0)),IF(Y344="high",2,IF(Y344="medium",1,0)))+1,"low","medium","high")</f>
        <v/>
      </c>
      <c r="AA344">
        <f>IF(IF(M344="high",2,IF(M344="medium",1,0))=IF(Y344="high",2,IF(Y344="medium",1,0)),"SI และ Rate เท่ากัน",IF(IF(M344="high",2,IF(M344="medium",1,0))&gt;IF(Y344="high",2,IF(Y344="medium",1,0)),"SI","Rate"))</f>
        <v/>
      </c>
    </row>
    <row r="345">
      <c r="A345" t="inlineStr">
        <is>
          <t>zone_47</t>
        </is>
      </c>
      <c r="B345" t="inlineStr">
        <is>
          <t>ดาวคะนอง - แสมดำ</t>
        </is>
      </c>
      <c r="C345" t="inlineStr">
        <is>
          <t>กรุงเทพมหานคร</t>
        </is>
      </c>
      <c r="D345" t="inlineStr">
        <is>
          <t>35</t>
        </is>
      </c>
      <c r="E345" t="inlineStr">
        <is>
          <t>ทล.</t>
        </is>
      </c>
      <c r="F345" t="inlineStr">
        <is>
          <t>13.05–14.1</t>
        </is>
      </c>
      <c r="G345" t="inlineStr">
        <is>
          <t>station_id 127 (ทล.35 กม.6+500)</t>
        </is>
      </c>
      <c r="H345" t="inlineStr">
        <is>
          <t>ทล. สถานีตัวแทนตอนควบคุม</t>
        </is>
      </c>
      <c r="I345" t="n">
        <v>20</v>
      </c>
      <c r="J345" t="n">
        <v>3</v>
      </c>
      <c r="K345" t="n">
        <v>9</v>
      </c>
      <c r="L345" s="5" t="n">
        <v>0.55</v>
      </c>
      <c r="M345" t="inlineStr">
        <is>
          <t>low</t>
        </is>
      </c>
      <c r="N345" s="6" t="n">
        <v>256167</v>
      </c>
      <c r="O345" s="6" t="n">
        <v>260090</v>
      </c>
      <c r="P345" s="6" t="n">
        <v>259277</v>
      </c>
      <c r="Q345" s="6">
        <f>AVERAGE(N345:P345)</f>
        <v/>
      </c>
      <c r="R345" t="n">
        <v>3</v>
      </c>
      <c r="S345" t="n">
        <v>1</v>
      </c>
      <c r="T345" s="7">
        <f>365*R345*Q345*S345/1000000</f>
        <v/>
      </c>
      <c r="U345" s="8">
        <f>I345/T345</f>
        <v/>
      </c>
      <c r="V345" s="8">
        <f>SUMIF($E$2:$E$599,E345,$I$2:$I$599)/SUMIF($E$2:$E$599,E345,$T$2:$T$599)</f>
        <v/>
      </c>
      <c r="W345" s="8">
        <f>V345+1.645*SQRT(V345/T345)+1/(2*T345)</f>
        <v/>
      </c>
      <c r="X345" s="5">
        <f>U345/W345</f>
        <v/>
      </c>
      <c r="Y345">
        <f>IF(U345&gt;W345,"high",IF(U345&gt;V345,"medium","low"))</f>
        <v/>
      </c>
      <c r="Z345">
        <f>CHOOSE(MAX(IF(M345="high",2,IF(M345="medium",1,0)),IF(Y345="high",2,IF(Y345="medium",1,0)))+1,"low","medium","high")</f>
        <v/>
      </c>
      <c r="AA345">
        <f>IF(IF(M345="high",2,IF(M345="medium",1,0))=IF(Y345="high",2,IF(Y345="medium",1,0)),"SI และ Rate เท่ากัน",IF(IF(M345="high",2,IF(M345="medium",1,0))&gt;IF(Y345="high",2,IF(Y345="medium",1,0)),"SI","Rate"))</f>
        <v/>
      </c>
    </row>
    <row r="346">
      <c r="A346" t="inlineStr">
        <is>
          <t>zone_129</t>
        </is>
      </c>
      <c r="B346" t="inlineStr">
        <is>
          <t>พระประแดง - บางแค</t>
        </is>
      </c>
      <c r="C346" t="inlineStr">
        <is>
          <t>กรุงเทพมหานคร</t>
        </is>
      </c>
      <c r="D346" t="inlineStr">
        <is>
          <t>3901</t>
        </is>
      </c>
      <c r="E346" t="inlineStr">
        <is>
          <t>ทล.</t>
        </is>
      </c>
      <c r="F346" t="inlineStr">
        <is>
          <t>13.865–15.49</t>
        </is>
      </c>
      <c r="G346" t="inlineStr">
        <is>
          <t>station_id 131 (ทล.3901 กม.20+430)</t>
        </is>
      </c>
      <c r="H346" t="inlineStr">
        <is>
          <t>ทล. สถานีตัวแทนตอนควบคุม</t>
        </is>
      </c>
      <c r="I346" t="n">
        <v>4</v>
      </c>
      <c r="J346" t="n">
        <v>0</v>
      </c>
      <c r="K346" t="n">
        <v>2</v>
      </c>
      <c r="L346" s="5" t="n">
        <v>0.5</v>
      </c>
      <c r="M346" t="inlineStr">
        <is>
          <t>low</t>
        </is>
      </c>
      <c r="N346" s="6" t="n">
        <v>33842</v>
      </c>
      <c r="O346" s="6" t="n">
        <v>35924</v>
      </c>
      <c r="P346" s="6" t="n">
        <v>41328</v>
      </c>
      <c r="Q346" s="6">
        <f>AVERAGE(N346:P346)</f>
        <v/>
      </c>
      <c r="R346" t="n">
        <v>3</v>
      </c>
      <c r="S346" t="n">
        <v>1</v>
      </c>
      <c r="T346" s="7">
        <f>365*R346*Q346*S346/1000000</f>
        <v/>
      </c>
      <c r="U346" s="8">
        <f>I346/T346</f>
        <v/>
      </c>
      <c r="V346" s="8">
        <f>SUMIF($E$2:$E$599,E346,$I$2:$I$599)/SUMIF($E$2:$E$599,E346,$T$2:$T$599)</f>
        <v/>
      </c>
      <c r="W346" s="8">
        <f>V346+1.645*SQRT(V346/T346)+1/(2*T346)</f>
        <v/>
      </c>
      <c r="X346" s="5">
        <f>U346/W346</f>
        <v/>
      </c>
      <c r="Y346">
        <f>IF(U346&gt;W346,"high",IF(U346&gt;V346,"medium","low"))</f>
        <v/>
      </c>
      <c r="Z346">
        <f>CHOOSE(MAX(IF(M346="high",2,IF(M346="medium",1,0)),IF(Y346="high",2,IF(Y346="medium",1,0)))+1,"low","medium","high")</f>
        <v/>
      </c>
      <c r="AA346">
        <f>IF(IF(M346="high",2,IF(M346="medium",1,0))=IF(Y346="high",2,IF(Y346="medium",1,0)),"SI และ Rate เท่ากัน",IF(IF(M346="high",2,IF(M346="medium",1,0))&gt;IF(Y346="high",2,IF(Y346="medium",1,0)),"SI","Rate"))</f>
        <v/>
      </c>
    </row>
    <row r="347">
      <c r="A347" t="inlineStr">
        <is>
          <t>zone_260</t>
        </is>
      </c>
      <c r="B347" t="inlineStr">
        <is>
          <t>บางแค - คลองมหาสวัสดิ์</t>
        </is>
      </c>
      <c r="C347" t="inlineStr">
        <is>
          <t>กรุงเทพมหานคร</t>
        </is>
      </c>
      <c r="D347" t="inlineStr">
        <is>
          <t>3901</t>
        </is>
      </c>
      <c r="E347" t="inlineStr">
        <is>
          <t>ทล.</t>
        </is>
      </c>
      <c r="F347" t="inlineStr">
        <is>
          <t>30.98–31.7</t>
        </is>
      </c>
      <c r="G347" t="inlineStr">
        <is>
          <t>station_id 131 (ทล.3901 กม.20+430)</t>
        </is>
      </c>
      <c r="H347" t="inlineStr">
        <is>
          <t>ทล. สถานีตัวแทนตอนควบคุม</t>
        </is>
      </c>
      <c r="I347" t="n">
        <v>4</v>
      </c>
      <c r="J347" t="n">
        <v>0</v>
      </c>
      <c r="K347" t="n">
        <v>2</v>
      </c>
      <c r="L347" s="5" t="n">
        <v>0.5</v>
      </c>
      <c r="M347" t="inlineStr">
        <is>
          <t>low</t>
        </is>
      </c>
      <c r="N347" s="6" t="n">
        <v>33842</v>
      </c>
      <c r="O347" s="6" t="n">
        <v>35924</v>
      </c>
      <c r="P347" s="6" t="n">
        <v>41328</v>
      </c>
      <c r="Q347" s="6">
        <f>AVERAGE(N347:P347)</f>
        <v/>
      </c>
      <c r="R347" t="n">
        <v>3</v>
      </c>
      <c r="S347" t="n">
        <v>1</v>
      </c>
      <c r="T347" s="7">
        <f>365*R347*Q347*S347/1000000</f>
        <v/>
      </c>
      <c r="U347" s="8">
        <f>I347/T347</f>
        <v/>
      </c>
      <c r="V347" s="8">
        <f>SUMIF($E$2:$E$599,E347,$I$2:$I$599)/SUMIF($E$2:$E$599,E347,$T$2:$T$599)</f>
        <v/>
      </c>
      <c r="W347" s="8">
        <f>V347+1.645*SQRT(V347/T347)+1/(2*T347)</f>
        <v/>
      </c>
      <c r="X347" s="5">
        <f>U347/W347</f>
        <v/>
      </c>
      <c r="Y347">
        <f>IF(U347&gt;W347,"high",IF(U347&gt;V347,"medium","low"))</f>
        <v/>
      </c>
      <c r="Z347">
        <f>CHOOSE(MAX(IF(M347="high",2,IF(M347="medium",1,0)),IF(Y347="high",2,IF(Y347="medium",1,0)))+1,"low","medium","high")</f>
        <v/>
      </c>
      <c r="AA347">
        <f>IF(IF(M347="high",2,IF(M347="medium",1,0))=IF(Y347="high",2,IF(Y347="medium",1,0)),"SI และ Rate เท่ากัน",IF(IF(M347="high",2,IF(M347="medium",1,0))&gt;IF(Y347="high",2,IF(Y347="medium",1,0)),"SI","Rate"))</f>
        <v/>
      </c>
    </row>
    <row r="348">
      <c r="A348" t="inlineStr">
        <is>
          <t>zone_361</t>
        </is>
      </c>
      <c r="B348" t="inlineStr">
        <is>
          <t>นครปฐม - ดอนตูม</t>
        </is>
      </c>
      <c r="C348" t="inlineStr">
        <is>
          <t>นครปฐม</t>
        </is>
      </c>
      <c r="D348" t="inlineStr">
        <is>
          <t>375</t>
        </is>
      </c>
      <c r="E348" t="inlineStr">
        <is>
          <t>ทล.</t>
        </is>
      </c>
      <c r="F348" t="inlineStr">
        <is>
          <t>58–58.135</t>
        </is>
      </c>
      <c r="G348" t="inlineStr">
        <is>
          <t>station_id 1974 (ทล.375 กม.43+935)</t>
        </is>
      </c>
      <c r="H348" t="inlineStr">
        <is>
          <t>ทล. สถานีตัวแทนตอนควบคุม</t>
        </is>
      </c>
      <c r="I348" t="n">
        <v>5</v>
      </c>
      <c r="J348" t="n">
        <v>0</v>
      </c>
      <c r="K348" t="n">
        <v>0</v>
      </c>
      <c r="L348" s="5" t="n">
        <v>0</v>
      </c>
      <c r="M348" t="inlineStr">
        <is>
          <t>low</t>
        </is>
      </c>
      <c r="N348" s="6" t="n">
        <v>43466</v>
      </c>
      <c r="O348" s="6" t="n">
        <v>52613</v>
      </c>
      <c r="P348" s="6" t="n">
        <v>61581</v>
      </c>
      <c r="Q348" s="6">
        <f>AVERAGE(N348:P348)</f>
        <v/>
      </c>
      <c r="R348" t="n">
        <v>3</v>
      </c>
      <c r="S348" t="n">
        <v>1</v>
      </c>
      <c r="T348" s="7">
        <f>365*R348*Q348*S348/1000000</f>
        <v/>
      </c>
      <c r="U348" s="8">
        <f>I348/T348</f>
        <v/>
      </c>
      <c r="V348" s="8">
        <f>SUMIF($E$2:$E$599,E348,$I$2:$I$599)/SUMIF($E$2:$E$599,E348,$T$2:$T$599)</f>
        <v/>
      </c>
      <c r="W348" s="8">
        <f>V348+1.645*SQRT(V348/T348)+1/(2*T348)</f>
        <v/>
      </c>
      <c r="X348" s="5">
        <f>U348/W348</f>
        <v/>
      </c>
      <c r="Y348">
        <f>IF(U348&gt;W348,"high",IF(U348&gt;V348,"medium","low"))</f>
        <v/>
      </c>
      <c r="Z348">
        <f>CHOOSE(MAX(IF(M348="high",2,IF(M348="medium",1,0)),IF(Y348="high",2,IF(Y348="medium",1,0)))+1,"low","medium","high")</f>
        <v/>
      </c>
      <c r="AA348">
        <f>IF(IF(M348="high",2,IF(M348="medium",1,0))=IF(Y348="high",2,IF(Y348="medium",1,0)),"SI และ Rate เท่ากัน",IF(IF(M348="high",2,IF(M348="medium",1,0))&gt;IF(Y348="high",2,IF(Y348="medium",1,0)),"SI","Rate"))</f>
        <v/>
      </c>
    </row>
    <row r="349">
      <c r="A349" t="inlineStr">
        <is>
          <t>zone_480</t>
        </is>
      </c>
      <c r="B349" t="inlineStr">
        <is>
          <t>ทางเข้าท่าอากาศยานสุวรรณภูมิ - บางวัว</t>
        </is>
      </c>
      <c r="C349" t="inlineStr">
        <is>
          <t>สมุทรปราการ</t>
        </is>
      </c>
      <c r="D349" t="inlineStr">
        <is>
          <t>34</t>
        </is>
      </c>
      <c r="E349" t="inlineStr">
        <is>
          <t>ทล.</t>
        </is>
      </c>
      <c r="F349" t="inlineStr">
        <is>
          <t>15.6–16.7</t>
        </is>
      </c>
      <c r="G349" t="inlineStr">
        <is>
          <t>station_id 95 (ทล.34 กม.15+100)</t>
        </is>
      </c>
      <c r="H349" t="inlineStr">
        <is>
          <t>ทล. สถานีตัวแทนตอนควบคุม</t>
        </is>
      </c>
      <c r="I349" t="n">
        <v>18</v>
      </c>
      <c r="J349" t="n">
        <v>4</v>
      </c>
      <c r="K349" t="n">
        <v>5</v>
      </c>
      <c r="L349" s="5" t="n">
        <v>0.5</v>
      </c>
      <c r="M349" t="inlineStr">
        <is>
          <t>low</t>
        </is>
      </c>
      <c r="N349" s="6" t="n">
        <v>226283</v>
      </c>
      <c r="O349" s="6" t="n">
        <v>252612</v>
      </c>
      <c r="P349" s="6" t="n">
        <v>250222</v>
      </c>
      <c r="Q349" s="6">
        <f>AVERAGE(N349:P349)</f>
        <v/>
      </c>
      <c r="R349" t="n">
        <v>3</v>
      </c>
      <c r="S349" t="n">
        <v>1</v>
      </c>
      <c r="T349" s="7">
        <f>365*R349*Q349*S349/1000000</f>
        <v/>
      </c>
      <c r="U349" s="8">
        <f>I349/T349</f>
        <v/>
      </c>
      <c r="V349" s="8">
        <f>SUMIF($E$2:$E$599,E349,$I$2:$I$599)/SUMIF($E$2:$E$599,E349,$T$2:$T$599)</f>
        <v/>
      </c>
      <c r="W349" s="8">
        <f>V349+1.645*SQRT(V349/T349)+1/(2*T349)</f>
        <v/>
      </c>
      <c r="X349" s="5">
        <f>U349/W349</f>
        <v/>
      </c>
      <c r="Y349">
        <f>IF(U349&gt;W349,"high",IF(U349&gt;V349,"medium","low"))</f>
        <v/>
      </c>
      <c r="Z349">
        <f>CHOOSE(MAX(IF(M349="high",2,IF(M349="medium",1,0)),IF(Y349="high",2,IF(Y349="medium",1,0)))+1,"low","medium","high")</f>
        <v/>
      </c>
      <c r="AA349">
        <f>IF(IF(M349="high",2,IF(M349="medium",1,0))=IF(Y349="high",2,IF(Y349="medium",1,0)),"SI และ Rate เท่ากัน",IF(IF(M349="high",2,IF(M349="medium",1,0))&gt;IF(Y349="high",2,IF(Y349="medium",1,0)),"SI","Rate"))</f>
        <v/>
      </c>
    </row>
    <row r="350">
      <c r="A350" t="inlineStr">
        <is>
          <t>zone_66</t>
        </is>
      </c>
      <c r="B350" t="inlineStr">
        <is>
          <t>ดาวคะนอง - แสมดำ</t>
        </is>
      </c>
      <c r="C350" t="inlineStr">
        <is>
          <t>กรุงเทพมหานคร</t>
        </is>
      </c>
      <c r="D350" t="inlineStr">
        <is>
          <t>35</t>
        </is>
      </c>
      <c r="E350" t="inlineStr">
        <is>
          <t>ทล.</t>
        </is>
      </c>
      <c r="F350" t="inlineStr">
        <is>
          <t>4–5.15</t>
        </is>
      </c>
      <c r="G350" t="inlineStr">
        <is>
          <t>station_id 127 (ทล.35 กม.6+500)</t>
        </is>
      </c>
      <c r="H350" t="inlineStr">
        <is>
          <t>ทล. สถานีตัวแทนตอนควบคุม</t>
        </is>
      </c>
      <c r="I350" t="n">
        <v>19</v>
      </c>
      <c r="J350" t="n">
        <v>1</v>
      </c>
      <c r="K350" t="n">
        <v>9</v>
      </c>
      <c r="L350" s="5" t="n">
        <v>0.5263</v>
      </c>
      <c r="M350" t="inlineStr">
        <is>
          <t>low</t>
        </is>
      </c>
      <c r="N350" s="6" t="n">
        <v>256167</v>
      </c>
      <c r="O350" s="6" t="n">
        <v>260090</v>
      </c>
      <c r="P350" s="6" t="n">
        <v>259277</v>
      </c>
      <c r="Q350" s="6">
        <f>AVERAGE(N350:P350)</f>
        <v/>
      </c>
      <c r="R350" t="n">
        <v>3</v>
      </c>
      <c r="S350" t="n">
        <v>1</v>
      </c>
      <c r="T350" s="7">
        <f>365*R350*Q350*S350/1000000</f>
        <v/>
      </c>
      <c r="U350" s="8">
        <f>I350/T350</f>
        <v/>
      </c>
      <c r="V350" s="8">
        <f>SUMIF($E$2:$E$599,E350,$I$2:$I$599)/SUMIF($E$2:$E$599,E350,$T$2:$T$599)</f>
        <v/>
      </c>
      <c r="W350" s="8">
        <f>V350+1.645*SQRT(V350/T350)+1/(2*T350)</f>
        <v/>
      </c>
      <c r="X350" s="5">
        <f>U350/W350</f>
        <v/>
      </c>
      <c r="Y350">
        <f>IF(U350&gt;W350,"high",IF(U350&gt;V350,"medium","low"))</f>
        <v/>
      </c>
      <c r="Z350">
        <f>CHOOSE(MAX(IF(M350="high",2,IF(M350="medium",1,0)),IF(Y350="high",2,IF(Y350="medium",1,0)))+1,"low","medium","high")</f>
        <v/>
      </c>
      <c r="AA350">
        <f>IF(IF(M350="high",2,IF(M350="medium",1,0))=IF(Y350="high",2,IF(Y350="medium",1,0)),"SI และ Rate เท่ากัน",IF(IF(M350="high",2,IF(M350="medium",1,0))&gt;IF(Y350="high",2,IF(Y350="medium",1,0)),"SI","Rate"))</f>
        <v/>
      </c>
    </row>
    <row r="351">
      <c r="A351" t="inlineStr">
        <is>
          <t>zone_155</t>
        </is>
      </c>
      <c r="B351" t="inlineStr">
        <is>
          <t>ดินแดง - งามวงศ์วาน</t>
        </is>
      </c>
      <c r="C351" t="inlineStr">
        <is>
          <t>กรุงเทพมหานคร</t>
        </is>
      </c>
      <c r="D351" t="inlineStr">
        <is>
          <t>31</t>
        </is>
      </c>
      <c r="E351" t="inlineStr">
        <is>
          <t>ทล.</t>
        </is>
      </c>
      <c r="F351" t="inlineStr">
        <is>
          <t>5.725–6.1</t>
        </is>
      </c>
      <c r="G351" t="inlineStr">
        <is>
          <t>station_id 104 (ทล.302 กม.5+822)</t>
        </is>
      </c>
      <c r="H351" t="inlineStr">
        <is>
          <t>ทล. สถานีตัวแทนตอนควบคุม</t>
        </is>
      </c>
      <c r="I351" t="n">
        <v>9</v>
      </c>
      <c r="J351" t="n">
        <v>1</v>
      </c>
      <c r="K351" t="n">
        <v>6</v>
      </c>
      <c r="L351" s="5" t="n">
        <v>0.7778</v>
      </c>
      <c r="M351" t="inlineStr">
        <is>
          <t>low</t>
        </is>
      </c>
      <c r="N351" s="6" t="n">
        <v>111493</v>
      </c>
      <c r="O351" s="6" t="n">
        <v>113776</v>
      </c>
      <c r="P351" s="6" t="n">
        <v>111297</v>
      </c>
      <c r="Q351" s="6">
        <f>AVERAGE(N351:P351)</f>
        <v/>
      </c>
      <c r="R351" t="n">
        <v>3</v>
      </c>
      <c r="S351" t="n">
        <v>1</v>
      </c>
      <c r="T351" s="7">
        <f>365*R351*Q351*S351/1000000</f>
        <v/>
      </c>
      <c r="U351" s="8">
        <f>I351/T351</f>
        <v/>
      </c>
      <c r="V351" s="8">
        <f>SUMIF($E$2:$E$599,E351,$I$2:$I$599)/SUMIF($E$2:$E$599,E351,$T$2:$T$599)</f>
        <v/>
      </c>
      <c r="W351" s="8">
        <f>V351+1.645*SQRT(V351/T351)+1/(2*T351)</f>
        <v/>
      </c>
      <c r="X351" s="5">
        <f>U351/W351</f>
        <v/>
      </c>
      <c r="Y351">
        <f>IF(U351&gt;W351,"high",IF(U351&gt;V351,"medium","low"))</f>
        <v/>
      </c>
      <c r="Z351">
        <f>CHOOSE(MAX(IF(M351="high",2,IF(M351="medium",1,0)),IF(Y351="high",2,IF(Y351="medium",1,0)))+1,"low","medium","high")</f>
        <v/>
      </c>
      <c r="AA351">
        <f>IF(IF(M351="high",2,IF(M351="medium",1,0))=IF(Y351="high",2,IF(Y351="medium",1,0)),"SI และ Rate เท่ากัน",IF(IF(M351="high",2,IF(M351="medium",1,0))&gt;IF(Y351="high",2,IF(Y351="medium",1,0)),"SI","Rate"))</f>
        <v/>
      </c>
    </row>
    <row r="352">
      <c r="A352" t="inlineStr">
        <is>
          <t>zone_503</t>
        </is>
      </c>
      <c r="B352" t="inlineStr">
        <is>
          <t>บางตำหรุ - คลองด่าน</t>
        </is>
      </c>
      <c r="C352" t="inlineStr">
        <is>
          <t>สมุทรปราการ</t>
        </is>
      </c>
      <c r="D352" t="inlineStr">
        <is>
          <t>3</t>
        </is>
      </c>
      <c r="E352" t="inlineStr">
        <is>
          <t>ทล.</t>
        </is>
      </c>
      <c r="F352" t="inlineStr">
        <is>
          <t>48.3–48.45</t>
        </is>
      </c>
      <c r="G352" t="inlineStr">
        <is>
          <t>station_id 137 (ทล.3 กม.40+800)</t>
        </is>
      </c>
      <c r="H352" t="inlineStr">
        <is>
          <t>ทล. สถานีตัวแทนตอนควบคุม</t>
        </is>
      </c>
      <c r="I352" t="n">
        <v>3</v>
      </c>
      <c r="J352" t="n">
        <v>0</v>
      </c>
      <c r="K352" t="n">
        <v>1</v>
      </c>
      <c r="L352" s="5" t="n">
        <v>0.3333</v>
      </c>
      <c r="M352" t="inlineStr">
        <is>
          <t>low</t>
        </is>
      </c>
      <c r="N352" s="6" t="n">
        <v>30051</v>
      </c>
      <c r="O352" s="6" t="n">
        <v>27433</v>
      </c>
      <c r="P352" s="6" t="n">
        <v>26664</v>
      </c>
      <c r="Q352" s="6">
        <f>AVERAGE(N352:P352)</f>
        <v/>
      </c>
      <c r="R352" t="n">
        <v>3</v>
      </c>
      <c r="S352" t="n">
        <v>1</v>
      </c>
      <c r="T352" s="7">
        <f>365*R352*Q352*S352/1000000</f>
        <v/>
      </c>
      <c r="U352" s="8">
        <f>I352/T352</f>
        <v/>
      </c>
      <c r="V352" s="8">
        <f>SUMIF($E$2:$E$599,E352,$I$2:$I$599)/SUMIF($E$2:$E$599,E352,$T$2:$T$599)</f>
        <v/>
      </c>
      <c r="W352" s="8">
        <f>V352+1.645*SQRT(V352/T352)+1/(2*T352)</f>
        <v/>
      </c>
      <c r="X352" s="5">
        <f>U352/W352</f>
        <v/>
      </c>
      <c r="Y352">
        <f>IF(U352&gt;W352,"high",IF(U352&gt;V352,"medium","low"))</f>
        <v/>
      </c>
      <c r="Z352">
        <f>CHOOSE(MAX(IF(M352="high",2,IF(M352="medium",1,0)),IF(Y352="high",2,IF(Y352="medium",1,0)))+1,"low","medium","high")</f>
        <v/>
      </c>
      <c r="AA352">
        <f>IF(IF(M352="high",2,IF(M352="medium",1,0))=IF(Y352="high",2,IF(Y352="medium",1,0)),"SI และ Rate เท่ากัน",IF(IF(M352="high",2,IF(M352="medium",1,0))&gt;IF(Y352="high",2,IF(Y352="medium",1,0)),"SI","Rate"))</f>
        <v/>
      </c>
    </row>
    <row r="353">
      <c r="A353" t="inlineStr">
        <is>
          <t>zone_517</t>
        </is>
      </c>
      <c r="B353" t="inlineStr">
        <is>
          <t>บางตำหรุ - คลองด่าน</t>
        </is>
      </c>
      <c r="C353" t="inlineStr">
        <is>
          <t>สมุทรปราการ</t>
        </is>
      </c>
      <c r="D353" t="inlineStr">
        <is>
          <t>3</t>
        </is>
      </c>
      <c r="E353" t="inlineStr">
        <is>
          <t>ทล.</t>
        </is>
      </c>
      <c r="F353" t="inlineStr">
        <is>
          <t>54.7–54.725</t>
        </is>
      </c>
      <c r="G353" t="inlineStr">
        <is>
          <t>station_id 137 (ทล.3 กม.40+800)</t>
        </is>
      </c>
      <c r="H353" t="inlineStr">
        <is>
          <t>ทล. สถานีตัวแทนตอนควบคุม</t>
        </is>
      </c>
      <c r="I353" t="n">
        <v>3</v>
      </c>
      <c r="J353" t="n">
        <v>1</v>
      </c>
      <c r="K353" t="n">
        <v>1</v>
      </c>
      <c r="L353" s="5" t="n">
        <v>0.6667</v>
      </c>
      <c r="M353" t="inlineStr">
        <is>
          <t>low</t>
        </is>
      </c>
      <c r="N353" s="6" t="n">
        <v>30051</v>
      </c>
      <c r="O353" s="6" t="n">
        <v>27433</v>
      </c>
      <c r="P353" s="6" t="n">
        <v>26664</v>
      </c>
      <c r="Q353" s="6">
        <f>AVERAGE(N353:P353)</f>
        <v/>
      </c>
      <c r="R353" t="n">
        <v>3</v>
      </c>
      <c r="S353" t="n">
        <v>1</v>
      </c>
      <c r="T353" s="7">
        <f>365*R353*Q353*S353/1000000</f>
        <v/>
      </c>
      <c r="U353" s="8">
        <f>I353/T353</f>
        <v/>
      </c>
      <c r="V353" s="8">
        <f>SUMIF($E$2:$E$599,E353,$I$2:$I$599)/SUMIF($E$2:$E$599,E353,$T$2:$T$599)</f>
        <v/>
      </c>
      <c r="W353" s="8">
        <f>V353+1.645*SQRT(V353/T353)+1/(2*T353)</f>
        <v/>
      </c>
      <c r="X353" s="5">
        <f>U353/W353</f>
        <v/>
      </c>
      <c r="Y353">
        <f>IF(U353&gt;W353,"high",IF(U353&gt;V353,"medium","low"))</f>
        <v/>
      </c>
      <c r="Z353">
        <f>CHOOSE(MAX(IF(M353="high",2,IF(M353="medium",1,0)),IF(Y353="high",2,IF(Y353="medium",1,0)))+1,"low","medium","high")</f>
        <v/>
      </c>
      <c r="AA353">
        <f>IF(IF(M353="high",2,IF(M353="medium",1,0))=IF(Y353="high",2,IF(Y353="medium",1,0)),"SI และ Rate เท่ากัน",IF(IF(M353="high",2,IF(M353="medium",1,0))&gt;IF(Y353="high",2,IF(Y353="medium",1,0)),"SI","Rate"))</f>
        <v/>
      </c>
    </row>
    <row r="354">
      <c r="A354" t="inlineStr">
        <is>
          <t>zone_541</t>
        </is>
      </c>
      <c r="B354" t="inlineStr">
        <is>
          <t>บางตำหรุ - คลองด่าน</t>
        </is>
      </c>
      <c r="C354" t="inlineStr">
        <is>
          <t>สมุทรปราการ</t>
        </is>
      </c>
      <c r="D354" t="inlineStr">
        <is>
          <t>3</t>
        </is>
      </c>
      <c r="E354" t="inlineStr">
        <is>
          <t>ทล.</t>
        </is>
      </c>
      <c r="F354" t="inlineStr">
        <is>
          <t>55.9–55.92</t>
        </is>
      </c>
      <c r="G354" t="inlineStr">
        <is>
          <t>station_id 137 (ทล.3 กม.40+800)</t>
        </is>
      </c>
      <c r="H354" t="inlineStr">
        <is>
          <t>ทล. สถานีตัวแทนตอนควบคุม</t>
        </is>
      </c>
      <c r="I354" t="n">
        <v>3</v>
      </c>
      <c r="J354" t="n">
        <v>1</v>
      </c>
      <c r="K354" t="n">
        <v>1</v>
      </c>
      <c r="L354" s="5" t="n">
        <v>0.6667</v>
      </c>
      <c r="M354" t="inlineStr">
        <is>
          <t>low</t>
        </is>
      </c>
      <c r="N354" s="6" t="n">
        <v>30051</v>
      </c>
      <c r="O354" s="6" t="n">
        <v>27433</v>
      </c>
      <c r="P354" s="6" t="n">
        <v>26664</v>
      </c>
      <c r="Q354" s="6">
        <f>AVERAGE(N354:P354)</f>
        <v/>
      </c>
      <c r="R354" t="n">
        <v>3</v>
      </c>
      <c r="S354" t="n">
        <v>1</v>
      </c>
      <c r="T354" s="7">
        <f>365*R354*Q354*S354/1000000</f>
        <v/>
      </c>
      <c r="U354" s="8">
        <f>I354/T354</f>
        <v/>
      </c>
      <c r="V354" s="8">
        <f>SUMIF($E$2:$E$599,E354,$I$2:$I$599)/SUMIF($E$2:$E$599,E354,$T$2:$T$599)</f>
        <v/>
      </c>
      <c r="W354" s="8">
        <f>V354+1.645*SQRT(V354/T354)+1/(2*T354)</f>
        <v/>
      </c>
      <c r="X354" s="5">
        <f>U354/W354</f>
        <v/>
      </c>
      <c r="Y354">
        <f>IF(U354&gt;W354,"high",IF(U354&gt;V354,"medium","low"))</f>
        <v/>
      </c>
      <c r="Z354">
        <f>CHOOSE(MAX(IF(M354="high",2,IF(M354="medium",1,0)),IF(Y354="high",2,IF(Y354="medium",1,0)))+1,"low","medium","high")</f>
        <v/>
      </c>
      <c r="AA354">
        <f>IF(IF(M354="high",2,IF(M354="medium",1,0))=IF(Y354="high",2,IF(Y354="medium",1,0)),"SI และ Rate เท่ากัน",IF(IF(M354="high",2,IF(M354="medium",1,0))&gt;IF(Y354="high",2,IF(Y354="medium",1,0)),"SI","Rate"))</f>
        <v/>
      </c>
    </row>
    <row r="355">
      <c r="A355" t="inlineStr">
        <is>
          <t>zone_560</t>
        </is>
      </c>
      <c r="B355" t="inlineStr">
        <is>
          <t>ท้ายบ้าน - บางตำหรุ</t>
        </is>
      </c>
      <c r="C355" t="inlineStr">
        <is>
          <t>สมุทรปราการ</t>
        </is>
      </c>
      <c r="D355" t="inlineStr">
        <is>
          <t>3</t>
        </is>
      </c>
      <c r="E355" t="inlineStr">
        <is>
          <t>ทล.</t>
        </is>
      </c>
      <c r="F355" t="inlineStr">
        <is>
          <t>35.12–35.31</t>
        </is>
      </c>
      <c r="G355" t="inlineStr">
        <is>
          <t>station_id 137 (ทล.3 กม.40+800)</t>
        </is>
      </c>
      <c r="H355" t="inlineStr">
        <is>
          <t>ทล. สถานีตัวแทนตอนควบคุม</t>
        </is>
      </c>
      <c r="I355" t="n">
        <v>3</v>
      </c>
      <c r="J355" t="n">
        <v>0</v>
      </c>
      <c r="K355" t="n">
        <v>1</v>
      </c>
      <c r="L355" s="5" t="n">
        <v>0.3333</v>
      </c>
      <c r="M355" t="inlineStr">
        <is>
          <t>low</t>
        </is>
      </c>
      <c r="N355" s="6" t="n">
        <v>30051</v>
      </c>
      <c r="O355" s="6" t="n">
        <v>27433</v>
      </c>
      <c r="P355" s="6" t="n">
        <v>26664</v>
      </c>
      <c r="Q355" s="6">
        <f>AVERAGE(N355:P355)</f>
        <v/>
      </c>
      <c r="R355" t="n">
        <v>3</v>
      </c>
      <c r="S355" t="n">
        <v>1</v>
      </c>
      <c r="T355" s="7">
        <f>365*R355*Q355*S355/1000000</f>
        <v/>
      </c>
      <c r="U355" s="8">
        <f>I355/T355</f>
        <v/>
      </c>
      <c r="V355" s="8">
        <f>SUMIF($E$2:$E$599,E355,$I$2:$I$599)/SUMIF($E$2:$E$599,E355,$T$2:$T$599)</f>
        <v/>
      </c>
      <c r="W355" s="8">
        <f>V355+1.645*SQRT(V355/T355)+1/(2*T355)</f>
        <v/>
      </c>
      <c r="X355" s="5">
        <f>U355/W355</f>
        <v/>
      </c>
      <c r="Y355">
        <f>IF(U355&gt;W355,"high",IF(U355&gt;V355,"medium","low"))</f>
        <v/>
      </c>
      <c r="Z355">
        <f>CHOOSE(MAX(IF(M355="high",2,IF(M355="medium",1,0)),IF(Y355="high",2,IF(Y355="medium",1,0)))+1,"low","medium","high")</f>
        <v/>
      </c>
      <c r="AA355">
        <f>IF(IF(M355="high",2,IF(M355="medium",1,0))=IF(Y355="high",2,IF(Y355="medium",1,0)),"SI และ Rate เท่ากัน",IF(IF(M355="high",2,IF(M355="medium",1,0))&gt;IF(Y355="high",2,IF(Y355="medium",1,0)),"SI","Rate"))</f>
        <v/>
      </c>
    </row>
    <row r="356">
      <c r="A356" t="inlineStr">
        <is>
          <t>zone_561</t>
        </is>
      </c>
      <c r="B356" t="inlineStr">
        <is>
          <t>บางตำหรุ - คลองด่าน</t>
        </is>
      </c>
      <c r="C356" t="inlineStr">
        <is>
          <t>สมุทรปราการ</t>
        </is>
      </c>
      <c r="D356" t="inlineStr">
        <is>
          <t>3</t>
        </is>
      </c>
      <c r="E356" t="inlineStr">
        <is>
          <t>ทล.</t>
        </is>
      </c>
      <c r="F356" t="inlineStr">
        <is>
          <t>41.85–41.95</t>
        </is>
      </c>
      <c r="G356" t="inlineStr">
        <is>
          <t>station_id 137 (ทล.3 กม.40+800)</t>
        </is>
      </c>
      <c r="H356" t="inlineStr">
        <is>
          <t>ทล. สถานีตัวแทนตอนควบคุม</t>
        </is>
      </c>
      <c r="I356" t="n">
        <v>3</v>
      </c>
      <c r="J356" t="n">
        <v>0</v>
      </c>
      <c r="K356" t="n">
        <v>0</v>
      </c>
      <c r="L356" s="5" t="n">
        <v>0</v>
      </c>
      <c r="M356" t="inlineStr">
        <is>
          <t>low</t>
        </is>
      </c>
      <c r="N356" s="6" t="n">
        <v>30051</v>
      </c>
      <c r="O356" s="6" t="n">
        <v>27433</v>
      </c>
      <c r="P356" s="6" t="n">
        <v>26664</v>
      </c>
      <c r="Q356" s="6">
        <f>AVERAGE(N356:P356)</f>
        <v/>
      </c>
      <c r="R356" t="n">
        <v>3</v>
      </c>
      <c r="S356" t="n">
        <v>1</v>
      </c>
      <c r="T356" s="7">
        <f>365*R356*Q356*S356/1000000</f>
        <v/>
      </c>
      <c r="U356" s="8">
        <f>I356/T356</f>
        <v/>
      </c>
      <c r="V356" s="8">
        <f>SUMIF($E$2:$E$599,E356,$I$2:$I$599)/SUMIF($E$2:$E$599,E356,$T$2:$T$599)</f>
        <v/>
      </c>
      <c r="W356" s="8">
        <f>V356+1.645*SQRT(V356/T356)+1/(2*T356)</f>
        <v/>
      </c>
      <c r="X356" s="5">
        <f>U356/W356</f>
        <v/>
      </c>
      <c r="Y356">
        <f>IF(U356&gt;W356,"high",IF(U356&gt;V356,"medium","low"))</f>
        <v/>
      </c>
      <c r="Z356">
        <f>CHOOSE(MAX(IF(M356="high",2,IF(M356="medium",1,0)),IF(Y356="high",2,IF(Y356="medium",1,0)))+1,"low","medium","high")</f>
        <v/>
      </c>
      <c r="AA356">
        <f>IF(IF(M356="high",2,IF(M356="medium",1,0))=IF(Y356="high",2,IF(Y356="medium",1,0)),"SI และ Rate เท่ากัน",IF(IF(M356="high",2,IF(M356="medium",1,0))&gt;IF(Y356="high",2,IF(Y356="medium",1,0)),"SI","Rate"))</f>
        <v/>
      </c>
    </row>
    <row r="357">
      <c r="A357" t="inlineStr">
        <is>
          <t>zone_562</t>
        </is>
      </c>
      <c r="B357" t="inlineStr">
        <is>
          <t>บางตำหรุ - คลองด่าน</t>
        </is>
      </c>
      <c r="C357" t="inlineStr">
        <is>
          <t>สมุทรปราการ</t>
        </is>
      </c>
      <c r="D357" t="inlineStr">
        <is>
          <t>3</t>
        </is>
      </c>
      <c r="E357" t="inlineStr">
        <is>
          <t>ทล.</t>
        </is>
      </c>
      <c r="F357" t="inlineStr">
        <is>
          <t>42.75–42.95</t>
        </is>
      </c>
      <c r="G357" t="inlineStr">
        <is>
          <t>station_id 137 (ทล.3 กม.40+800)</t>
        </is>
      </c>
      <c r="H357" t="inlineStr">
        <is>
          <t>ทล. สถานีตัวแทนตอนควบคุม</t>
        </is>
      </c>
      <c r="I357" t="n">
        <v>3</v>
      </c>
      <c r="J357" t="n">
        <v>0</v>
      </c>
      <c r="K357" t="n">
        <v>0</v>
      </c>
      <c r="L357" s="5" t="n">
        <v>0</v>
      </c>
      <c r="M357" t="inlineStr">
        <is>
          <t>low</t>
        </is>
      </c>
      <c r="N357" s="6" t="n">
        <v>30051</v>
      </c>
      <c r="O357" s="6" t="n">
        <v>27433</v>
      </c>
      <c r="P357" s="6" t="n">
        <v>26664</v>
      </c>
      <c r="Q357" s="6">
        <f>AVERAGE(N357:P357)</f>
        <v/>
      </c>
      <c r="R357" t="n">
        <v>3</v>
      </c>
      <c r="S357" t="n">
        <v>1</v>
      </c>
      <c r="T357" s="7">
        <f>365*R357*Q357*S357/1000000</f>
        <v/>
      </c>
      <c r="U357" s="8">
        <f>I357/T357</f>
        <v/>
      </c>
      <c r="V357" s="8">
        <f>SUMIF($E$2:$E$599,E357,$I$2:$I$599)/SUMIF($E$2:$E$599,E357,$T$2:$T$599)</f>
        <v/>
      </c>
      <c r="W357" s="8">
        <f>V357+1.645*SQRT(V357/T357)+1/(2*T357)</f>
        <v/>
      </c>
      <c r="X357" s="5">
        <f>U357/W357</f>
        <v/>
      </c>
      <c r="Y357">
        <f>IF(U357&gt;W357,"high",IF(U357&gt;V357,"medium","low"))</f>
        <v/>
      </c>
      <c r="Z357">
        <f>CHOOSE(MAX(IF(M357="high",2,IF(M357="medium",1,0)),IF(Y357="high",2,IF(Y357="medium",1,0)))+1,"low","medium","high")</f>
        <v/>
      </c>
      <c r="AA357">
        <f>IF(IF(M357="high",2,IF(M357="medium",1,0))=IF(Y357="high",2,IF(Y357="medium",1,0)),"SI และ Rate เท่ากัน",IF(IF(M357="high",2,IF(M357="medium",1,0))&gt;IF(Y357="high",2,IF(Y357="medium",1,0)),"SI","Rate"))</f>
        <v/>
      </c>
    </row>
    <row r="358">
      <c r="A358" t="inlineStr">
        <is>
          <t>zone_109</t>
        </is>
      </c>
      <c r="B358" t="inlineStr">
        <is>
          <t>แขวงรามอินทรา - บางพลี</t>
        </is>
      </c>
      <c r="C358" t="inlineStr">
        <is>
          <t>กรุงเทพมหานคร</t>
        </is>
      </c>
      <c r="D358" t="inlineStr">
        <is>
          <t>9</t>
        </is>
      </c>
      <c r="E358" t="inlineStr">
        <is>
          <t>ทล.</t>
        </is>
      </c>
      <c r="F358" t="inlineStr">
        <is>
          <t>55.5–56.2</t>
        </is>
      </c>
      <c r="G358" t="inlineStr">
        <is>
          <t>station_id 348 (ทล.9 กม.59+500)</t>
        </is>
      </c>
      <c r="H358" t="inlineStr">
        <is>
          <t>ทล. สถานีตัวแทนตอนควบคุม</t>
        </is>
      </c>
      <c r="I358" t="n">
        <v>9</v>
      </c>
      <c r="J358" t="n">
        <v>0</v>
      </c>
      <c r="K358" t="n">
        <v>3</v>
      </c>
      <c r="L358" s="5" t="n">
        <v>0.3333</v>
      </c>
      <c r="M358" t="inlineStr">
        <is>
          <t>low</t>
        </is>
      </c>
      <c r="N358" s="6" t="n">
        <v>110915</v>
      </c>
      <c r="O358" s="6" t="n">
        <v>117953</v>
      </c>
      <c r="P358" s="6" t="n">
        <v>117813</v>
      </c>
      <c r="Q358" s="6">
        <f>AVERAGE(N358:P358)</f>
        <v/>
      </c>
      <c r="R358" t="n">
        <v>3</v>
      </c>
      <c r="S358" t="n">
        <v>1</v>
      </c>
      <c r="T358" s="7">
        <f>365*R358*Q358*S358/1000000</f>
        <v/>
      </c>
      <c r="U358" s="8">
        <f>I358/T358</f>
        <v/>
      </c>
      <c r="V358" s="8">
        <f>SUMIF($E$2:$E$599,E358,$I$2:$I$599)/SUMIF($E$2:$E$599,E358,$T$2:$T$599)</f>
        <v/>
      </c>
      <c r="W358" s="8">
        <f>V358+1.645*SQRT(V358/T358)+1/(2*T358)</f>
        <v/>
      </c>
      <c r="X358" s="5">
        <f>U358/W358</f>
        <v/>
      </c>
      <c r="Y358">
        <f>IF(U358&gt;W358,"high",IF(U358&gt;V358,"medium","low"))</f>
        <v/>
      </c>
      <c r="Z358">
        <f>CHOOSE(MAX(IF(M358="high",2,IF(M358="medium",1,0)),IF(Y358="high",2,IF(Y358="medium",1,0)))+1,"low","medium","high")</f>
        <v/>
      </c>
      <c r="AA358">
        <f>IF(IF(M358="high",2,IF(M358="medium",1,0))=IF(Y358="high",2,IF(Y358="medium",1,0)),"SI และ Rate เท่ากัน",IF(IF(M358="high",2,IF(M358="medium",1,0))&gt;IF(Y358="high",2,IF(Y358="medium",1,0)),"SI","Rate"))</f>
        <v/>
      </c>
    </row>
    <row r="359">
      <c r="A359" t="inlineStr">
        <is>
          <t>zone_64</t>
        </is>
      </c>
      <c r="B359" t="inlineStr">
        <is>
          <t>ดาวคะนอง -  แสมดำ</t>
        </is>
      </c>
      <c r="C359" t="inlineStr">
        <is>
          <t>กรุงเทพมหานคร</t>
        </is>
      </c>
      <c r="D359" t="inlineStr">
        <is>
          <t>35</t>
        </is>
      </c>
      <c r="E359" t="inlineStr">
        <is>
          <t>ทล.</t>
        </is>
      </c>
      <c r="F359" t="inlineStr">
        <is>
          <t>14–14.66</t>
        </is>
      </c>
      <c r="G359" t="inlineStr">
        <is>
          <t>station_id 127 (ทล.35 กม.6+500)</t>
        </is>
      </c>
      <c r="H359" t="inlineStr">
        <is>
          <t>ทล. สถานีตัวแทนตอนควบคุม</t>
        </is>
      </c>
      <c r="I359" t="n">
        <v>18</v>
      </c>
      <c r="J359" t="n">
        <v>0</v>
      </c>
      <c r="K359" t="n">
        <v>9</v>
      </c>
      <c r="L359" s="5" t="n">
        <v>0.5</v>
      </c>
      <c r="M359" t="inlineStr">
        <is>
          <t>low</t>
        </is>
      </c>
      <c r="N359" s="6" t="n">
        <v>256167</v>
      </c>
      <c r="O359" s="6" t="n">
        <v>260090</v>
      </c>
      <c r="P359" s="6" t="n">
        <v>259277</v>
      </c>
      <c r="Q359" s="6">
        <f>AVERAGE(N359:P359)</f>
        <v/>
      </c>
      <c r="R359" t="n">
        <v>3</v>
      </c>
      <c r="S359" t="n">
        <v>1</v>
      </c>
      <c r="T359" s="7">
        <f>365*R359*Q359*S359/1000000</f>
        <v/>
      </c>
      <c r="U359" s="8">
        <f>I359/T359</f>
        <v/>
      </c>
      <c r="V359" s="8">
        <f>SUMIF($E$2:$E$599,E359,$I$2:$I$599)/SUMIF($E$2:$E$599,E359,$T$2:$T$599)</f>
        <v/>
      </c>
      <c r="W359" s="8">
        <f>V359+1.645*SQRT(V359/T359)+1/(2*T359)</f>
        <v/>
      </c>
      <c r="X359" s="5">
        <f>U359/W359</f>
        <v/>
      </c>
      <c r="Y359">
        <f>IF(U359&gt;W359,"high",IF(U359&gt;V359,"medium","low"))</f>
        <v/>
      </c>
      <c r="Z359">
        <f>CHOOSE(MAX(IF(M359="high",2,IF(M359="medium",1,0)),IF(Y359="high",2,IF(Y359="medium",1,0)))+1,"low","medium","high")</f>
        <v/>
      </c>
      <c r="AA359">
        <f>IF(IF(M359="high",2,IF(M359="medium",1,0))=IF(Y359="high",2,IF(Y359="medium",1,0)),"SI และ Rate เท่ากัน",IF(IF(M359="high",2,IF(M359="medium",1,0))&gt;IF(Y359="high",2,IF(Y359="medium",1,0)),"SI","Rate"))</f>
        <v/>
      </c>
    </row>
    <row r="360">
      <c r="A360" t="inlineStr">
        <is>
          <t>zone_139</t>
        </is>
      </c>
      <c r="B360" t="inlineStr">
        <is>
          <t>พญาไท-บางโคล่</t>
        </is>
      </c>
      <c r="C360" t="inlineStr">
        <is>
          <t>กรุงเทพมหานคร</t>
        </is>
      </c>
      <c r="D360" t="inlineStr">
        <is>
          <t>E002S007|U</t>
        </is>
      </c>
      <c r="E360" t="inlineStr">
        <is>
          <t>กทพ.</t>
        </is>
      </c>
      <c r="F360" t="inlineStr">
        <is>
          <t>9.1–9.4</t>
        </is>
      </c>
      <c r="G360" t="inlineStr">
        <is>
          <t>ศรีรัช</t>
        </is>
      </c>
      <c r="H360" t="inlineStr">
        <is>
          <t>กทพ. ยอดผ่านด่านทั้งสาย ÷ 365</t>
        </is>
      </c>
      <c r="I360" t="n">
        <v>7</v>
      </c>
      <c r="J360" t="n">
        <v>0</v>
      </c>
      <c r="K360" t="n">
        <v>4</v>
      </c>
      <c r="L360" s="5" t="n">
        <v>0.5714</v>
      </c>
      <c r="M360" t="inlineStr">
        <is>
          <t>low</t>
        </is>
      </c>
      <c r="N360" s="6" t="n">
        <v>613083.1506849315</v>
      </c>
      <c r="O360" s="6" t="n">
        <v>601127.7068493151</v>
      </c>
      <c r="P360" s="6" t="n">
        <v>607857.5287671232</v>
      </c>
      <c r="Q360" s="6">
        <f>AVERAGE(N360:P360)</f>
        <v/>
      </c>
      <c r="R360" t="n">
        <v>3</v>
      </c>
      <c r="S360" t="n">
        <v>1</v>
      </c>
      <c r="T360" s="7">
        <f>365*R360*Q360*S360/1000000</f>
        <v/>
      </c>
      <c r="U360" s="8">
        <f>I360/T360</f>
        <v/>
      </c>
      <c r="V360" s="8">
        <f>SUMIF($E$2:$E$599,E360,$I$2:$I$599)/SUMIF($E$2:$E$599,E360,$T$2:$T$599)</f>
        <v/>
      </c>
      <c r="W360" s="8">
        <f>V360+1.645*SQRT(V360/T360)+1/(2*T360)</f>
        <v/>
      </c>
      <c r="X360" s="5">
        <f>U360/W360</f>
        <v/>
      </c>
      <c r="Y360">
        <f>IF(U360&gt;W360,"high",IF(U360&gt;V360,"medium","low"))</f>
        <v/>
      </c>
      <c r="Z360">
        <f>CHOOSE(MAX(IF(M360="high",2,IF(M360="medium",1,0)),IF(Y360="high",2,IF(Y360="medium",1,0)))+1,"low","medium","high")</f>
        <v/>
      </c>
      <c r="AA360">
        <f>IF(IF(M360="high",2,IF(M360="medium",1,0))=IF(Y360="high",2,IF(Y360="medium",1,0)),"SI และ Rate เท่ากัน",IF(IF(M360="high",2,IF(M360="medium",1,0))&gt;IF(Y360="high",2,IF(Y360="medium",1,0)),"SI","Rate"))</f>
        <v/>
      </c>
    </row>
    <row r="361">
      <c r="A361" t="inlineStr">
        <is>
          <t>zone_236</t>
        </is>
      </c>
      <c r="B361" t="inlineStr">
        <is>
          <t>พญาไท-ศรีนครินทร์</t>
        </is>
      </c>
      <c r="C361" t="inlineStr">
        <is>
          <t>กรุงเทพมหานคร</t>
        </is>
      </c>
      <c r="D361" t="inlineStr">
        <is>
          <t>E002S016|U</t>
        </is>
      </c>
      <c r="E361" t="inlineStr">
        <is>
          <t>กทพ.</t>
        </is>
      </c>
      <c r="F361" t="inlineStr">
        <is>
          <t>6–6.3</t>
        </is>
      </c>
      <c r="G361" t="inlineStr">
        <is>
          <t>ศรีรัช</t>
        </is>
      </c>
      <c r="H361" t="inlineStr">
        <is>
          <t>กทพ. ยอดผ่านด่านทั้งสาย ÷ 365</t>
        </is>
      </c>
      <c r="I361" t="n">
        <v>7</v>
      </c>
      <c r="J361" t="n">
        <v>0</v>
      </c>
      <c r="K361" t="n">
        <v>4</v>
      </c>
      <c r="L361" s="5" t="n">
        <v>0.5714</v>
      </c>
      <c r="M361" t="inlineStr">
        <is>
          <t>low</t>
        </is>
      </c>
      <c r="N361" s="6" t="n">
        <v>613083.1506849315</v>
      </c>
      <c r="O361" s="6" t="n">
        <v>601127.7068493151</v>
      </c>
      <c r="P361" s="6" t="n">
        <v>607857.5287671232</v>
      </c>
      <c r="Q361" s="6">
        <f>AVERAGE(N361:P361)</f>
        <v/>
      </c>
      <c r="R361" t="n">
        <v>3</v>
      </c>
      <c r="S361" t="n">
        <v>1</v>
      </c>
      <c r="T361" s="7">
        <f>365*R361*Q361*S361/1000000</f>
        <v/>
      </c>
      <c r="U361" s="8">
        <f>I361/T361</f>
        <v/>
      </c>
      <c r="V361" s="8">
        <f>SUMIF($E$2:$E$599,E361,$I$2:$I$599)/SUMIF($E$2:$E$599,E361,$T$2:$T$599)</f>
        <v/>
      </c>
      <c r="W361" s="8">
        <f>V361+1.645*SQRT(V361/T361)+1/(2*T361)</f>
        <v/>
      </c>
      <c r="X361" s="5">
        <f>U361/W361</f>
        <v/>
      </c>
      <c r="Y361">
        <f>IF(U361&gt;W361,"high",IF(U361&gt;V361,"medium","low"))</f>
        <v/>
      </c>
      <c r="Z361">
        <f>CHOOSE(MAX(IF(M361="high",2,IF(M361="medium",1,0)),IF(Y361="high",2,IF(Y361="medium",1,0)))+1,"low","medium","high")</f>
        <v/>
      </c>
      <c r="AA361">
        <f>IF(IF(M361="high",2,IF(M361="medium",1,0))=IF(Y361="high",2,IF(Y361="medium",1,0)),"SI และ Rate เท่ากัน",IF(IF(M361="high",2,IF(M361="medium",1,0))&gt;IF(Y361="high",2,IF(Y361="medium",1,0)),"SI","Rate"))</f>
        <v/>
      </c>
    </row>
    <row r="362">
      <c r="A362" t="inlineStr">
        <is>
          <t>zone_261</t>
        </is>
      </c>
      <c r="B362" t="inlineStr">
        <is>
          <t>พญาไท-บางโคล่</t>
        </is>
      </c>
      <c r="C362" t="inlineStr">
        <is>
          <t>กรุงเทพมหานคร</t>
        </is>
      </c>
      <c r="D362" t="inlineStr">
        <is>
          <t>E002S007|I</t>
        </is>
      </c>
      <c r="E362" t="inlineStr">
        <is>
          <t>กทพ.</t>
        </is>
      </c>
      <c r="F362" t="inlineStr">
        <is>
          <t>0.7–0.9</t>
        </is>
      </c>
      <c r="G362" t="inlineStr">
        <is>
          <t>ศรีรัช</t>
        </is>
      </c>
      <c r="H362" t="inlineStr">
        <is>
          <t>กทพ. ยอดผ่านด่านทั้งสาย ÷ 365</t>
        </is>
      </c>
      <c r="I362" t="n">
        <v>7</v>
      </c>
      <c r="J362" t="n">
        <v>0</v>
      </c>
      <c r="K362" t="n">
        <v>5</v>
      </c>
      <c r="L362" s="5" t="n">
        <v>0.7143</v>
      </c>
      <c r="M362" t="inlineStr">
        <is>
          <t>low</t>
        </is>
      </c>
      <c r="N362" s="6" t="n">
        <v>613083.1506849315</v>
      </c>
      <c r="O362" s="6" t="n">
        <v>601127.7068493151</v>
      </c>
      <c r="P362" s="6" t="n">
        <v>607857.5287671232</v>
      </c>
      <c r="Q362" s="6">
        <f>AVERAGE(N362:P362)</f>
        <v/>
      </c>
      <c r="R362" t="n">
        <v>3</v>
      </c>
      <c r="S362" t="n">
        <v>1</v>
      </c>
      <c r="T362" s="7">
        <f>365*R362*Q362*S362/1000000</f>
        <v/>
      </c>
      <c r="U362" s="8">
        <f>I362/T362</f>
        <v/>
      </c>
      <c r="V362" s="8">
        <f>SUMIF($E$2:$E$599,E362,$I$2:$I$599)/SUMIF($E$2:$E$599,E362,$T$2:$T$599)</f>
        <v/>
      </c>
      <c r="W362" s="8">
        <f>V362+1.645*SQRT(V362/T362)+1/(2*T362)</f>
        <v/>
      </c>
      <c r="X362" s="5">
        <f>U362/W362</f>
        <v/>
      </c>
      <c r="Y362">
        <f>IF(U362&gt;W362,"high",IF(U362&gt;V362,"medium","low"))</f>
        <v/>
      </c>
      <c r="Z362">
        <f>CHOOSE(MAX(IF(M362="high",2,IF(M362="medium",1,0)),IF(Y362="high",2,IF(Y362="medium",1,0)))+1,"low","medium","high")</f>
        <v/>
      </c>
      <c r="AA362">
        <f>IF(IF(M362="high",2,IF(M362="medium",1,0))=IF(Y362="high",2,IF(Y362="medium",1,0)),"SI และ Rate เท่ากัน",IF(IF(M362="high",2,IF(M362="medium",1,0))&gt;IF(Y362="high",2,IF(Y362="medium",1,0)),"SI","Rate"))</f>
        <v/>
      </c>
    </row>
    <row r="363">
      <c r="A363" t="inlineStr">
        <is>
          <t>zone_342</t>
        </is>
      </c>
      <c r="B363" t="inlineStr">
        <is>
          <t>แคราย - คลองบ้านใหม่</t>
        </is>
      </c>
      <c r="C363" t="inlineStr">
        <is>
          <t>นนทบุรี</t>
        </is>
      </c>
      <c r="D363" t="inlineStr">
        <is>
          <t>306</t>
        </is>
      </c>
      <c r="E363" t="inlineStr">
        <is>
          <t>ทล.</t>
        </is>
      </c>
      <c r="F363" t="inlineStr">
        <is>
          <t>19.76–19.86</t>
        </is>
      </c>
      <c r="G363" t="inlineStr">
        <is>
          <t>station_id 111 (ทล.306 กม.19+390)</t>
        </is>
      </c>
      <c r="H363" t="inlineStr">
        <is>
          <t>ทล. สถานีตัวแทนตอนควบคุม</t>
        </is>
      </c>
      <c r="I363" t="n">
        <v>4</v>
      </c>
      <c r="J363" t="n">
        <v>0</v>
      </c>
      <c r="K363" t="n">
        <v>1</v>
      </c>
      <c r="L363" s="5" t="n">
        <v>0.25</v>
      </c>
      <c r="M363" t="inlineStr">
        <is>
          <t>low</t>
        </is>
      </c>
      <c r="N363" s="6" t="n">
        <v>44519</v>
      </c>
      <c r="O363" s="6" t="n">
        <v>44382</v>
      </c>
      <c r="P363" s="6" t="n">
        <v>43007</v>
      </c>
      <c r="Q363" s="6">
        <f>AVERAGE(N363:P363)</f>
        <v/>
      </c>
      <c r="R363" t="n">
        <v>3</v>
      </c>
      <c r="S363" t="n">
        <v>1</v>
      </c>
      <c r="T363" s="7">
        <f>365*R363*Q363*S363/1000000</f>
        <v/>
      </c>
      <c r="U363" s="8">
        <f>I363/T363</f>
        <v/>
      </c>
      <c r="V363" s="8">
        <f>SUMIF($E$2:$E$599,E363,$I$2:$I$599)/SUMIF($E$2:$E$599,E363,$T$2:$T$599)</f>
        <v/>
      </c>
      <c r="W363" s="8">
        <f>V363+1.645*SQRT(V363/T363)+1/(2*T363)</f>
        <v/>
      </c>
      <c r="X363" s="5">
        <f>U363/W363</f>
        <v/>
      </c>
      <c r="Y363">
        <f>IF(U363&gt;W363,"high",IF(U363&gt;V363,"medium","low"))</f>
        <v/>
      </c>
      <c r="Z363">
        <f>CHOOSE(MAX(IF(M363="high",2,IF(M363="medium",1,0)),IF(Y363="high",2,IF(Y363="medium",1,0)))+1,"low","medium","high")</f>
        <v/>
      </c>
      <c r="AA363">
        <f>IF(IF(M363="high",2,IF(M363="medium",1,0))=IF(Y363="high",2,IF(Y363="medium",1,0)),"SI และ Rate เท่ากัน",IF(IF(M363="high",2,IF(M363="medium",1,0))&gt;IF(Y363="high",2,IF(Y363="medium",1,0)),"SI","Rate"))</f>
        <v/>
      </c>
    </row>
    <row r="364">
      <c r="A364" t="inlineStr">
        <is>
          <t>zone_306</t>
        </is>
      </c>
      <c r="B364" t="inlineStr">
        <is>
          <t>ดาวคะนอง-ท่าเรือ</t>
        </is>
      </c>
      <c r="C364" t="inlineStr">
        <is>
          <t>กรุงเทพมหานคร</t>
        </is>
      </c>
      <c r="D364" t="inlineStr">
        <is>
          <t>E001S003|I</t>
        </is>
      </c>
      <c r="E364" t="inlineStr">
        <is>
          <t>กทพ.</t>
        </is>
      </c>
      <c r="F364" t="inlineStr">
        <is>
          <t>20–20.1</t>
        </is>
      </c>
      <c r="G364" t="inlineStr">
        <is>
          <t>เฉลิมมหานคร</t>
        </is>
      </c>
      <c r="H364" t="inlineStr">
        <is>
          <t>กทพ. ยอดผ่านด่านทั้งสาย ÷ 365</t>
        </is>
      </c>
      <c r="I364" t="n">
        <v>4</v>
      </c>
      <c r="J364" t="n">
        <v>0</v>
      </c>
      <c r="K364" t="n">
        <v>2</v>
      </c>
      <c r="L364" s="5" t="n">
        <v>0.5</v>
      </c>
      <c r="M364" t="inlineStr">
        <is>
          <t>low</t>
        </is>
      </c>
      <c r="N364" s="6" t="n">
        <v>307323.093150685</v>
      </c>
      <c r="O364" s="6" t="n">
        <v>305804.9945205479</v>
      </c>
      <c r="P364" s="6" t="n">
        <v>304213.8739726027</v>
      </c>
      <c r="Q364" s="6">
        <f>AVERAGE(N364:P364)</f>
        <v/>
      </c>
      <c r="R364" t="n">
        <v>3</v>
      </c>
      <c r="S364" t="n">
        <v>1</v>
      </c>
      <c r="T364" s="7">
        <f>365*R364*Q364*S364/1000000</f>
        <v/>
      </c>
      <c r="U364" s="8">
        <f>I364/T364</f>
        <v/>
      </c>
      <c r="V364" s="8">
        <f>SUMIF($E$2:$E$599,E364,$I$2:$I$599)/SUMIF($E$2:$E$599,E364,$T$2:$T$599)</f>
        <v/>
      </c>
      <c r="W364" s="8">
        <f>V364+1.645*SQRT(V364/T364)+1/(2*T364)</f>
        <v/>
      </c>
      <c r="X364" s="5">
        <f>U364/W364</f>
        <v/>
      </c>
      <c r="Y364">
        <f>IF(U364&gt;W364,"high",IF(U364&gt;V364,"medium","low"))</f>
        <v/>
      </c>
      <c r="Z364">
        <f>CHOOSE(MAX(IF(M364="high",2,IF(M364="medium",1,0)),IF(Y364="high",2,IF(Y364="medium",1,0)))+1,"low","medium","high")</f>
        <v/>
      </c>
      <c r="AA364">
        <f>IF(IF(M364="high",2,IF(M364="medium",1,0))=IF(Y364="high",2,IF(Y364="medium",1,0)),"SI และ Rate เท่ากัน",IF(IF(M364="high",2,IF(M364="medium",1,0))&gt;IF(Y364="high",2,IF(Y364="medium",1,0)),"SI","Rate"))</f>
        <v/>
      </c>
    </row>
    <row r="365">
      <c r="A365" t="inlineStr">
        <is>
          <t>zone_314</t>
        </is>
      </c>
      <c r="B365" t="inlineStr">
        <is>
          <t>บางนา-ท่าเรือ</t>
        </is>
      </c>
      <c r="C365" t="inlineStr">
        <is>
          <t>กรุงเทพมหานคร</t>
        </is>
      </c>
      <c r="D365" t="inlineStr">
        <is>
          <t>E001S002|I</t>
        </is>
      </c>
      <c r="E365" t="inlineStr">
        <is>
          <t>กทพ.</t>
        </is>
      </c>
      <c r="F365" t="inlineStr">
        <is>
          <t>11.5–11.5</t>
        </is>
      </c>
      <c r="G365" t="inlineStr">
        <is>
          <t>เฉลิมมหานคร</t>
        </is>
      </c>
      <c r="H365" t="inlineStr">
        <is>
          <t>กทพ. ยอดผ่านด่านทั้งสาย ÷ 365</t>
        </is>
      </c>
      <c r="I365" t="n">
        <v>4</v>
      </c>
      <c r="J365" t="n">
        <v>0</v>
      </c>
      <c r="K365" t="n">
        <v>0</v>
      </c>
      <c r="L365" s="5" t="n">
        <v>0</v>
      </c>
      <c r="M365" t="inlineStr">
        <is>
          <t>low</t>
        </is>
      </c>
      <c r="N365" s="6" t="n">
        <v>307323.093150685</v>
      </c>
      <c r="O365" s="6" t="n">
        <v>305804.9945205479</v>
      </c>
      <c r="P365" s="6" t="n">
        <v>304213.8739726027</v>
      </c>
      <c r="Q365" s="6">
        <f>AVERAGE(N365:P365)</f>
        <v/>
      </c>
      <c r="R365" t="n">
        <v>3</v>
      </c>
      <c r="S365" t="n">
        <v>1</v>
      </c>
      <c r="T365" s="7">
        <f>365*R365*Q365*S365/1000000</f>
        <v/>
      </c>
      <c r="U365" s="8">
        <f>I365/T365</f>
        <v/>
      </c>
      <c r="V365" s="8">
        <f>SUMIF($E$2:$E$599,E365,$I$2:$I$599)/SUMIF($E$2:$E$599,E365,$T$2:$T$599)</f>
        <v/>
      </c>
      <c r="W365" s="8">
        <f>V365+1.645*SQRT(V365/T365)+1/(2*T365)</f>
        <v/>
      </c>
      <c r="X365" s="5">
        <f>U365/W365</f>
        <v/>
      </c>
      <c r="Y365">
        <f>IF(U365&gt;W365,"high",IF(U365&gt;V365,"medium","low"))</f>
        <v/>
      </c>
      <c r="Z365">
        <f>CHOOSE(MAX(IF(M365="high",2,IF(M365="medium",1,0)),IF(Y365="high",2,IF(Y365="medium",1,0)))+1,"low","medium","high")</f>
        <v/>
      </c>
      <c r="AA365">
        <f>IF(IF(M365="high",2,IF(M365="medium",1,0))=IF(Y365="high",2,IF(Y365="medium",1,0)),"SI และ Rate เท่ากัน",IF(IF(M365="high",2,IF(M365="medium",1,0))&gt;IF(Y365="high",2,IF(Y365="medium",1,0)),"SI","Rate"))</f>
        <v/>
      </c>
    </row>
    <row r="366">
      <c r="A366" t="inlineStr">
        <is>
          <t>zone_290</t>
        </is>
      </c>
      <c r="B366" t="inlineStr">
        <is>
          <t>รามอินทรา-อาจณรงค์</t>
        </is>
      </c>
      <c r="C366" t="inlineStr">
        <is>
          <t>กรุงเทพมหานคร</t>
        </is>
      </c>
      <c r="D366" t="inlineStr">
        <is>
          <t>E003S008|I</t>
        </is>
      </c>
      <c r="E366" t="inlineStr">
        <is>
          <t>กทพ.</t>
        </is>
      </c>
      <c r="F366" t="inlineStr">
        <is>
          <t>5–5.2</t>
        </is>
      </c>
      <c r="G366" t="inlineStr">
        <is>
          <t>ฉลองรัช</t>
        </is>
      </c>
      <c r="H366" t="inlineStr">
        <is>
          <t>กทพ. ยอดผ่านด่านทั้งสาย ÷ 365</t>
        </is>
      </c>
      <c r="I366" t="n">
        <v>3</v>
      </c>
      <c r="J366" t="n">
        <v>0</v>
      </c>
      <c r="K366" t="n">
        <v>2</v>
      </c>
      <c r="L366" s="5" t="n">
        <v>0.6667</v>
      </c>
      <c r="M366" t="inlineStr">
        <is>
          <t>low</t>
        </is>
      </c>
      <c r="N366" s="6" t="n">
        <v>213053.802739726</v>
      </c>
      <c r="O366" s="6" t="n">
        <v>207436.4739726027</v>
      </c>
      <c r="P366" s="6" t="n">
        <v>205336.6383561644</v>
      </c>
      <c r="Q366" s="6">
        <f>AVERAGE(N366:P366)</f>
        <v/>
      </c>
      <c r="R366" t="n">
        <v>3</v>
      </c>
      <c r="S366" t="n">
        <v>1</v>
      </c>
      <c r="T366" s="7">
        <f>365*R366*Q366*S366/1000000</f>
        <v/>
      </c>
      <c r="U366" s="8">
        <f>I366/T366</f>
        <v/>
      </c>
      <c r="V366" s="8">
        <f>SUMIF($E$2:$E$599,E366,$I$2:$I$599)/SUMIF($E$2:$E$599,E366,$T$2:$T$599)</f>
        <v/>
      </c>
      <c r="W366" s="8">
        <f>V366+1.645*SQRT(V366/T366)+1/(2*T366)</f>
        <v/>
      </c>
      <c r="X366" s="5">
        <f>U366/W366</f>
        <v/>
      </c>
      <c r="Y366">
        <f>IF(U366&gt;W366,"high",IF(U366&gt;V366,"medium","low"))</f>
        <v/>
      </c>
      <c r="Z366">
        <f>CHOOSE(MAX(IF(M366="high",2,IF(M366="medium",1,0)),IF(Y366="high",2,IF(Y366="medium",1,0)))+1,"low","medium","high")</f>
        <v/>
      </c>
      <c r="AA366">
        <f>IF(IF(M366="high",2,IF(M366="medium",1,0))=IF(Y366="high",2,IF(Y366="medium",1,0)),"SI และ Rate เท่ากัน",IF(IF(M366="high",2,IF(M366="medium",1,0))&gt;IF(Y366="high",2,IF(Y366="medium",1,0)),"SI","Rate"))</f>
        <v/>
      </c>
    </row>
    <row r="367">
      <c r="A367" t="inlineStr">
        <is>
          <t>zone_300</t>
        </is>
      </c>
      <c r="B367" t="inlineStr">
        <is>
          <t>รามอินทรา-อาจณรงค์</t>
        </is>
      </c>
      <c r="C367" t="inlineStr">
        <is>
          <t>กรุงเทพมหานคร</t>
        </is>
      </c>
      <c r="D367" t="inlineStr">
        <is>
          <t>E003S008|I</t>
        </is>
      </c>
      <c r="E367" t="inlineStr">
        <is>
          <t>กทพ.</t>
        </is>
      </c>
      <c r="F367" t="inlineStr">
        <is>
          <t>6.3–6.5</t>
        </is>
      </c>
      <c r="G367" t="inlineStr">
        <is>
          <t>ฉลองรัช</t>
        </is>
      </c>
      <c r="H367" t="inlineStr">
        <is>
          <t>กทพ. ยอดผ่านด่านทั้งสาย ÷ 365</t>
        </is>
      </c>
      <c r="I367" t="n">
        <v>3</v>
      </c>
      <c r="J367" t="n">
        <v>0</v>
      </c>
      <c r="K367" t="n">
        <v>0</v>
      </c>
      <c r="L367" s="5" t="n">
        <v>0</v>
      </c>
      <c r="M367" t="inlineStr">
        <is>
          <t>low</t>
        </is>
      </c>
      <c r="N367" s="6" t="n">
        <v>213053.802739726</v>
      </c>
      <c r="O367" s="6" t="n">
        <v>207436.4739726027</v>
      </c>
      <c r="P367" s="6" t="n">
        <v>205336.6383561644</v>
      </c>
      <c r="Q367" s="6">
        <f>AVERAGE(N367:P367)</f>
        <v/>
      </c>
      <c r="R367" t="n">
        <v>3</v>
      </c>
      <c r="S367" t="n">
        <v>1</v>
      </c>
      <c r="T367" s="7">
        <f>365*R367*Q367*S367/1000000</f>
        <v/>
      </c>
      <c r="U367" s="8">
        <f>I367/T367</f>
        <v/>
      </c>
      <c r="V367" s="8">
        <f>SUMIF($E$2:$E$599,E367,$I$2:$I$599)/SUMIF($E$2:$E$599,E367,$T$2:$T$599)</f>
        <v/>
      </c>
      <c r="W367" s="8">
        <f>V367+1.645*SQRT(V367/T367)+1/(2*T367)</f>
        <v/>
      </c>
      <c r="X367" s="5">
        <f>U367/W367</f>
        <v/>
      </c>
      <c r="Y367">
        <f>IF(U367&gt;W367,"high",IF(U367&gt;V367,"medium","low"))</f>
        <v/>
      </c>
      <c r="Z367">
        <f>CHOOSE(MAX(IF(M367="high",2,IF(M367="medium",1,0)),IF(Y367="high",2,IF(Y367="medium",1,0)))+1,"low","medium","high")</f>
        <v/>
      </c>
      <c r="AA367">
        <f>IF(IF(M367="high",2,IF(M367="medium",1,0))=IF(Y367="high",2,IF(Y367="medium",1,0)),"SI และ Rate เท่ากัน",IF(IF(M367="high",2,IF(M367="medium",1,0))&gt;IF(Y367="high",2,IF(Y367="medium",1,0)),"SI","Rate"))</f>
        <v/>
      </c>
    </row>
    <row r="368">
      <c r="A368" t="inlineStr">
        <is>
          <t>zone_303</t>
        </is>
      </c>
      <c r="B368" t="inlineStr">
        <is>
          <t>รามอินทรา-อาจณรงค์</t>
        </is>
      </c>
      <c r="C368" t="inlineStr">
        <is>
          <t>กรุงเทพมหานคร</t>
        </is>
      </c>
      <c r="D368" t="inlineStr">
        <is>
          <t>E003S008|I</t>
        </is>
      </c>
      <c r="E368" t="inlineStr">
        <is>
          <t>กทพ.</t>
        </is>
      </c>
      <c r="F368" t="inlineStr">
        <is>
          <t>9.8–9.9</t>
        </is>
      </c>
      <c r="G368" t="inlineStr">
        <is>
          <t>ฉลองรัช</t>
        </is>
      </c>
      <c r="H368" t="inlineStr">
        <is>
          <t>กทพ. ยอดผ่านด่านทั้งสาย ÷ 365</t>
        </is>
      </c>
      <c r="I368" t="n">
        <v>3</v>
      </c>
      <c r="J368" t="n">
        <v>0</v>
      </c>
      <c r="K368" t="n">
        <v>1</v>
      </c>
      <c r="L368" s="5" t="n">
        <v>0.3333</v>
      </c>
      <c r="M368" t="inlineStr">
        <is>
          <t>low</t>
        </is>
      </c>
      <c r="N368" s="6" t="n">
        <v>213053.802739726</v>
      </c>
      <c r="O368" s="6" t="n">
        <v>207436.4739726027</v>
      </c>
      <c r="P368" s="6" t="n">
        <v>205336.6383561644</v>
      </c>
      <c r="Q368" s="6">
        <f>AVERAGE(N368:P368)</f>
        <v/>
      </c>
      <c r="R368" t="n">
        <v>3</v>
      </c>
      <c r="S368" t="n">
        <v>1</v>
      </c>
      <c r="T368" s="7">
        <f>365*R368*Q368*S368/1000000</f>
        <v/>
      </c>
      <c r="U368" s="8">
        <f>I368/T368</f>
        <v/>
      </c>
      <c r="V368" s="8">
        <f>SUMIF($E$2:$E$599,E368,$I$2:$I$599)/SUMIF($E$2:$E$599,E368,$T$2:$T$599)</f>
        <v/>
      </c>
      <c r="W368" s="8">
        <f>V368+1.645*SQRT(V368/T368)+1/(2*T368)</f>
        <v/>
      </c>
      <c r="X368" s="5">
        <f>U368/W368</f>
        <v/>
      </c>
      <c r="Y368">
        <f>IF(U368&gt;W368,"high",IF(U368&gt;V368,"medium","low"))</f>
        <v/>
      </c>
      <c r="Z368">
        <f>CHOOSE(MAX(IF(M368="high",2,IF(M368="medium",1,0)),IF(Y368="high",2,IF(Y368="medium",1,0)))+1,"low","medium","high")</f>
        <v/>
      </c>
      <c r="AA368">
        <f>IF(IF(M368="high",2,IF(M368="medium",1,0))=IF(Y368="high",2,IF(Y368="medium",1,0)),"SI และ Rate เท่ากัน",IF(IF(M368="high",2,IF(M368="medium",1,0))&gt;IF(Y368="high",2,IF(Y368="medium",1,0)),"SI","Rate"))</f>
        <v/>
      </c>
    </row>
    <row r="369">
      <c r="A369" t="inlineStr">
        <is>
          <t>zone_305</t>
        </is>
      </c>
      <c r="B369" t="inlineStr">
        <is>
          <t>รามอินทรา-อาจณรงค์</t>
        </is>
      </c>
      <c r="C369" t="inlineStr">
        <is>
          <t>กรุงเทพมหานคร</t>
        </is>
      </c>
      <c r="D369" t="inlineStr">
        <is>
          <t>E003S008|I</t>
        </is>
      </c>
      <c r="E369" t="inlineStr">
        <is>
          <t>กทพ.</t>
        </is>
      </c>
      <c r="F369" t="inlineStr">
        <is>
          <t>4.3–4.5</t>
        </is>
      </c>
      <c r="G369" t="inlineStr">
        <is>
          <t>ฉลองรัช</t>
        </is>
      </c>
      <c r="H369" t="inlineStr">
        <is>
          <t>กทพ. ยอดผ่านด่านทั้งสาย ÷ 365</t>
        </is>
      </c>
      <c r="I369" t="n">
        <v>3</v>
      </c>
      <c r="J369" t="n">
        <v>0</v>
      </c>
      <c r="K369" t="n">
        <v>2</v>
      </c>
      <c r="L369" s="5" t="n">
        <v>0.6667</v>
      </c>
      <c r="M369" t="inlineStr">
        <is>
          <t>low</t>
        </is>
      </c>
      <c r="N369" s="6" t="n">
        <v>213053.802739726</v>
      </c>
      <c r="O369" s="6" t="n">
        <v>207436.4739726027</v>
      </c>
      <c r="P369" s="6" t="n">
        <v>205336.6383561644</v>
      </c>
      <c r="Q369" s="6">
        <f>AVERAGE(N369:P369)</f>
        <v/>
      </c>
      <c r="R369" t="n">
        <v>3</v>
      </c>
      <c r="S369" t="n">
        <v>1</v>
      </c>
      <c r="T369" s="7">
        <f>365*R369*Q369*S369/1000000</f>
        <v/>
      </c>
      <c r="U369" s="8">
        <f>I369/T369</f>
        <v/>
      </c>
      <c r="V369" s="8">
        <f>SUMIF($E$2:$E$599,E369,$I$2:$I$599)/SUMIF($E$2:$E$599,E369,$T$2:$T$599)</f>
        <v/>
      </c>
      <c r="W369" s="8">
        <f>V369+1.645*SQRT(V369/T369)+1/(2*T369)</f>
        <v/>
      </c>
      <c r="X369" s="5">
        <f>U369/W369</f>
        <v/>
      </c>
      <c r="Y369">
        <f>IF(U369&gt;W369,"high",IF(U369&gt;V369,"medium","low"))</f>
        <v/>
      </c>
      <c r="Z369">
        <f>CHOOSE(MAX(IF(M369="high",2,IF(M369="medium",1,0)),IF(Y369="high",2,IF(Y369="medium",1,0)))+1,"low","medium","high")</f>
        <v/>
      </c>
      <c r="AA369">
        <f>IF(IF(M369="high",2,IF(M369="medium",1,0))=IF(Y369="high",2,IF(Y369="medium",1,0)),"SI และ Rate เท่ากัน",IF(IF(M369="high",2,IF(M369="medium",1,0))&gt;IF(Y369="high",2,IF(Y369="medium",1,0)),"SI","Rate"))</f>
        <v/>
      </c>
    </row>
    <row r="370">
      <c r="A370" t="inlineStr">
        <is>
          <t>zone_612</t>
        </is>
      </c>
      <c r="B370" t="inlineStr">
        <is>
          <t>แสมดำ - สะพานข้ามแม่น้ำท่าจีนฝั่งตะวันตก</t>
        </is>
      </c>
      <c r="C370" t="inlineStr">
        <is>
          <t>สมุทรสาคร</t>
        </is>
      </c>
      <c r="D370" t="inlineStr">
        <is>
          <t>35</t>
        </is>
      </c>
      <c r="E370" t="inlineStr">
        <is>
          <t>ทล.</t>
        </is>
      </c>
      <c r="F370" t="inlineStr">
        <is>
          <t>26.8–27.3</t>
        </is>
      </c>
      <c r="G370" t="inlineStr">
        <is>
          <t>station_id 57 (ทล.35 กม.24+550)</t>
        </is>
      </c>
      <c r="H370" t="inlineStr">
        <is>
          <t>ทล. สถานีตัวแทนตอนควบคุม</t>
        </is>
      </c>
      <c r="I370" t="n">
        <v>10</v>
      </c>
      <c r="J370" t="n">
        <v>1</v>
      </c>
      <c r="K370" t="n">
        <v>6</v>
      </c>
      <c r="L370" s="5" t="n">
        <v>0.7</v>
      </c>
      <c r="M370" t="inlineStr">
        <is>
          <t>low</t>
        </is>
      </c>
      <c r="N370" s="6" t="n">
        <v>129063</v>
      </c>
      <c r="O370" s="6" t="n">
        <v>149020</v>
      </c>
      <c r="P370" s="6" t="n">
        <v>143116</v>
      </c>
      <c r="Q370" s="6">
        <f>AVERAGE(N370:P370)</f>
        <v/>
      </c>
      <c r="R370" t="n">
        <v>3</v>
      </c>
      <c r="S370" t="n">
        <v>1</v>
      </c>
      <c r="T370" s="7">
        <f>365*R370*Q370*S370/1000000</f>
        <v/>
      </c>
      <c r="U370" s="8">
        <f>I370/T370</f>
        <v/>
      </c>
      <c r="V370" s="8">
        <f>SUMIF($E$2:$E$599,E370,$I$2:$I$599)/SUMIF($E$2:$E$599,E370,$T$2:$T$599)</f>
        <v/>
      </c>
      <c r="W370" s="8">
        <f>V370+1.645*SQRT(V370/T370)+1/(2*T370)</f>
        <v/>
      </c>
      <c r="X370" s="5">
        <f>U370/W370</f>
        <v/>
      </c>
      <c r="Y370">
        <f>IF(U370&gt;W370,"high",IF(U370&gt;V370,"medium","low"))</f>
        <v/>
      </c>
      <c r="Z370">
        <f>CHOOSE(MAX(IF(M370="high",2,IF(M370="medium",1,0)),IF(Y370="high",2,IF(Y370="medium",1,0)))+1,"low","medium","high")</f>
        <v/>
      </c>
      <c r="AA370">
        <f>IF(IF(M370="high",2,IF(M370="medium",1,0))=IF(Y370="high",2,IF(Y370="medium",1,0)),"SI และ Rate เท่ากัน",IF(IF(M370="high",2,IF(M370="medium",1,0))&gt;IF(Y370="high",2,IF(Y370="medium",1,0)),"SI","Rate"))</f>
        <v/>
      </c>
    </row>
    <row r="371">
      <c r="A371" t="inlineStr">
        <is>
          <t>zone_49</t>
        </is>
      </c>
      <c r="B371" t="inlineStr">
        <is>
          <t>ดาวคะนอง - แสมดำ</t>
        </is>
      </c>
      <c r="C371" t="inlineStr">
        <is>
          <t>กรุงเทพมหานคร</t>
        </is>
      </c>
      <c r="D371" t="inlineStr">
        <is>
          <t>35</t>
        </is>
      </c>
      <c r="E371" t="inlineStr">
        <is>
          <t>ทล.</t>
        </is>
      </c>
      <c r="F371" t="inlineStr">
        <is>
          <t>3.475–3.95</t>
        </is>
      </c>
      <c r="G371" t="inlineStr">
        <is>
          <t>station_id 127 (ทล.35 กม.6+500)</t>
        </is>
      </c>
      <c r="H371" t="inlineStr">
        <is>
          <t>ทล. สถานีตัวแทนตอนควบคุม</t>
        </is>
      </c>
      <c r="I371" t="n">
        <v>17</v>
      </c>
      <c r="J371" t="n">
        <v>1</v>
      </c>
      <c r="K371" t="n">
        <v>13</v>
      </c>
      <c r="L371" s="5" t="n">
        <v>0.8235</v>
      </c>
      <c r="M371" t="inlineStr">
        <is>
          <t>low</t>
        </is>
      </c>
      <c r="N371" s="6" t="n">
        <v>256167</v>
      </c>
      <c r="O371" s="6" t="n">
        <v>260090</v>
      </c>
      <c r="P371" s="6" t="n">
        <v>259277</v>
      </c>
      <c r="Q371" s="6">
        <f>AVERAGE(N371:P371)</f>
        <v/>
      </c>
      <c r="R371" t="n">
        <v>3</v>
      </c>
      <c r="S371" t="n">
        <v>1</v>
      </c>
      <c r="T371" s="7">
        <f>365*R371*Q371*S371/1000000</f>
        <v/>
      </c>
      <c r="U371" s="8">
        <f>I371/T371</f>
        <v/>
      </c>
      <c r="V371" s="8">
        <f>SUMIF($E$2:$E$599,E371,$I$2:$I$599)/SUMIF($E$2:$E$599,E371,$T$2:$T$599)</f>
        <v/>
      </c>
      <c r="W371" s="8">
        <f>V371+1.645*SQRT(V371/T371)+1/(2*T371)</f>
        <v/>
      </c>
      <c r="X371" s="5">
        <f>U371/W371</f>
        <v/>
      </c>
      <c r="Y371">
        <f>IF(U371&gt;W371,"high",IF(U371&gt;V371,"medium","low"))</f>
        <v/>
      </c>
      <c r="Z371">
        <f>CHOOSE(MAX(IF(M371="high",2,IF(M371="medium",1,0)),IF(Y371="high",2,IF(Y371="medium",1,0)))+1,"low","medium","high")</f>
        <v/>
      </c>
      <c r="AA371">
        <f>IF(IF(M371="high",2,IF(M371="medium",1,0))=IF(Y371="high",2,IF(Y371="medium",1,0)),"SI และ Rate เท่ากัน",IF(IF(M371="high",2,IF(M371="medium",1,0))&gt;IF(Y371="high",2,IF(Y371="medium",1,0)),"SI","Rate"))</f>
        <v/>
      </c>
    </row>
    <row r="372">
      <c r="A372" t="inlineStr">
        <is>
          <t>zone_63</t>
        </is>
      </c>
      <c r="B372" t="inlineStr">
        <is>
          <t>ดาวคะนอง -  แสมดำ</t>
        </is>
      </c>
      <c r="C372" t="inlineStr">
        <is>
          <t>กรุงเทพมหานคร</t>
        </is>
      </c>
      <c r="D372" t="inlineStr">
        <is>
          <t>35</t>
        </is>
      </c>
      <c r="E372" t="inlineStr">
        <is>
          <t>ทล.</t>
        </is>
      </c>
      <c r="F372" t="inlineStr">
        <is>
          <t>10–10.7</t>
        </is>
      </c>
      <c r="G372" t="inlineStr">
        <is>
          <t>station_id 127 (ทล.35 กม.6+500)</t>
        </is>
      </c>
      <c r="H372" t="inlineStr">
        <is>
          <t>ทล. สถานีตัวแทนตอนควบคุม</t>
        </is>
      </c>
      <c r="I372" t="n">
        <v>17</v>
      </c>
      <c r="J372" t="n">
        <v>1</v>
      </c>
      <c r="K372" t="n">
        <v>6</v>
      </c>
      <c r="L372" s="5" t="n">
        <v>0.4118</v>
      </c>
      <c r="M372" t="inlineStr">
        <is>
          <t>low</t>
        </is>
      </c>
      <c r="N372" s="6" t="n">
        <v>256167</v>
      </c>
      <c r="O372" s="6" t="n">
        <v>260090</v>
      </c>
      <c r="P372" s="6" t="n">
        <v>259277</v>
      </c>
      <c r="Q372" s="6">
        <f>AVERAGE(N372:P372)</f>
        <v/>
      </c>
      <c r="R372" t="n">
        <v>3</v>
      </c>
      <c r="S372" t="n">
        <v>1</v>
      </c>
      <c r="T372" s="7">
        <f>365*R372*Q372*S372/1000000</f>
        <v/>
      </c>
      <c r="U372" s="8">
        <f>I372/T372</f>
        <v/>
      </c>
      <c r="V372" s="8">
        <f>SUMIF($E$2:$E$599,E372,$I$2:$I$599)/SUMIF($E$2:$E$599,E372,$T$2:$T$599)</f>
        <v/>
      </c>
      <c r="W372" s="8">
        <f>V372+1.645*SQRT(V372/T372)+1/(2*T372)</f>
        <v/>
      </c>
      <c r="X372" s="5">
        <f>U372/W372</f>
        <v/>
      </c>
      <c r="Y372">
        <f>IF(U372&gt;W372,"high",IF(U372&gt;V372,"medium","low"))</f>
        <v/>
      </c>
      <c r="Z372">
        <f>CHOOSE(MAX(IF(M372="high",2,IF(M372="medium",1,0)),IF(Y372="high",2,IF(Y372="medium",1,0)))+1,"low","medium","high")</f>
        <v/>
      </c>
      <c r="AA372">
        <f>IF(IF(M372="high",2,IF(M372="medium",1,0))=IF(Y372="high",2,IF(Y372="medium",1,0)),"SI และ Rate เท่ากัน",IF(IF(M372="high",2,IF(M372="medium",1,0))&gt;IF(Y372="high",2,IF(Y372="medium",1,0)),"SI","Rate"))</f>
        <v/>
      </c>
    </row>
    <row r="373">
      <c r="A373" t="inlineStr">
        <is>
          <t>zone_205</t>
        </is>
      </c>
      <c r="B373" t="inlineStr">
        <is>
          <t>คันนายาว - แยกเข้ามีนบุรี</t>
        </is>
      </c>
      <c r="C373" t="inlineStr">
        <is>
          <t>กรุงเทพมหานคร</t>
        </is>
      </c>
      <c r="D373" t="inlineStr">
        <is>
          <t>304</t>
        </is>
      </c>
      <c r="E373" t="inlineStr">
        <is>
          <t>ทล.</t>
        </is>
      </c>
      <c r="F373" t="inlineStr">
        <is>
          <t>21.86–22.48</t>
        </is>
      </c>
      <c r="G373" t="inlineStr">
        <is>
          <t>station_id 2 (ทล.304 กม.28+250)</t>
        </is>
      </c>
      <c r="H373" t="inlineStr">
        <is>
          <t>ทล. สถานีตัวแทนตอนควบคุม</t>
        </is>
      </c>
      <c r="I373" t="n">
        <v>5</v>
      </c>
      <c r="J373" t="n">
        <v>0</v>
      </c>
      <c r="K373" t="n">
        <v>0</v>
      </c>
      <c r="L373" s="5" t="n">
        <v>0</v>
      </c>
      <c r="M373" t="inlineStr">
        <is>
          <t>low</t>
        </is>
      </c>
      <c r="N373" s="6" t="n">
        <v>51653</v>
      </c>
      <c r="O373" s="6" t="n">
        <v>53216</v>
      </c>
      <c r="P373" s="6" t="n">
        <v>78286</v>
      </c>
      <c r="Q373" s="6">
        <f>AVERAGE(N373:P373)</f>
        <v/>
      </c>
      <c r="R373" t="n">
        <v>3</v>
      </c>
      <c r="S373" t="n">
        <v>1</v>
      </c>
      <c r="T373" s="7">
        <f>365*R373*Q373*S373/1000000</f>
        <v/>
      </c>
      <c r="U373" s="8">
        <f>I373/T373</f>
        <v/>
      </c>
      <c r="V373" s="8">
        <f>SUMIF($E$2:$E$599,E373,$I$2:$I$599)/SUMIF($E$2:$E$599,E373,$T$2:$T$599)</f>
        <v/>
      </c>
      <c r="W373" s="8">
        <f>V373+1.645*SQRT(V373/T373)+1/(2*T373)</f>
        <v/>
      </c>
      <c r="X373" s="5">
        <f>U373/W373</f>
        <v/>
      </c>
      <c r="Y373">
        <f>IF(U373&gt;W373,"high",IF(U373&gt;V373,"medium","low"))</f>
        <v/>
      </c>
      <c r="Z373">
        <f>CHOOSE(MAX(IF(M373="high",2,IF(M373="medium",1,0)),IF(Y373="high",2,IF(Y373="medium",1,0)))+1,"low","medium","high")</f>
        <v/>
      </c>
      <c r="AA373">
        <f>IF(IF(M373="high",2,IF(M373="medium",1,0))=IF(Y373="high",2,IF(Y373="medium",1,0)),"SI และ Rate เท่ากัน",IF(IF(M373="high",2,IF(M373="medium",1,0))&gt;IF(Y373="high",2,IF(Y373="medium",1,0)),"SI","Rate"))</f>
        <v/>
      </c>
    </row>
    <row r="374">
      <c r="A374" t="inlineStr">
        <is>
          <t>zone_275</t>
        </is>
      </c>
      <c r="B374" t="inlineStr">
        <is>
          <t>แยกเข้ามีนบุรี - คลองหลวงแพ่ง</t>
        </is>
      </c>
      <c r="C374" t="inlineStr">
        <is>
          <t>กรุงเทพมหานคร</t>
        </is>
      </c>
      <c r="D374" t="inlineStr">
        <is>
          <t>304</t>
        </is>
      </c>
      <c r="E374" t="inlineStr">
        <is>
          <t>ทล.</t>
        </is>
      </c>
      <c r="F374" t="inlineStr">
        <is>
          <t>37–37.26</t>
        </is>
      </c>
      <c r="G374" t="inlineStr">
        <is>
          <t>station_id 2 (ทล.304 กม.28+250)</t>
        </is>
      </c>
      <c r="H374" t="inlineStr">
        <is>
          <t>ทล. สถานีตัวแทนตอนควบคุม</t>
        </is>
      </c>
      <c r="I374" t="n">
        <v>5</v>
      </c>
      <c r="J374" t="n">
        <v>0</v>
      </c>
      <c r="K374" t="n">
        <v>2</v>
      </c>
      <c r="L374" s="5" t="n">
        <v>0.4</v>
      </c>
      <c r="M374" t="inlineStr">
        <is>
          <t>low</t>
        </is>
      </c>
      <c r="N374" s="6" t="n">
        <v>51653</v>
      </c>
      <c r="O374" s="6" t="n">
        <v>53216</v>
      </c>
      <c r="P374" s="6" t="n">
        <v>78286</v>
      </c>
      <c r="Q374" s="6">
        <f>AVERAGE(N374:P374)</f>
        <v/>
      </c>
      <c r="R374" t="n">
        <v>3</v>
      </c>
      <c r="S374" t="n">
        <v>1</v>
      </c>
      <c r="T374" s="7">
        <f>365*R374*Q374*S374/1000000</f>
        <v/>
      </c>
      <c r="U374" s="8">
        <f>I374/T374</f>
        <v/>
      </c>
      <c r="V374" s="8">
        <f>SUMIF($E$2:$E$599,E374,$I$2:$I$599)/SUMIF($E$2:$E$599,E374,$T$2:$T$599)</f>
        <v/>
      </c>
      <c r="W374" s="8">
        <f>V374+1.645*SQRT(V374/T374)+1/(2*T374)</f>
        <v/>
      </c>
      <c r="X374" s="5">
        <f>U374/W374</f>
        <v/>
      </c>
      <c r="Y374">
        <f>IF(U374&gt;W374,"high",IF(U374&gt;V374,"medium","low"))</f>
        <v/>
      </c>
      <c r="Z374">
        <f>CHOOSE(MAX(IF(M374="high",2,IF(M374="medium",1,0)),IF(Y374="high",2,IF(Y374="medium",1,0)))+1,"low","medium","high")</f>
        <v/>
      </c>
      <c r="AA374">
        <f>IF(IF(M374="high",2,IF(M374="medium",1,0))=IF(Y374="high",2,IF(Y374="medium",1,0)),"SI และ Rate เท่ากัน",IF(IF(M374="high",2,IF(M374="medium",1,0))&gt;IF(Y374="high",2,IF(Y374="medium",1,0)),"SI","Rate"))</f>
        <v/>
      </c>
    </row>
    <row r="375">
      <c r="A375" t="inlineStr">
        <is>
          <t>zone_299</t>
        </is>
      </c>
      <c r="B375" t="inlineStr">
        <is>
          <t>พระประแดง - บางแค</t>
        </is>
      </c>
      <c r="C375" t="inlineStr">
        <is>
          <t>กรุงเทพมหานคร</t>
        </is>
      </c>
      <c r="D375" t="inlineStr">
        <is>
          <t>9</t>
        </is>
      </c>
      <c r="E375" t="inlineStr">
        <is>
          <t>ทล.</t>
        </is>
      </c>
      <c r="F375" t="inlineStr">
        <is>
          <t>6.15–7.925</t>
        </is>
      </c>
      <c r="G375" t="inlineStr">
        <is>
          <t>station_id 123 (ทล.9 กม.20+430)</t>
        </is>
      </c>
      <c r="H375" t="inlineStr">
        <is>
          <t>ทล. สถานีตัวแทนตอนควบคุม</t>
        </is>
      </c>
      <c r="I375" t="n">
        <v>11</v>
      </c>
      <c r="J375" t="n">
        <v>0</v>
      </c>
      <c r="K375" t="n">
        <v>6</v>
      </c>
      <c r="L375" s="5" t="n">
        <v>0.5455</v>
      </c>
      <c r="M375" t="inlineStr">
        <is>
          <t>low</t>
        </is>
      </c>
      <c r="N375" s="6" t="n">
        <v>161583</v>
      </c>
      <c r="O375" s="6" t="n">
        <v>167210</v>
      </c>
      <c r="P375" s="6" t="n">
        <v>164129</v>
      </c>
      <c r="Q375" s="6">
        <f>AVERAGE(N375:P375)</f>
        <v/>
      </c>
      <c r="R375" t="n">
        <v>3</v>
      </c>
      <c r="S375" t="n">
        <v>1</v>
      </c>
      <c r="T375" s="7">
        <f>365*R375*Q375*S375/1000000</f>
        <v/>
      </c>
      <c r="U375" s="8">
        <f>I375/T375</f>
        <v/>
      </c>
      <c r="V375" s="8">
        <f>SUMIF($E$2:$E$599,E375,$I$2:$I$599)/SUMIF($E$2:$E$599,E375,$T$2:$T$599)</f>
        <v/>
      </c>
      <c r="W375" s="8">
        <f>V375+1.645*SQRT(V375/T375)+1/(2*T375)</f>
        <v/>
      </c>
      <c r="X375" s="5">
        <f>U375/W375</f>
        <v/>
      </c>
      <c r="Y375">
        <f>IF(U375&gt;W375,"high",IF(U375&gt;V375,"medium","low"))</f>
        <v/>
      </c>
      <c r="Z375">
        <f>CHOOSE(MAX(IF(M375="high",2,IF(M375="medium",1,0)),IF(Y375="high",2,IF(Y375="medium",1,0)))+1,"low","medium","high")</f>
        <v/>
      </c>
      <c r="AA375">
        <f>IF(IF(M375="high",2,IF(M375="medium",1,0))=IF(Y375="high",2,IF(Y375="medium",1,0)),"SI และ Rate เท่ากัน",IF(IF(M375="high",2,IF(M375="medium",1,0))&gt;IF(Y375="high",2,IF(Y375="medium",1,0)),"SI","Rate"))</f>
        <v/>
      </c>
    </row>
    <row r="376">
      <c r="A376" t="inlineStr">
        <is>
          <t>zone_448</t>
        </is>
      </c>
      <c r="B376" t="inlineStr">
        <is>
          <t>บางพลี-สุขสวัสดิ์</t>
        </is>
      </c>
      <c r="C376" t="inlineStr">
        <is>
          <t>สมุทรปราการ</t>
        </is>
      </c>
      <c r="D376" t="inlineStr">
        <is>
          <t>E007S013|U</t>
        </is>
      </c>
      <c r="E376" t="inlineStr">
        <is>
          <t>กทพ.</t>
        </is>
      </c>
      <c r="F376" t="inlineStr">
        <is>
          <t>10.6–10.6</t>
        </is>
      </c>
      <c r="G376" t="inlineStr">
        <is>
          <t>ทางพิเศษกาญจนาภิเษก(บางพลี-สุขสวัสดิ์)</t>
        </is>
      </c>
      <c r="H376" t="inlineStr">
        <is>
          <t>กทพ. ยอดผ่านด่านทั้งสาย ÷ 365</t>
        </is>
      </c>
      <c r="I376" t="n">
        <v>3</v>
      </c>
      <c r="J376" t="n">
        <v>0</v>
      </c>
      <c r="K376" t="n">
        <v>2</v>
      </c>
      <c r="L376" s="5" t="n">
        <v>0.6667</v>
      </c>
      <c r="M376" t="inlineStr">
        <is>
          <t>low</t>
        </is>
      </c>
      <c r="N376" s="6" t="n">
        <v>233037.0054794521</v>
      </c>
      <c r="O376" s="6" t="n">
        <v>233284.9890410959</v>
      </c>
      <c r="P376" s="6" t="n">
        <v>228365.901369863</v>
      </c>
      <c r="Q376" s="6">
        <f>AVERAGE(N376:P376)</f>
        <v/>
      </c>
      <c r="R376" t="n">
        <v>3</v>
      </c>
      <c r="S376" t="n">
        <v>1</v>
      </c>
      <c r="T376" s="7">
        <f>365*R376*Q376*S376/1000000</f>
        <v/>
      </c>
      <c r="U376" s="8">
        <f>I376/T376</f>
        <v/>
      </c>
      <c r="V376" s="8">
        <f>SUMIF($E$2:$E$599,E376,$I$2:$I$599)/SUMIF($E$2:$E$599,E376,$T$2:$T$599)</f>
        <v/>
      </c>
      <c r="W376" s="8">
        <f>V376+1.645*SQRT(V376/T376)+1/(2*T376)</f>
        <v/>
      </c>
      <c r="X376" s="5">
        <f>U376/W376</f>
        <v/>
      </c>
      <c r="Y376">
        <f>IF(U376&gt;W376,"high",IF(U376&gt;V376,"medium","low"))</f>
        <v/>
      </c>
      <c r="Z376">
        <f>CHOOSE(MAX(IF(M376="high",2,IF(M376="medium",1,0)),IF(Y376="high",2,IF(Y376="medium",1,0)))+1,"low","medium","high")</f>
        <v/>
      </c>
      <c r="AA376">
        <f>IF(IF(M376="high",2,IF(M376="medium",1,0))=IF(Y376="high",2,IF(Y376="medium",1,0)),"SI และ Rate เท่ากัน",IF(IF(M376="high",2,IF(M376="medium",1,0))&gt;IF(Y376="high",2,IF(Y376="medium",1,0)),"SI","Rate"))</f>
        <v/>
      </c>
    </row>
    <row r="377">
      <c r="A377" t="inlineStr">
        <is>
          <t>zone_471</t>
        </is>
      </c>
      <c r="B377" t="inlineStr">
        <is>
          <t>บางพลี-สุขสวัสดิ์</t>
        </is>
      </c>
      <c r="C377" t="inlineStr">
        <is>
          <t>สมุทรปราการ</t>
        </is>
      </c>
      <c r="D377" t="inlineStr">
        <is>
          <t>E007S013|U</t>
        </is>
      </c>
      <c r="E377" t="inlineStr">
        <is>
          <t>กทพ.</t>
        </is>
      </c>
      <c r="F377" t="inlineStr">
        <is>
          <t>2.2–2.4</t>
        </is>
      </c>
      <c r="G377" t="inlineStr">
        <is>
          <t>ทางพิเศษกาญจนาภิเษก(บางพลี-สุขสวัสดิ์)</t>
        </is>
      </c>
      <c r="H377" t="inlineStr">
        <is>
          <t>กทพ. ยอดผ่านด่านทั้งสาย ÷ 365</t>
        </is>
      </c>
      <c r="I377" t="n">
        <v>3</v>
      </c>
      <c r="J377" t="n">
        <v>0</v>
      </c>
      <c r="K377" t="n">
        <v>0</v>
      </c>
      <c r="L377" s="5" t="n">
        <v>0</v>
      </c>
      <c r="M377" t="inlineStr">
        <is>
          <t>low</t>
        </is>
      </c>
      <c r="N377" s="6" t="n">
        <v>233037.0054794521</v>
      </c>
      <c r="O377" s="6" t="n">
        <v>233284.9890410959</v>
      </c>
      <c r="P377" s="6" t="n">
        <v>228365.901369863</v>
      </c>
      <c r="Q377" s="6">
        <f>AVERAGE(N377:P377)</f>
        <v/>
      </c>
      <c r="R377" t="n">
        <v>3</v>
      </c>
      <c r="S377" t="n">
        <v>1</v>
      </c>
      <c r="T377" s="7">
        <f>365*R377*Q377*S377/1000000</f>
        <v/>
      </c>
      <c r="U377" s="8">
        <f>I377/T377</f>
        <v/>
      </c>
      <c r="V377" s="8">
        <f>SUMIF($E$2:$E$599,E377,$I$2:$I$599)/SUMIF($E$2:$E$599,E377,$T$2:$T$599)</f>
        <v/>
      </c>
      <c r="W377" s="8">
        <f>V377+1.645*SQRT(V377/T377)+1/(2*T377)</f>
        <v/>
      </c>
      <c r="X377" s="5">
        <f>U377/W377</f>
        <v/>
      </c>
      <c r="Y377">
        <f>IF(U377&gt;W377,"high",IF(U377&gt;V377,"medium","low"))</f>
        <v/>
      </c>
      <c r="Z377">
        <f>CHOOSE(MAX(IF(M377="high",2,IF(M377="medium",1,0)),IF(Y377="high",2,IF(Y377="medium",1,0)))+1,"low","medium","high")</f>
        <v/>
      </c>
      <c r="AA377">
        <f>IF(IF(M377="high",2,IF(M377="medium",1,0))=IF(Y377="high",2,IF(Y377="medium",1,0)),"SI และ Rate เท่ากัน",IF(IF(M377="high",2,IF(M377="medium",1,0))&gt;IF(Y377="high",2,IF(Y377="medium",1,0)),"SI","Rate"))</f>
        <v/>
      </c>
    </row>
    <row r="378">
      <c r="A378" t="inlineStr">
        <is>
          <t>zone_551</t>
        </is>
      </c>
      <c r="B378" t="inlineStr">
        <is>
          <t>บางพลี-สุขสวัสดิ์</t>
        </is>
      </c>
      <c r="C378" t="inlineStr">
        <is>
          <t>สมุทรปราการ</t>
        </is>
      </c>
      <c r="D378" t="inlineStr">
        <is>
          <t>E007S013|I</t>
        </is>
      </c>
      <c r="E378" t="inlineStr">
        <is>
          <t>กทพ.</t>
        </is>
      </c>
      <c r="F378" t="inlineStr">
        <is>
          <t>1.8–2</t>
        </is>
      </c>
      <c r="G378" t="inlineStr">
        <is>
          <t>ทางพิเศษกาญจนาภิเษก(บางพลี-สุขสวัสดิ์)</t>
        </is>
      </c>
      <c r="H378" t="inlineStr">
        <is>
          <t>กทพ. ยอดผ่านด่านทั้งสาย ÷ 365</t>
        </is>
      </c>
      <c r="I378" t="n">
        <v>3</v>
      </c>
      <c r="J378" t="n">
        <v>0</v>
      </c>
      <c r="K378" t="n">
        <v>0</v>
      </c>
      <c r="L378" s="5" t="n">
        <v>0</v>
      </c>
      <c r="M378" t="inlineStr">
        <is>
          <t>low</t>
        </is>
      </c>
      <c r="N378" s="6" t="n">
        <v>233037.0054794521</v>
      </c>
      <c r="O378" s="6" t="n">
        <v>233284.9890410959</v>
      </c>
      <c r="P378" s="6" t="n">
        <v>228365.901369863</v>
      </c>
      <c r="Q378" s="6">
        <f>AVERAGE(N378:P378)</f>
        <v/>
      </c>
      <c r="R378" t="n">
        <v>3</v>
      </c>
      <c r="S378" t="n">
        <v>1</v>
      </c>
      <c r="T378" s="7">
        <f>365*R378*Q378*S378/1000000</f>
        <v/>
      </c>
      <c r="U378" s="8">
        <f>I378/T378</f>
        <v/>
      </c>
      <c r="V378" s="8">
        <f>SUMIF($E$2:$E$599,E378,$I$2:$I$599)/SUMIF($E$2:$E$599,E378,$T$2:$T$599)</f>
        <v/>
      </c>
      <c r="W378" s="8">
        <f>V378+1.645*SQRT(V378/T378)+1/(2*T378)</f>
        <v/>
      </c>
      <c r="X378" s="5">
        <f>U378/W378</f>
        <v/>
      </c>
      <c r="Y378">
        <f>IF(U378&gt;W378,"high",IF(U378&gt;V378,"medium","low"))</f>
        <v/>
      </c>
      <c r="Z378">
        <f>CHOOSE(MAX(IF(M378="high",2,IF(M378="medium",1,0)),IF(Y378="high",2,IF(Y378="medium",1,0)))+1,"low","medium","high")</f>
        <v/>
      </c>
      <c r="AA378">
        <f>IF(IF(M378="high",2,IF(M378="medium",1,0))=IF(Y378="high",2,IF(Y378="medium",1,0)),"SI และ Rate เท่ากัน",IF(IF(M378="high",2,IF(M378="medium",1,0))&gt;IF(Y378="high",2,IF(Y378="medium",1,0)),"SI","Rate"))</f>
        <v/>
      </c>
    </row>
    <row r="379">
      <c r="A379" t="inlineStr">
        <is>
          <t>zone_557</t>
        </is>
      </c>
      <c r="B379" t="inlineStr">
        <is>
          <t>บางพลี-สุขสวัสดิ์</t>
        </is>
      </c>
      <c r="C379" t="inlineStr">
        <is>
          <t>สมุทรปราการ</t>
        </is>
      </c>
      <c r="D379" t="inlineStr">
        <is>
          <t>E007S013|I</t>
        </is>
      </c>
      <c r="E379" t="inlineStr">
        <is>
          <t>กทพ.</t>
        </is>
      </c>
      <c r="F379" t="inlineStr">
        <is>
          <t>22.2–22.3</t>
        </is>
      </c>
      <c r="G379" t="inlineStr">
        <is>
          <t>ทางพิเศษกาญจนาภิเษก(บางพลี-สุขสวัสดิ์)</t>
        </is>
      </c>
      <c r="H379" t="inlineStr">
        <is>
          <t>กทพ. ยอดผ่านด่านทั้งสาย ÷ 365</t>
        </is>
      </c>
      <c r="I379" t="n">
        <v>3</v>
      </c>
      <c r="J379" t="n">
        <v>0</v>
      </c>
      <c r="K379" t="n">
        <v>1</v>
      </c>
      <c r="L379" s="5" t="n">
        <v>0.3333</v>
      </c>
      <c r="M379" t="inlineStr">
        <is>
          <t>low</t>
        </is>
      </c>
      <c r="N379" s="6" t="n">
        <v>233037.0054794521</v>
      </c>
      <c r="O379" s="6" t="n">
        <v>233284.9890410959</v>
      </c>
      <c r="P379" s="6" t="n">
        <v>228365.901369863</v>
      </c>
      <c r="Q379" s="6">
        <f>AVERAGE(N379:P379)</f>
        <v/>
      </c>
      <c r="R379" t="n">
        <v>3</v>
      </c>
      <c r="S379" t="n">
        <v>1</v>
      </c>
      <c r="T379" s="7">
        <f>365*R379*Q379*S379/1000000</f>
        <v/>
      </c>
      <c r="U379" s="8">
        <f>I379/T379</f>
        <v/>
      </c>
      <c r="V379" s="8">
        <f>SUMIF($E$2:$E$599,E379,$I$2:$I$599)/SUMIF($E$2:$E$599,E379,$T$2:$T$599)</f>
        <v/>
      </c>
      <c r="W379" s="8">
        <f>V379+1.645*SQRT(V379/T379)+1/(2*T379)</f>
        <v/>
      </c>
      <c r="X379" s="5">
        <f>U379/W379</f>
        <v/>
      </c>
      <c r="Y379">
        <f>IF(U379&gt;W379,"high",IF(U379&gt;V379,"medium","low"))</f>
        <v/>
      </c>
      <c r="Z379">
        <f>CHOOSE(MAX(IF(M379="high",2,IF(M379="medium",1,0)),IF(Y379="high",2,IF(Y379="medium",1,0)))+1,"low","medium","high")</f>
        <v/>
      </c>
      <c r="AA379">
        <f>IF(IF(M379="high",2,IF(M379="medium",1,0))=IF(Y379="high",2,IF(Y379="medium",1,0)),"SI และ Rate เท่ากัน",IF(IF(M379="high",2,IF(M379="medium",1,0))&gt;IF(Y379="high",2,IF(Y379="medium",1,0)),"SI","Rate"))</f>
        <v/>
      </c>
    </row>
    <row r="380">
      <c r="A380" t="inlineStr">
        <is>
          <t>zone_228</t>
        </is>
      </c>
      <c r="B380" t="inlineStr">
        <is>
          <t>แขวงรามอินทรา - บางพลี</t>
        </is>
      </c>
      <c r="C380" t="inlineStr">
        <is>
          <t>กรุงเทพมหานคร</t>
        </is>
      </c>
      <c r="D380" t="inlineStr">
        <is>
          <t>9</t>
        </is>
      </c>
      <c r="E380" t="inlineStr">
        <is>
          <t>ทล.</t>
        </is>
      </c>
      <c r="F380" t="inlineStr">
        <is>
          <t>59.5–59.9</t>
        </is>
      </c>
      <c r="G380" t="inlineStr">
        <is>
          <t>station_id 348 (ทล.9 กม.59+500)</t>
        </is>
      </c>
      <c r="H380" t="inlineStr">
        <is>
          <t>ทล. สถานีตัวแทนตอนควบคุม</t>
        </is>
      </c>
      <c r="I380" t="n">
        <v>8</v>
      </c>
      <c r="J380" t="n">
        <v>1</v>
      </c>
      <c r="K380" t="n">
        <v>5</v>
      </c>
      <c r="L380" s="5" t="n">
        <v>0.75</v>
      </c>
      <c r="M380" t="inlineStr">
        <is>
          <t>low</t>
        </is>
      </c>
      <c r="N380" s="6" t="n">
        <v>110915</v>
      </c>
      <c r="O380" s="6" t="n">
        <v>117953</v>
      </c>
      <c r="P380" s="6" t="n">
        <v>117813</v>
      </c>
      <c r="Q380" s="6">
        <f>AVERAGE(N380:P380)</f>
        <v/>
      </c>
      <c r="R380" t="n">
        <v>3</v>
      </c>
      <c r="S380" t="n">
        <v>1</v>
      </c>
      <c r="T380" s="7">
        <f>365*R380*Q380*S380/1000000</f>
        <v/>
      </c>
      <c r="U380" s="8">
        <f>I380/T380</f>
        <v/>
      </c>
      <c r="V380" s="8">
        <f>SUMIF($E$2:$E$599,E380,$I$2:$I$599)/SUMIF($E$2:$E$599,E380,$T$2:$T$599)</f>
        <v/>
      </c>
      <c r="W380" s="8">
        <f>V380+1.645*SQRT(V380/T380)+1/(2*T380)</f>
        <v/>
      </c>
      <c r="X380" s="5">
        <f>U380/W380</f>
        <v/>
      </c>
      <c r="Y380">
        <f>IF(U380&gt;W380,"high",IF(U380&gt;V380,"medium","low"))</f>
        <v/>
      </c>
      <c r="Z380">
        <f>CHOOSE(MAX(IF(M380="high",2,IF(M380="medium",1,0)),IF(Y380="high",2,IF(Y380="medium",1,0)))+1,"low","medium","high")</f>
        <v/>
      </c>
      <c r="AA380">
        <f>IF(IF(M380="high",2,IF(M380="medium",1,0))=IF(Y380="high",2,IF(Y380="medium",1,0)),"SI และ Rate เท่ากัน",IF(IF(M380="high",2,IF(M380="medium",1,0))&gt;IF(Y380="high",2,IF(Y380="medium",1,0)),"SI","Rate"))</f>
        <v/>
      </c>
    </row>
    <row r="381">
      <c r="A381" t="inlineStr">
        <is>
          <t>zone_240</t>
        </is>
      </c>
      <c r="B381" t="inlineStr">
        <is>
          <t>มหาวิทยาลัยเกษตรศาสตร์ - คันนายาว</t>
        </is>
      </c>
      <c r="C381" t="inlineStr">
        <is>
          <t>กรุงเทพมหานคร</t>
        </is>
      </c>
      <c r="D381" t="inlineStr">
        <is>
          <t>351</t>
        </is>
      </c>
      <c r="E381" t="inlineStr">
        <is>
          <t>ทล.</t>
        </is>
      </c>
      <c r="F381" t="inlineStr">
        <is>
          <t>2.5–2.735</t>
        </is>
      </c>
      <c r="G381" t="inlineStr">
        <is>
          <t>station_id 8 (ทล.351 กม.4+700)</t>
        </is>
      </c>
      <c r="H381" t="inlineStr">
        <is>
          <t>ทล. สถานีตัวแทนตอนควบคุม</t>
        </is>
      </c>
      <c r="I381" t="n">
        <v>6</v>
      </c>
      <c r="J381" t="n">
        <v>0</v>
      </c>
      <c r="K381" t="n">
        <v>5</v>
      </c>
      <c r="L381" s="5" t="n">
        <v>0.8333</v>
      </c>
      <c r="M381" t="inlineStr">
        <is>
          <t>low</t>
        </is>
      </c>
      <c r="N381" s="6" t="n">
        <v>96826</v>
      </c>
      <c r="O381" s="6" t="n">
        <v>76671</v>
      </c>
      <c r="P381" s="6" t="n">
        <v>73453</v>
      </c>
      <c r="Q381" s="6">
        <f>AVERAGE(N381:P381)</f>
        <v/>
      </c>
      <c r="R381" t="n">
        <v>3</v>
      </c>
      <c r="S381" t="n">
        <v>1</v>
      </c>
      <c r="T381" s="7">
        <f>365*R381*Q381*S381/1000000</f>
        <v/>
      </c>
      <c r="U381" s="8">
        <f>I381/T381</f>
        <v/>
      </c>
      <c r="V381" s="8">
        <f>SUMIF($E$2:$E$599,E381,$I$2:$I$599)/SUMIF($E$2:$E$599,E381,$T$2:$T$599)</f>
        <v/>
      </c>
      <c r="W381" s="8">
        <f>V381+1.645*SQRT(V381/T381)+1/(2*T381)</f>
        <v/>
      </c>
      <c r="X381" s="5">
        <f>U381/W381</f>
        <v/>
      </c>
      <c r="Y381">
        <f>IF(U381&gt;W381,"high",IF(U381&gt;V381,"medium","low"))</f>
        <v/>
      </c>
      <c r="Z381">
        <f>CHOOSE(MAX(IF(M381="high",2,IF(M381="medium",1,0)),IF(Y381="high",2,IF(Y381="medium",1,0)))+1,"low","medium","high")</f>
        <v/>
      </c>
      <c r="AA381">
        <f>IF(IF(M381="high",2,IF(M381="medium",1,0))=IF(Y381="high",2,IF(Y381="medium",1,0)),"SI และ Rate เท่ากัน",IF(IF(M381="high",2,IF(M381="medium",1,0))&gt;IF(Y381="high",2,IF(Y381="medium",1,0)),"SI","Rate"))</f>
        <v/>
      </c>
    </row>
    <row r="382">
      <c r="A382" t="inlineStr">
        <is>
          <t>zone_459</t>
        </is>
      </c>
      <c r="B382" t="inlineStr">
        <is>
          <t>แขวงคลองสองต้นนุ่น - พิมพา</t>
        </is>
      </c>
      <c r="C382" t="inlineStr">
        <is>
          <t>สมุทรปราการ</t>
        </is>
      </c>
      <c r="D382" t="inlineStr">
        <is>
          <t>7</t>
        </is>
      </c>
      <c r="E382" t="inlineStr">
        <is>
          <t>ทล.</t>
        </is>
      </c>
      <c r="F382" t="inlineStr">
        <is>
          <t>24.4–25.1</t>
        </is>
      </c>
      <c r="G382" t="inlineStr">
        <is>
          <t>station_id 345 (ทล.7 กม.17+000)</t>
        </is>
      </c>
      <c r="H382" t="inlineStr">
        <is>
          <t>ทล. สถานีตัวแทนตอนควบคุม</t>
        </is>
      </c>
      <c r="I382" t="n">
        <v>15</v>
      </c>
      <c r="J382" t="n">
        <v>0</v>
      </c>
      <c r="K382" t="n">
        <v>1</v>
      </c>
      <c r="L382" s="5" t="n">
        <v>0.0667</v>
      </c>
      <c r="M382" t="inlineStr">
        <is>
          <t>low</t>
        </is>
      </c>
      <c r="N382" s="6" t="n">
        <v>220901</v>
      </c>
      <c r="O382" s="6" t="n">
        <v>242192</v>
      </c>
      <c r="P382" s="6" t="n">
        <v>262343</v>
      </c>
      <c r="Q382" s="6">
        <f>AVERAGE(N382:P382)</f>
        <v/>
      </c>
      <c r="R382" t="n">
        <v>3</v>
      </c>
      <c r="S382" t="n">
        <v>1</v>
      </c>
      <c r="T382" s="7">
        <f>365*R382*Q382*S382/1000000</f>
        <v/>
      </c>
      <c r="U382" s="8">
        <f>I382/T382</f>
        <v/>
      </c>
      <c r="V382" s="8">
        <f>SUMIF($E$2:$E$599,E382,$I$2:$I$599)/SUMIF($E$2:$E$599,E382,$T$2:$T$599)</f>
        <v/>
      </c>
      <c r="W382" s="8">
        <f>V382+1.645*SQRT(V382/T382)+1/(2*T382)</f>
        <v/>
      </c>
      <c r="X382" s="5">
        <f>U382/W382</f>
        <v/>
      </c>
      <c r="Y382">
        <f>IF(U382&gt;W382,"high",IF(U382&gt;V382,"medium","low"))</f>
        <v/>
      </c>
      <c r="Z382">
        <f>CHOOSE(MAX(IF(M382="high",2,IF(M382="medium",1,0)),IF(Y382="high",2,IF(Y382="medium",1,0)))+1,"low","medium","high")</f>
        <v/>
      </c>
      <c r="AA382">
        <f>IF(IF(M382="high",2,IF(M382="medium",1,0))=IF(Y382="high",2,IF(Y382="medium",1,0)),"SI และ Rate เท่ากัน",IF(IF(M382="high",2,IF(M382="medium",1,0))&gt;IF(Y382="high",2,IF(Y382="medium",1,0)),"SI","Rate"))</f>
        <v/>
      </c>
    </row>
    <row r="383">
      <c r="A383" t="inlineStr">
        <is>
          <t>zone_358</t>
        </is>
      </c>
      <c r="B383" t="inlineStr">
        <is>
          <t>พุทธมณฑลสาย4 - นครชัยศรี</t>
        </is>
      </c>
      <c r="C383" t="inlineStr">
        <is>
          <t>นครปฐม</t>
        </is>
      </c>
      <c r="D383" t="inlineStr">
        <is>
          <t>338</t>
        </is>
      </c>
      <c r="E383" t="inlineStr">
        <is>
          <t>ทล.</t>
        </is>
      </c>
      <c r="F383" t="inlineStr">
        <is>
          <t>22.075–23.2</t>
        </is>
      </c>
      <c r="G383" t="inlineStr">
        <is>
          <t>station_id 63 (ทล.338 กม.22+081)</t>
        </is>
      </c>
      <c r="H383" t="inlineStr">
        <is>
          <t>ทล. สถานีตัวแทนตอนควบคุม</t>
        </is>
      </c>
      <c r="I383" t="n">
        <v>9</v>
      </c>
      <c r="J383" t="n">
        <v>0</v>
      </c>
      <c r="K383" t="n">
        <v>5</v>
      </c>
      <c r="L383" s="5" t="n">
        <v>0.5556</v>
      </c>
      <c r="M383" t="inlineStr">
        <is>
          <t>low</t>
        </is>
      </c>
      <c r="N383" s="6" t="n">
        <v>126567</v>
      </c>
      <c r="O383" s="6" t="n">
        <v>136180</v>
      </c>
      <c r="P383" s="6" t="n">
        <v>141795</v>
      </c>
      <c r="Q383" s="6">
        <f>AVERAGE(N383:P383)</f>
        <v/>
      </c>
      <c r="R383" t="n">
        <v>3</v>
      </c>
      <c r="S383" t="n">
        <v>1</v>
      </c>
      <c r="T383" s="7">
        <f>365*R383*Q383*S383/1000000</f>
        <v/>
      </c>
      <c r="U383" s="8">
        <f>I383/T383</f>
        <v/>
      </c>
      <c r="V383" s="8">
        <f>SUMIF($E$2:$E$599,E383,$I$2:$I$599)/SUMIF($E$2:$E$599,E383,$T$2:$T$599)</f>
        <v/>
      </c>
      <c r="W383" s="8">
        <f>V383+1.645*SQRT(V383/T383)+1/(2*T383)</f>
        <v/>
      </c>
      <c r="X383" s="5">
        <f>U383/W383</f>
        <v/>
      </c>
      <c r="Y383">
        <f>IF(U383&gt;W383,"high",IF(U383&gt;V383,"medium","low"))</f>
        <v/>
      </c>
      <c r="Z383">
        <f>CHOOSE(MAX(IF(M383="high",2,IF(M383="medium",1,0)),IF(Y383="high",2,IF(Y383="medium",1,0)))+1,"low","medium","high")</f>
        <v/>
      </c>
      <c r="AA383">
        <f>IF(IF(M383="high",2,IF(M383="medium",1,0))=IF(Y383="high",2,IF(Y383="medium",1,0)),"SI และ Rate เท่ากัน",IF(IF(M383="high",2,IF(M383="medium",1,0))&gt;IF(Y383="high",2,IF(Y383="medium",1,0)),"SI","Rate"))</f>
        <v/>
      </c>
    </row>
    <row r="384">
      <c r="A384" t="inlineStr">
        <is>
          <t>zone_115</t>
        </is>
      </c>
      <c r="B384" t="inlineStr">
        <is>
          <t>บางปะอิน - แขวงรามอินทรา</t>
        </is>
      </c>
      <c r="C384" t="inlineStr">
        <is>
          <t>ปทุมธานี</t>
        </is>
      </c>
      <c r="D384" t="inlineStr">
        <is>
          <t>9</t>
        </is>
      </c>
      <c r="E384" t="inlineStr">
        <is>
          <t>ทล.</t>
        </is>
      </c>
      <c r="F384" t="inlineStr">
        <is>
          <t>25–25.2</t>
        </is>
      </c>
      <c r="G384" t="inlineStr">
        <is>
          <t>station_id 347 (ทล.9 กม.1+500)</t>
        </is>
      </c>
      <c r="H384" t="inlineStr">
        <is>
          <t>ทล. สถานีตัวแทนตอนควบคุม</t>
        </is>
      </c>
      <c r="I384" t="n">
        <v>10</v>
      </c>
      <c r="J384" t="n">
        <v>0</v>
      </c>
      <c r="K384" t="n">
        <v>1</v>
      </c>
      <c r="L384" s="5" t="n">
        <v>0.1</v>
      </c>
      <c r="M384" t="inlineStr">
        <is>
          <t>low</t>
        </is>
      </c>
      <c r="N384" s="6" t="n">
        <v>146870</v>
      </c>
      <c r="O384" s="6" t="n">
        <v>165212</v>
      </c>
      <c r="P384" s="6" t="n">
        <v>160792</v>
      </c>
      <c r="Q384" s="6">
        <f>AVERAGE(N384:P384)</f>
        <v/>
      </c>
      <c r="R384" t="n">
        <v>3</v>
      </c>
      <c r="S384" t="n">
        <v>1</v>
      </c>
      <c r="T384" s="7">
        <f>365*R384*Q384*S384/1000000</f>
        <v/>
      </c>
      <c r="U384" s="8">
        <f>I384/T384</f>
        <v/>
      </c>
      <c r="V384" s="8">
        <f>SUMIF($E$2:$E$599,E384,$I$2:$I$599)/SUMIF($E$2:$E$599,E384,$T$2:$T$599)</f>
        <v/>
      </c>
      <c r="W384" s="8">
        <f>V384+1.645*SQRT(V384/T384)+1/(2*T384)</f>
        <v/>
      </c>
      <c r="X384" s="5">
        <f>U384/W384</f>
        <v/>
      </c>
      <c r="Y384">
        <f>IF(U384&gt;W384,"high",IF(U384&gt;V384,"medium","low"))</f>
        <v/>
      </c>
      <c r="Z384">
        <f>CHOOSE(MAX(IF(M384="high",2,IF(M384="medium",1,0)),IF(Y384="high",2,IF(Y384="medium",1,0)))+1,"low","medium","high")</f>
        <v/>
      </c>
      <c r="AA384">
        <f>IF(IF(M384="high",2,IF(M384="medium",1,0))=IF(Y384="high",2,IF(Y384="medium",1,0)),"SI และ Rate เท่ากัน",IF(IF(M384="high",2,IF(M384="medium",1,0))&gt;IF(Y384="high",2,IF(Y384="medium",1,0)),"SI","Rate"))</f>
        <v/>
      </c>
    </row>
    <row r="385">
      <c r="A385" t="inlineStr">
        <is>
          <t>zone_382</t>
        </is>
      </c>
      <c r="B385" t="inlineStr">
        <is>
          <t>บางปะอิน - แขวงรามอินทรา</t>
        </is>
      </c>
      <c r="C385" t="inlineStr">
        <is>
          <t>ปทุมธานี</t>
        </is>
      </c>
      <c r="D385" t="inlineStr">
        <is>
          <t>9</t>
        </is>
      </c>
      <c r="E385" t="inlineStr">
        <is>
          <t>ทล.</t>
        </is>
      </c>
      <c r="F385" t="inlineStr">
        <is>
          <t>24.1–24.9</t>
        </is>
      </c>
      <c r="G385" t="inlineStr">
        <is>
          <t>station_id 347 (ทล.9 กม.1+500)</t>
        </is>
      </c>
      <c r="H385" t="inlineStr">
        <is>
          <t>ทล. สถานีตัวแทนตอนควบคุม</t>
        </is>
      </c>
      <c r="I385" t="n">
        <v>10</v>
      </c>
      <c r="J385" t="n">
        <v>0</v>
      </c>
      <c r="K385" t="n">
        <v>3</v>
      </c>
      <c r="L385" s="5" t="n">
        <v>0.3</v>
      </c>
      <c r="M385" t="inlineStr">
        <is>
          <t>low</t>
        </is>
      </c>
      <c r="N385" s="6" t="n">
        <v>146870</v>
      </c>
      <c r="O385" s="6" t="n">
        <v>165212</v>
      </c>
      <c r="P385" s="6" t="n">
        <v>160792</v>
      </c>
      <c r="Q385" s="6">
        <f>AVERAGE(N385:P385)</f>
        <v/>
      </c>
      <c r="R385" t="n">
        <v>3</v>
      </c>
      <c r="S385" t="n">
        <v>1</v>
      </c>
      <c r="T385" s="7">
        <f>365*R385*Q385*S385/1000000</f>
        <v/>
      </c>
      <c r="U385" s="8">
        <f>I385/T385</f>
        <v/>
      </c>
      <c r="V385" s="8">
        <f>SUMIF($E$2:$E$599,E385,$I$2:$I$599)/SUMIF($E$2:$E$599,E385,$T$2:$T$599)</f>
        <v/>
      </c>
      <c r="W385" s="8">
        <f>V385+1.645*SQRT(V385/T385)+1/(2*T385)</f>
        <v/>
      </c>
      <c r="X385" s="5">
        <f>U385/W385</f>
        <v/>
      </c>
      <c r="Y385">
        <f>IF(U385&gt;W385,"high",IF(U385&gt;V385,"medium","low"))</f>
        <v/>
      </c>
      <c r="Z385">
        <f>CHOOSE(MAX(IF(M385="high",2,IF(M385="medium",1,0)),IF(Y385="high",2,IF(Y385="medium",1,0)))+1,"low","medium","high")</f>
        <v/>
      </c>
      <c r="AA385">
        <f>IF(IF(M385="high",2,IF(M385="medium",1,0))=IF(Y385="high",2,IF(Y385="medium",1,0)),"SI และ Rate เท่ากัน",IF(IF(M385="high",2,IF(M385="medium",1,0))&gt;IF(Y385="high",2,IF(Y385="medium",1,0)),"SI","Rate"))</f>
        <v/>
      </c>
    </row>
    <row r="386">
      <c r="A386" t="inlineStr">
        <is>
          <t>zone_610</t>
        </is>
      </c>
      <c r="B386" t="inlineStr">
        <is>
          <t>แสมดำ - สะพานข้ามแม่น้ำท่าจีนฝั่งตะวันตก</t>
        </is>
      </c>
      <c r="C386" t="inlineStr">
        <is>
          <t>สมุทรสาคร</t>
        </is>
      </c>
      <c r="D386" t="inlineStr">
        <is>
          <t>35</t>
        </is>
      </c>
      <c r="E386" t="inlineStr">
        <is>
          <t>ทล.</t>
        </is>
      </c>
      <c r="F386" t="inlineStr">
        <is>
          <t>26.775–27.05</t>
        </is>
      </c>
      <c r="G386" t="inlineStr">
        <is>
          <t>station_id 57 (ทล.35 กม.24+550)</t>
        </is>
      </c>
      <c r="H386" t="inlineStr">
        <is>
          <t>ทล. สถานีตัวแทนตอนควบคุม</t>
        </is>
      </c>
      <c r="I386" t="n">
        <v>9</v>
      </c>
      <c r="J386" t="n">
        <v>0</v>
      </c>
      <c r="K386" t="n">
        <v>0</v>
      </c>
      <c r="L386" s="5" t="n">
        <v>0</v>
      </c>
      <c r="M386" t="inlineStr">
        <is>
          <t>low</t>
        </is>
      </c>
      <c r="N386" s="6" t="n">
        <v>129063</v>
      </c>
      <c r="O386" s="6" t="n">
        <v>149020</v>
      </c>
      <c r="P386" s="6" t="n">
        <v>143116</v>
      </c>
      <c r="Q386" s="6">
        <f>AVERAGE(N386:P386)</f>
        <v/>
      </c>
      <c r="R386" t="n">
        <v>3</v>
      </c>
      <c r="S386" t="n">
        <v>1</v>
      </c>
      <c r="T386" s="7">
        <f>365*R386*Q386*S386/1000000</f>
        <v/>
      </c>
      <c r="U386" s="8">
        <f>I386/T386</f>
        <v/>
      </c>
      <c r="V386" s="8">
        <f>SUMIF($E$2:$E$599,E386,$I$2:$I$599)/SUMIF($E$2:$E$599,E386,$T$2:$T$599)</f>
        <v/>
      </c>
      <c r="W386" s="8">
        <f>V386+1.645*SQRT(V386/T386)+1/(2*T386)</f>
        <v/>
      </c>
      <c r="X386" s="5">
        <f>U386/W386</f>
        <v/>
      </c>
      <c r="Y386">
        <f>IF(U386&gt;W386,"high",IF(U386&gt;V386,"medium","low"))</f>
        <v/>
      </c>
      <c r="Z386">
        <f>CHOOSE(MAX(IF(M386="high",2,IF(M386="medium",1,0)),IF(Y386="high",2,IF(Y386="medium",1,0)))+1,"low","medium","high")</f>
        <v/>
      </c>
      <c r="AA386">
        <f>IF(IF(M386="high",2,IF(M386="medium",1,0))=IF(Y386="high",2,IF(Y386="medium",1,0)),"SI และ Rate เท่ากัน",IF(IF(M386="high",2,IF(M386="medium",1,0))&gt;IF(Y386="high",2,IF(Y386="medium",1,0)),"SI","Rate"))</f>
        <v/>
      </c>
    </row>
    <row r="387">
      <c r="A387" t="inlineStr">
        <is>
          <t>zone_327</t>
        </is>
      </c>
      <c r="B387" t="inlineStr">
        <is>
          <t>บางบัวทอง - ไทรน้อย</t>
        </is>
      </c>
      <c r="C387" t="inlineStr">
        <is>
          <t>นนทบุรี</t>
        </is>
      </c>
      <c r="D387" t="inlineStr">
        <is>
          <t>3215</t>
        </is>
      </c>
      <c r="E387" t="inlineStr">
        <is>
          <t>ทล.</t>
        </is>
      </c>
      <c r="F387" t="inlineStr">
        <is>
          <t>21.1–21.135</t>
        </is>
      </c>
      <c r="G387" t="inlineStr">
        <is>
          <t>station_id 116 (ทล.3215 กม.14+705)</t>
        </is>
      </c>
      <c r="H387" t="inlineStr">
        <is>
          <t>ทล. สถานีตัวแทนตอนควบคุม</t>
        </is>
      </c>
      <c r="I387" t="n">
        <v>4</v>
      </c>
      <c r="J387" t="n">
        <v>0</v>
      </c>
      <c r="K387" t="n">
        <v>0</v>
      </c>
      <c r="L387" s="5" t="n">
        <v>0</v>
      </c>
      <c r="M387" t="inlineStr">
        <is>
          <t>low</t>
        </is>
      </c>
      <c r="N387" s="6" t="n">
        <v>50392</v>
      </c>
      <c r="O387" s="6" t="n">
        <v>51647</v>
      </c>
      <c r="P387" s="6" t="n">
        <v>55613</v>
      </c>
      <c r="Q387" s="6">
        <f>AVERAGE(N387:P387)</f>
        <v/>
      </c>
      <c r="R387" t="n">
        <v>3</v>
      </c>
      <c r="S387" t="n">
        <v>1</v>
      </c>
      <c r="T387" s="7">
        <f>365*R387*Q387*S387/1000000</f>
        <v/>
      </c>
      <c r="U387" s="8">
        <f>I387/T387</f>
        <v/>
      </c>
      <c r="V387" s="8">
        <f>SUMIF($E$2:$E$599,E387,$I$2:$I$599)/SUMIF($E$2:$E$599,E387,$T$2:$T$599)</f>
        <v/>
      </c>
      <c r="W387" s="8">
        <f>V387+1.645*SQRT(V387/T387)+1/(2*T387)</f>
        <v/>
      </c>
      <c r="X387" s="5">
        <f>U387/W387</f>
        <v/>
      </c>
      <c r="Y387">
        <f>IF(U387&gt;W387,"high",IF(U387&gt;V387,"medium","low"))</f>
        <v/>
      </c>
      <c r="Z387">
        <f>CHOOSE(MAX(IF(M387="high",2,IF(M387="medium",1,0)),IF(Y387="high",2,IF(Y387="medium",1,0)))+1,"low","medium","high")</f>
        <v/>
      </c>
      <c r="AA387">
        <f>IF(IF(M387="high",2,IF(M387="medium",1,0))=IF(Y387="high",2,IF(Y387="medium",1,0)),"SI และ Rate เท่ากัน",IF(IF(M387="high",2,IF(M387="medium",1,0))&gt;IF(Y387="high",2,IF(Y387="medium",1,0)),"SI","Rate"))</f>
        <v/>
      </c>
    </row>
    <row r="388">
      <c r="A388" t="inlineStr">
        <is>
          <t>zone_223</t>
        </is>
      </c>
      <c r="B388" t="inlineStr">
        <is>
          <t>พญาไท-ศรีนครินทร์</t>
        </is>
      </c>
      <c r="C388" t="inlineStr">
        <is>
          <t>กรุงเทพมหานคร</t>
        </is>
      </c>
      <c r="D388" t="inlineStr">
        <is>
          <t>E002S016|I</t>
        </is>
      </c>
      <c r="E388" t="inlineStr">
        <is>
          <t>กทพ.</t>
        </is>
      </c>
      <c r="F388" t="inlineStr">
        <is>
          <t>4.7–5</t>
        </is>
      </c>
      <c r="G388" t="inlineStr">
        <is>
          <t>ศรีรัช</t>
        </is>
      </c>
      <c r="H388" t="inlineStr">
        <is>
          <t>กทพ. ยอดผ่านด่านทั้งสาย ÷ 365</t>
        </is>
      </c>
      <c r="I388" t="n">
        <v>6</v>
      </c>
      <c r="J388" t="n">
        <v>0</v>
      </c>
      <c r="K388" t="n">
        <v>0</v>
      </c>
      <c r="L388" s="5" t="n">
        <v>0</v>
      </c>
      <c r="M388" t="inlineStr">
        <is>
          <t>low</t>
        </is>
      </c>
      <c r="N388" s="6" t="n">
        <v>613083.1506849315</v>
      </c>
      <c r="O388" s="6" t="n">
        <v>601127.7068493151</v>
      </c>
      <c r="P388" s="6" t="n">
        <v>607857.5287671232</v>
      </c>
      <c r="Q388" s="6">
        <f>AVERAGE(N388:P388)</f>
        <v/>
      </c>
      <c r="R388" t="n">
        <v>3</v>
      </c>
      <c r="S388" t="n">
        <v>1</v>
      </c>
      <c r="T388" s="7">
        <f>365*R388*Q388*S388/1000000</f>
        <v/>
      </c>
      <c r="U388" s="8">
        <f>I388/T388</f>
        <v/>
      </c>
      <c r="V388" s="8">
        <f>SUMIF($E$2:$E$599,E388,$I$2:$I$599)/SUMIF($E$2:$E$599,E388,$T$2:$T$599)</f>
        <v/>
      </c>
      <c r="W388" s="8">
        <f>V388+1.645*SQRT(V388/T388)+1/(2*T388)</f>
        <v/>
      </c>
      <c r="X388" s="5">
        <f>U388/W388</f>
        <v/>
      </c>
      <c r="Y388">
        <f>IF(U388&gt;W388,"high",IF(U388&gt;V388,"medium","low"))</f>
        <v/>
      </c>
      <c r="Z388">
        <f>CHOOSE(MAX(IF(M388="high",2,IF(M388="medium",1,0)),IF(Y388="high",2,IF(Y388="medium",1,0)))+1,"low","medium","high")</f>
        <v/>
      </c>
      <c r="AA388">
        <f>IF(IF(M388="high",2,IF(M388="medium",1,0))=IF(Y388="high",2,IF(Y388="medium",1,0)),"SI และ Rate เท่ากัน",IF(IF(M388="high",2,IF(M388="medium",1,0))&gt;IF(Y388="high",2,IF(Y388="medium",1,0)),"SI","Rate"))</f>
        <v/>
      </c>
    </row>
    <row r="389">
      <c r="A389" t="inlineStr">
        <is>
          <t>zone_250</t>
        </is>
      </c>
      <c r="B389" t="inlineStr">
        <is>
          <t>พญาไท-บางโคล่</t>
        </is>
      </c>
      <c r="C389" t="inlineStr">
        <is>
          <t>กรุงเทพมหานคร</t>
        </is>
      </c>
      <c r="D389" t="inlineStr">
        <is>
          <t>E002S007|I</t>
        </is>
      </c>
      <c r="E389" t="inlineStr">
        <is>
          <t>กทพ.</t>
        </is>
      </c>
      <c r="F389" t="inlineStr">
        <is>
          <t>1.2–1.4</t>
        </is>
      </c>
      <c r="G389" t="inlineStr">
        <is>
          <t>ศรีรัช</t>
        </is>
      </c>
      <c r="H389" t="inlineStr">
        <is>
          <t>กทพ. ยอดผ่านด่านทั้งสาย ÷ 365</t>
        </is>
      </c>
      <c r="I389" t="n">
        <v>6</v>
      </c>
      <c r="J389" t="n">
        <v>0</v>
      </c>
      <c r="K389" t="n">
        <v>3</v>
      </c>
      <c r="L389" s="5" t="n">
        <v>0.5</v>
      </c>
      <c r="M389" t="inlineStr">
        <is>
          <t>low</t>
        </is>
      </c>
      <c r="N389" s="6" t="n">
        <v>613083.1506849315</v>
      </c>
      <c r="O389" s="6" t="n">
        <v>601127.7068493151</v>
      </c>
      <c r="P389" s="6" t="n">
        <v>607857.5287671232</v>
      </c>
      <c r="Q389" s="6">
        <f>AVERAGE(N389:P389)</f>
        <v/>
      </c>
      <c r="R389" t="n">
        <v>3</v>
      </c>
      <c r="S389" t="n">
        <v>1</v>
      </c>
      <c r="T389" s="7">
        <f>365*R389*Q389*S389/1000000</f>
        <v/>
      </c>
      <c r="U389" s="8">
        <f>I389/T389</f>
        <v/>
      </c>
      <c r="V389" s="8">
        <f>SUMIF($E$2:$E$599,E389,$I$2:$I$599)/SUMIF($E$2:$E$599,E389,$T$2:$T$599)</f>
        <v/>
      </c>
      <c r="W389" s="8">
        <f>V389+1.645*SQRT(V389/T389)+1/(2*T389)</f>
        <v/>
      </c>
      <c r="X389" s="5">
        <f>U389/W389</f>
        <v/>
      </c>
      <c r="Y389">
        <f>IF(U389&gt;W389,"high",IF(U389&gt;V389,"medium","low"))</f>
        <v/>
      </c>
      <c r="Z389">
        <f>CHOOSE(MAX(IF(M389="high",2,IF(M389="medium",1,0)),IF(Y389="high",2,IF(Y389="medium",1,0)))+1,"low","medium","high")</f>
        <v/>
      </c>
      <c r="AA389">
        <f>IF(IF(M389="high",2,IF(M389="medium",1,0))=IF(Y389="high",2,IF(Y389="medium",1,0)),"SI และ Rate เท่ากัน",IF(IF(M389="high",2,IF(M389="medium",1,0))&gt;IF(Y389="high",2,IF(Y389="medium",1,0)),"SI","Rate"))</f>
        <v/>
      </c>
    </row>
    <row r="390">
      <c r="A390" t="inlineStr">
        <is>
          <t>zone_262</t>
        </is>
      </c>
      <c r="B390" t="inlineStr">
        <is>
          <t>พญาไท-ศรีนครินทร์</t>
        </is>
      </c>
      <c r="C390" t="inlineStr">
        <is>
          <t>กรุงเทพมหานคร</t>
        </is>
      </c>
      <c r="D390" t="inlineStr">
        <is>
          <t>E002S016|U</t>
        </is>
      </c>
      <c r="E390" t="inlineStr">
        <is>
          <t>กทพ.</t>
        </is>
      </c>
      <c r="F390" t="inlineStr">
        <is>
          <t>3.2–3.7</t>
        </is>
      </c>
      <c r="G390" t="inlineStr">
        <is>
          <t>ศรีรัช</t>
        </is>
      </c>
      <c r="H390" t="inlineStr">
        <is>
          <t>กทพ. ยอดผ่านด่านทั้งสาย ÷ 365</t>
        </is>
      </c>
      <c r="I390" t="n">
        <v>6</v>
      </c>
      <c r="J390" t="n">
        <v>0</v>
      </c>
      <c r="K390" t="n">
        <v>0</v>
      </c>
      <c r="L390" s="5" t="n">
        <v>0</v>
      </c>
      <c r="M390" t="inlineStr">
        <is>
          <t>low</t>
        </is>
      </c>
      <c r="N390" s="6" t="n">
        <v>613083.1506849315</v>
      </c>
      <c r="O390" s="6" t="n">
        <v>601127.7068493151</v>
      </c>
      <c r="P390" s="6" t="n">
        <v>607857.5287671232</v>
      </c>
      <c r="Q390" s="6">
        <f>AVERAGE(N390:P390)</f>
        <v/>
      </c>
      <c r="R390" t="n">
        <v>3</v>
      </c>
      <c r="S390" t="n">
        <v>1</v>
      </c>
      <c r="T390" s="7">
        <f>365*R390*Q390*S390/1000000</f>
        <v/>
      </c>
      <c r="U390" s="8">
        <f>I390/T390</f>
        <v/>
      </c>
      <c r="V390" s="8">
        <f>SUMIF($E$2:$E$599,E390,$I$2:$I$599)/SUMIF($E$2:$E$599,E390,$T$2:$T$599)</f>
        <v/>
      </c>
      <c r="W390" s="8">
        <f>V390+1.645*SQRT(V390/T390)+1/(2*T390)</f>
        <v/>
      </c>
      <c r="X390" s="5">
        <f>U390/W390</f>
        <v/>
      </c>
      <c r="Y390">
        <f>IF(U390&gt;W390,"high",IF(U390&gt;V390,"medium","low"))</f>
        <v/>
      </c>
      <c r="Z390">
        <f>CHOOSE(MAX(IF(M390="high",2,IF(M390="medium",1,0)),IF(Y390="high",2,IF(Y390="medium",1,0)))+1,"low","medium","high")</f>
        <v/>
      </c>
      <c r="AA390">
        <f>IF(IF(M390="high",2,IF(M390="medium",1,0))=IF(Y390="high",2,IF(Y390="medium",1,0)),"SI และ Rate เท่ากัน",IF(IF(M390="high",2,IF(M390="medium",1,0))&gt;IF(Y390="high",2,IF(Y390="medium",1,0)),"SI","Rate"))</f>
        <v/>
      </c>
    </row>
    <row r="391">
      <c r="A391" t="inlineStr">
        <is>
          <t>zone_291</t>
        </is>
      </c>
      <c r="B391" t="inlineStr">
        <is>
          <t>พญาไท-บางโคล่</t>
        </is>
      </c>
      <c r="C391" t="inlineStr">
        <is>
          <t>กรุงเทพมหานคร</t>
        </is>
      </c>
      <c r="D391" t="inlineStr">
        <is>
          <t>E002S007|I</t>
        </is>
      </c>
      <c r="E391" t="inlineStr">
        <is>
          <t>กทพ.</t>
        </is>
      </c>
      <c r="F391" t="inlineStr">
        <is>
          <t>3.9–4.1</t>
        </is>
      </c>
      <c r="G391" t="inlineStr">
        <is>
          <t>ศรีรัช</t>
        </is>
      </c>
      <c r="H391" t="inlineStr">
        <is>
          <t>กทพ. ยอดผ่านด่านทั้งสาย ÷ 365</t>
        </is>
      </c>
      <c r="I391" t="n">
        <v>6</v>
      </c>
      <c r="J391" t="n">
        <v>0</v>
      </c>
      <c r="K391" t="n">
        <v>2</v>
      </c>
      <c r="L391" s="5" t="n">
        <v>0.3333</v>
      </c>
      <c r="M391" t="inlineStr">
        <is>
          <t>low</t>
        </is>
      </c>
      <c r="N391" s="6" t="n">
        <v>613083.1506849315</v>
      </c>
      <c r="O391" s="6" t="n">
        <v>601127.7068493151</v>
      </c>
      <c r="P391" s="6" t="n">
        <v>607857.5287671232</v>
      </c>
      <c r="Q391" s="6">
        <f>AVERAGE(N391:P391)</f>
        <v/>
      </c>
      <c r="R391" t="n">
        <v>3</v>
      </c>
      <c r="S391" t="n">
        <v>1</v>
      </c>
      <c r="T391" s="7">
        <f>365*R391*Q391*S391/1000000</f>
        <v/>
      </c>
      <c r="U391" s="8">
        <f>I391/T391</f>
        <v/>
      </c>
      <c r="V391" s="8">
        <f>SUMIF($E$2:$E$599,E391,$I$2:$I$599)/SUMIF($E$2:$E$599,E391,$T$2:$T$599)</f>
        <v/>
      </c>
      <c r="W391" s="8">
        <f>V391+1.645*SQRT(V391/T391)+1/(2*T391)</f>
        <v/>
      </c>
      <c r="X391" s="5">
        <f>U391/W391</f>
        <v/>
      </c>
      <c r="Y391">
        <f>IF(U391&gt;W391,"high",IF(U391&gt;V391,"medium","low"))</f>
        <v/>
      </c>
      <c r="Z391">
        <f>CHOOSE(MAX(IF(M391="high",2,IF(M391="medium",1,0)),IF(Y391="high",2,IF(Y391="medium",1,0)))+1,"low","medium","high")</f>
        <v/>
      </c>
      <c r="AA391">
        <f>IF(IF(M391="high",2,IF(M391="medium",1,0))=IF(Y391="high",2,IF(Y391="medium",1,0)),"SI และ Rate เท่ากัน",IF(IF(M391="high",2,IF(M391="medium",1,0))&gt;IF(Y391="high",2,IF(Y391="medium",1,0)),"SI","Rate"))</f>
        <v/>
      </c>
    </row>
    <row r="392">
      <c r="A392" t="inlineStr">
        <is>
          <t>zone_345</t>
        </is>
      </c>
      <c r="B392" t="inlineStr">
        <is>
          <t>แจ้งวัฒนะ-พญาไท</t>
        </is>
      </c>
      <c r="C392" t="inlineStr">
        <is>
          <t>นนทบุรี</t>
        </is>
      </c>
      <c r="D392" t="inlineStr">
        <is>
          <t>E002S014|U</t>
        </is>
      </c>
      <c r="E392" t="inlineStr">
        <is>
          <t>กทพ.</t>
        </is>
      </c>
      <c r="F392" t="inlineStr">
        <is>
          <t>22.2–22.4</t>
        </is>
      </c>
      <c r="G392" t="inlineStr">
        <is>
          <t>ศรีรัช</t>
        </is>
      </c>
      <c r="H392" t="inlineStr">
        <is>
          <t>กทพ. ยอดผ่านด่านทั้งสาย ÷ 365</t>
        </is>
      </c>
      <c r="I392" t="n">
        <v>6</v>
      </c>
      <c r="J392" t="n">
        <v>0</v>
      </c>
      <c r="K392" t="n">
        <v>0</v>
      </c>
      <c r="L392" s="5" t="n">
        <v>0</v>
      </c>
      <c r="M392" t="inlineStr">
        <is>
          <t>low</t>
        </is>
      </c>
      <c r="N392" s="6" t="n">
        <v>613083.1506849315</v>
      </c>
      <c r="O392" s="6" t="n">
        <v>601127.7068493151</v>
      </c>
      <c r="P392" s="6" t="n">
        <v>607857.5287671232</v>
      </c>
      <c r="Q392" s="6">
        <f>AVERAGE(N392:P392)</f>
        <v/>
      </c>
      <c r="R392" t="n">
        <v>3</v>
      </c>
      <c r="S392" t="n">
        <v>1</v>
      </c>
      <c r="T392" s="7">
        <f>365*R392*Q392*S392/1000000</f>
        <v/>
      </c>
      <c r="U392" s="8">
        <f>I392/T392</f>
        <v/>
      </c>
      <c r="V392" s="8">
        <f>SUMIF($E$2:$E$599,E392,$I$2:$I$599)/SUMIF($E$2:$E$599,E392,$T$2:$T$599)</f>
        <v/>
      </c>
      <c r="W392" s="8">
        <f>V392+1.645*SQRT(V392/T392)+1/(2*T392)</f>
        <v/>
      </c>
      <c r="X392" s="5">
        <f>U392/W392</f>
        <v/>
      </c>
      <c r="Y392">
        <f>IF(U392&gt;W392,"high",IF(U392&gt;V392,"medium","low"))</f>
        <v/>
      </c>
      <c r="Z392">
        <f>CHOOSE(MAX(IF(M392="high",2,IF(M392="medium",1,0)),IF(Y392="high",2,IF(Y392="medium",1,0)))+1,"low","medium","high")</f>
        <v/>
      </c>
      <c r="AA392">
        <f>IF(IF(M392="high",2,IF(M392="medium",1,0))=IF(Y392="high",2,IF(Y392="medium",1,0)),"SI และ Rate เท่ากัน",IF(IF(M392="high",2,IF(M392="medium",1,0))&gt;IF(Y392="high",2,IF(Y392="medium",1,0)),"SI","Rate"))</f>
        <v/>
      </c>
    </row>
    <row r="393">
      <c r="A393" t="inlineStr">
        <is>
          <t>zone_321</t>
        </is>
      </c>
      <c r="B393" t="inlineStr">
        <is>
          <t>บางบัวทอง - บางคูวัด</t>
        </is>
      </c>
      <c r="C393" t="inlineStr">
        <is>
          <t>นนทบุรี</t>
        </is>
      </c>
      <c r="D393" t="inlineStr">
        <is>
          <t>345</t>
        </is>
      </c>
      <c r="E393" t="inlineStr">
        <is>
          <t>ทล.</t>
        </is>
      </c>
      <c r="F393" t="inlineStr">
        <is>
          <t>0.31–0.55</t>
        </is>
      </c>
      <c r="G393" t="inlineStr">
        <is>
          <t>station_id 114 (ทล.345 กม.6+300)</t>
        </is>
      </c>
      <c r="H393" t="inlineStr">
        <is>
          <t>ทล. สถานีตัวแทนตอนควบคุม</t>
        </is>
      </c>
      <c r="I393" t="n">
        <v>5</v>
      </c>
      <c r="J393" t="n">
        <v>0</v>
      </c>
      <c r="K393" t="n">
        <v>0</v>
      </c>
      <c r="L393" s="5" t="n">
        <v>0</v>
      </c>
      <c r="M393" t="inlineStr">
        <is>
          <t>low</t>
        </is>
      </c>
      <c r="N393" s="6" t="n">
        <v>76924</v>
      </c>
      <c r="O393" s="6" t="n">
        <v>68262</v>
      </c>
      <c r="P393" s="6" t="n">
        <v>67169</v>
      </c>
      <c r="Q393" s="6">
        <f>AVERAGE(N393:P393)</f>
        <v/>
      </c>
      <c r="R393" t="n">
        <v>3</v>
      </c>
      <c r="S393" t="n">
        <v>1</v>
      </c>
      <c r="T393" s="7">
        <f>365*R393*Q393*S393/1000000</f>
        <v/>
      </c>
      <c r="U393" s="8">
        <f>I393/T393</f>
        <v/>
      </c>
      <c r="V393" s="8">
        <f>SUMIF($E$2:$E$599,E393,$I$2:$I$599)/SUMIF($E$2:$E$599,E393,$T$2:$T$599)</f>
        <v/>
      </c>
      <c r="W393" s="8">
        <f>V393+1.645*SQRT(V393/T393)+1/(2*T393)</f>
        <v/>
      </c>
      <c r="X393" s="5">
        <f>U393/W393</f>
        <v/>
      </c>
      <c r="Y393">
        <f>IF(U393&gt;W393,"high",IF(U393&gt;V393,"medium","low"))</f>
        <v/>
      </c>
      <c r="Z393">
        <f>CHOOSE(MAX(IF(M393="high",2,IF(M393="medium",1,0)),IF(Y393="high",2,IF(Y393="medium",1,0)))+1,"low","medium","high")</f>
        <v/>
      </c>
      <c r="AA393">
        <f>IF(IF(M393="high",2,IF(M393="medium",1,0))=IF(Y393="high",2,IF(Y393="medium",1,0)),"SI และ Rate เท่ากัน",IF(IF(M393="high",2,IF(M393="medium",1,0))&gt;IF(Y393="high",2,IF(Y393="medium",1,0)),"SI","Rate"))</f>
        <v/>
      </c>
    </row>
    <row r="394">
      <c r="A394" t="inlineStr">
        <is>
          <t>zone_616</t>
        </is>
      </c>
      <c r="B394" t="inlineStr">
        <is>
          <t>อ้อมน้อย - สมุทรสาคร</t>
        </is>
      </c>
      <c r="C394" t="inlineStr">
        <is>
          <t>สมุทรสาคร</t>
        </is>
      </c>
      <c r="D394" t="inlineStr">
        <is>
          <t>3091</t>
        </is>
      </c>
      <c r="E394" t="inlineStr">
        <is>
          <t>ทล.</t>
        </is>
      </c>
      <c r="F394" t="inlineStr">
        <is>
          <t>7.36–7.6</t>
        </is>
      </c>
      <c r="G394" t="inlineStr">
        <is>
          <t>station_id 61 (ทล.3091 กม.0+500)</t>
        </is>
      </c>
      <c r="H394" t="inlineStr">
        <is>
          <t>ทล. สถานีตัวแทนตอนควบคุม</t>
        </is>
      </c>
      <c r="I394" t="n">
        <v>3</v>
      </c>
      <c r="J394" t="n">
        <v>1</v>
      </c>
      <c r="K394" t="n">
        <v>1</v>
      </c>
      <c r="L394" s="5" t="n">
        <v>0.6667</v>
      </c>
      <c r="M394" t="inlineStr">
        <is>
          <t>low</t>
        </is>
      </c>
      <c r="N394" s="6" t="n">
        <v>35856</v>
      </c>
      <c r="O394" s="6" t="n">
        <v>37288</v>
      </c>
      <c r="P394" s="6" t="n">
        <v>37588</v>
      </c>
      <c r="Q394" s="6">
        <f>AVERAGE(N394:P394)</f>
        <v/>
      </c>
      <c r="R394" t="n">
        <v>3</v>
      </c>
      <c r="S394" t="n">
        <v>1</v>
      </c>
      <c r="T394" s="7">
        <f>365*R394*Q394*S394/1000000</f>
        <v/>
      </c>
      <c r="U394" s="8">
        <f>I394/T394</f>
        <v/>
      </c>
      <c r="V394" s="8">
        <f>SUMIF($E$2:$E$599,E394,$I$2:$I$599)/SUMIF($E$2:$E$599,E394,$T$2:$T$599)</f>
        <v/>
      </c>
      <c r="W394" s="8">
        <f>V394+1.645*SQRT(V394/T394)+1/(2*T394)</f>
        <v/>
      </c>
      <c r="X394" s="5">
        <f>U394/W394</f>
        <v/>
      </c>
      <c r="Y394">
        <f>IF(U394&gt;W394,"high",IF(U394&gt;V394,"medium","low"))</f>
        <v/>
      </c>
      <c r="Z394">
        <f>CHOOSE(MAX(IF(M394="high",2,IF(M394="medium",1,0)),IF(Y394="high",2,IF(Y394="medium",1,0)))+1,"low","medium","high")</f>
        <v/>
      </c>
      <c r="AA394">
        <f>IF(IF(M394="high",2,IF(M394="medium",1,0))=IF(Y394="high",2,IF(Y394="medium",1,0)),"SI และ Rate เท่ากัน",IF(IF(M394="high",2,IF(M394="medium",1,0))&gt;IF(Y394="high",2,IF(Y394="medium",1,0)),"SI","Rate"))</f>
        <v/>
      </c>
    </row>
    <row r="395">
      <c r="A395" t="inlineStr">
        <is>
          <t>zone_578</t>
        </is>
      </c>
      <c r="B395" t="inlineStr">
        <is>
          <t>สะพานข้ามแม่น้ำท่าจีนฝั่งตะวันตก - นาโคก</t>
        </is>
      </c>
      <c r="C395" t="inlineStr">
        <is>
          <t>สมุทรสาคร</t>
        </is>
      </c>
      <c r="D395" t="inlineStr">
        <is>
          <t>35</t>
        </is>
      </c>
      <c r="E395" t="inlineStr">
        <is>
          <t>ทล.</t>
        </is>
      </c>
      <c r="F395" t="inlineStr">
        <is>
          <t>33.57–33.9</t>
        </is>
      </c>
      <c r="G395" t="inlineStr">
        <is>
          <t>station_id 59 (ทล.35 กม.30+700)</t>
        </is>
      </c>
      <c r="H395" t="inlineStr">
        <is>
          <t>ทล. สถานีตัวแทนตอนควบคุม</t>
        </is>
      </c>
      <c r="I395" t="n">
        <v>9</v>
      </c>
      <c r="J395" t="n">
        <v>0</v>
      </c>
      <c r="K395" t="n">
        <v>1</v>
      </c>
      <c r="L395" s="5" t="n">
        <v>0.1111</v>
      </c>
      <c r="M395" t="inlineStr">
        <is>
          <t>low</t>
        </is>
      </c>
      <c r="N395" s="6" t="n">
        <v>134343</v>
      </c>
      <c r="O395" s="6" t="n">
        <v>149180</v>
      </c>
      <c r="P395" s="6" t="n">
        <v>149785</v>
      </c>
      <c r="Q395" s="6">
        <f>AVERAGE(N395:P395)</f>
        <v/>
      </c>
      <c r="R395" t="n">
        <v>3</v>
      </c>
      <c r="S395" t="n">
        <v>1</v>
      </c>
      <c r="T395" s="7">
        <f>365*R395*Q395*S395/1000000</f>
        <v/>
      </c>
      <c r="U395" s="8">
        <f>I395/T395</f>
        <v/>
      </c>
      <c r="V395" s="8">
        <f>SUMIF($E$2:$E$599,E395,$I$2:$I$599)/SUMIF($E$2:$E$599,E395,$T$2:$T$599)</f>
        <v/>
      </c>
      <c r="W395" s="8">
        <f>V395+1.645*SQRT(V395/T395)+1/(2*T395)</f>
        <v/>
      </c>
      <c r="X395" s="5">
        <f>U395/W395</f>
        <v/>
      </c>
      <c r="Y395">
        <f>IF(U395&gt;W395,"high",IF(U395&gt;V395,"medium","low"))</f>
        <v/>
      </c>
      <c r="Z395">
        <f>CHOOSE(MAX(IF(M395="high",2,IF(M395="medium",1,0)),IF(Y395="high",2,IF(Y395="medium",1,0)))+1,"low","medium","high")</f>
        <v/>
      </c>
      <c r="AA395">
        <f>IF(IF(M395="high",2,IF(M395="medium",1,0))=IF(Y395="high",2,IF(Y395="medium",1,0)),"SI และ Rate เท่ากัน",IF(IF(M395="high",2,IF(M395="medium",1,0))&gt;IF(Y395="high",2,IF(Y395="medium",1,0)),"SI","Rate"))</f>
        <v/>
      </c>
    </row>
    <row r="396">
      <c r="A396" t="inlineStr">
        <is>
          <t>zone_140</t>
        </is>
      </c>
      <c r="B396" t="inlineStr">
        <is>
          <t>ดินแดง - งามวงศ์วาน</t>
        </is>
      </c>
      <c r="C396" t="inlineStr">
        <is>
          <t>กรุงเทพมหานคร</t>
        </is>
      </c>
      <c r="D396" t="inlineStr">
        <is>
          <t>31</t>
        </is>
      </c>
      <c r="E396" t="inlineStr">
        <is>
          <t>ทล.</t>
        </is>
      </c>
      <c r="F396" t="inlineStr">
        <is>
          <t>8.115–8.565</t>
        </is>
      </c>
      <c r="G396" t="inlineStr">
        <is>
          <t>station_id 104 (ทล.302 กม.5+822)</t>
        </is>
      </c>
      <c r="H396" t="inlineStr">
        <is>
          <t>ทล. สถานีตัวแทนตอนควบคุม</t>
        </is>
      </c>
      <c r="I396" t="n">
        <v>7</v>
      </c>
      <c r="J396" t="n">
        <v>0</v>
      </c>
      <c r="K396" t="n">
        <v>6</v>
      </c>
      <c r="L396" s="5" t="n">
        <v>0.8571</v>
      </c>
      <c r="M396" t="inlineStr">
        <is>
          <t>low</t>
        </is>
      </c>
      <c r="N396" s="6" t="n">
        <v>111493</v>
      </c>
      <c r="O396" s="6" t="n">
        <v>113776</v>
      </c>
      <c r="P396" s="6" t="n">
        <v>111297</v>
      </c>
      <c r="Q396" s="6">
        <f>AVERAGE(N396:P396)</f>
        <v/>
      </c>
      <c r="R396" t="n">
        <v>3</v>
      </c>
      <c r="S396" t="n">
        <v>1</v>
      </c>
      <c r="T396" s="7">
        <f>365*R396*Q396*S396/1000000</f>
        <v/>
      </c>
      <c r="U396" s="8">
        <f>I396/T396</f>
        <v/>
      </c>
      <c r="V396" s="8">
        <f>SUMIF($E$2:$E$599,E396,$I$2:$I$599)/SUMIF($E$2:$E$599,E396,$T$2:$T$599)</f>
        <v/>
      </c>
      <c r="W396" s="8">
        <f>V396+1.645*SQRT(V396/T396)+1/(2*T396)</f>
        <v/>
      </c>
      <c r="X396" s="5">
        <f>U396/W396</f>
        <v/>
      </c>
      <c r="Y396">
        <f>IF(U396&gt;W396,"high",IF(U396&gt;V396,"medium","low"))</f>
        <v/>
      </c>
      <c r="Z396">
        <f>CHOOSE(MAX(IF(M396="high",2,IF(M396="medium",1,0)),IF(Y396="high",2,IF(Y396="medium",1,0)))+1,"low","medium","high")</f>
        <v/>
      </c>
      <c r="AA396">
        <f>IF(IF(M396="high",2,IF(M396="medium",1,0))=IF(Y396="high",2,IF(Y396="medium",1,0)),"SI และ Rate เท่ากัน",IF(IF(M396="high",2,IF(M396="medium",1,0))&gt;IF(Y396="high",2,IF(Y396="medium",1,0)),"SI","Rate"))</f>
        <v/>
      </c>
    </row>
    <row r="397">
      <c r="A397" t="inlineStr">
        <is>
          <t>zone_111</t>
        </is>
      </c>
      <c r="B397" t="inlineStr">
        <is>
          <t>แขวงรามอินทรา - บางพลี</t>
        </is>
      </c>
      <c r="C397" t="inlineStr">
        <is>
          <t>กรุงเทพมหานคร</t>
        </is>
      </c>
      <c r="D397" t="inlineStr">
        <is>
          <t>9</t>
        </is>
      </c>
      <c r="E397" t="inlineStr">
        <is>
          <t>ทล.</t>
        </is>
      </c>
      <c r="F397" t="inlineStr">
        <is>
          <t>51.9–52.2</t>
        </is>
      </c>
      <c r="G397" t="inlineStr">
        <is>
          <t>station_id 348 (ทล.9 กม.59+500)</t>
        </is>
      </c>
      <c r="H397" t="inlineStr">
        <is>
          <t>ทล. สถานีตัวแทนตอนควบคุม</t>
        </is>
      </c>
      <c r="I397" t="n">
        <v>7</v>
      </c>
      <c r="J397" t="n">
        <v>0</v>
      </c>
      <c r="K397" t="n">
        <v>1</v>
      </c>
      <c r="L397" s="5" t="n">
        <v>0.1429</v>
      </c>
      <c r="M397" t="inlineStr">
        <is>
          <t>low</t>
        </is>
      </c>
      <c r="N397" s="6" t="n">
        <v>110915</v>
      </c>
      <c r="O397" s="6" t="n">
        <v>117953</v>
      </c>
      <c r="P397" s="6" t="n">
        <v>117813</v>
      </c>
      <c r="Q397" s="6">
        <f>AVERAGE(N397:P397)</f>
        <v/>
      </c>
      <c r="R397" t="n">
        <v>3</v>
      </c>
      <c r="S397" t="n">
        <v>1</v>
      </c>
      <c r="T397" s="7">
        <f>365*R397*Q397*S397/1000000</f>
        <v/>
      </c>
      <c r="U397" s="8">
        <f>I397/T397</f>
        <v/>
      </c>
      <c r="V397" s="8">
        <f>SUMIF($E$2:$E$599,E397,$I$2:$I$599)/SUMIF($E$2:$E$599,E397,$T$2:$T$599)</f>
        <v/>
      </c>
      <c r="W397" s="8">
        <f>V397+1.645*SQRT(V397/T397)+1/(2*T397)</f>
        <v/>
      </c>
      <c r="X397" s="5">
        <f>U397/W397</f>
        <v/>
      </c>
      <c r="Y397">
        <f>IF(U397&gt;W397,"high",IF(U397&gt;V397,"medium","low"))</f>
        <v/>
      </c>
      <c r="Z397">
        <f>CHOOSE(MAX(IF(M397="high",2,IF(M397="medium",1,0)),IF(Y397="high",2,IF(Y397="medium",1,0)))+1,"low","medium","high")</f>
        <v/>
      </c>
      <c r="AA397">
        <f>IF(IF(M397="high",2,IF(M397="medium",1,0))=IF(Y397="high",2,IF(Y397="medium",1,0)),"SI และ Rate เท่ากัน",IF(IF(M397="high",2,IF(M397="medium",1,0))&gt;IF(Y397="high",2,IF(Y397="medium",1,0)),"SI","Rate"))</f>
        <v/>
      </c>
    </row>
    <row r="398">
      <c r="A398" t="inlineStr">
        <is>
          <t>zone_467</t>
        </is>
      </c>
      <c r="B398" t="inlineStr">
        <is>
          <t>แขวงคลองสองต้นนุ่น - พิมพา</t>
        </is>
      </c>
      <c r="C398" t="inlineStr">
        <is>
          <t>สมุทรปราการ</t>
        </is>
      </c>
      <c r="D398" t="inlineStr">
        <is>
          <t>7</t>
        </is>
      </c>
      <c r="E398" t="inlineStr">
        <is>
          <t>ทล.</t>
        </is>
      </c>
      <c r="F398" t="inlineStr">
        <is>
          <t>30.3–31.1</t>
        </is>
      </c>
      <c r="G398" t="inlineStr">
        <is>
          <t>station_id 345 (ทล.7 กม.17+000)</t>
        </is>
      </c>
      <c r="H398" t="inlineStr">
        <is>
          <t>ทล. สถานีตัวแทนตอนควบคุม</t>
        </is>
      </c>
      <c r="I398" t="n">
        <v>13</v>
      </c>
      <c r="J398" t="n">
        <v>0</v>
      </c>
      <c r="K398" t="n">
        <v>7</v>
      </c>
      <c r="L398" s="5" t="n">
        <v>0.5385</v>
      </c>
      <c r="M398" t="inlineStr">
        <is>
          <t>low</t>
        </is>
      </c>
      <c r="N398" s="6" t="n">
        <v>220901</v>
      </c>
      <c r="O398" s="6" t="n">
        <v>242192</v>
      </c>
      <c r="P398" s="6" t="n">
        <v>262343</v>
      </c>
      <c r="Q398" s="6">
        <f>AVERAGE(N398:P398)</f>
        <v/>
      </c>
      <c r="R398" t="n">
        <v>3</v>
      </c>
      <c r="S398" t="n">
        <v>1</v>
      </c>
      <c r="T398" s="7">
        <f>365*R398*Q398*S398/1000000</f>
        <v/>
      </c>
      <c r="U398" s="8">
        <f>I398/T398</f>
        <v/>
      </c>
      <c r="V398" s="8">
        <f>SUMIF($E$2:$E$599,E398,$I$2:$I$599)/SUMIF($E$2:$E$599,E398,$T$2:$T$599)</f>
        <v/>
      </c>
      <c r="W398" s="8">
        <f>V398+1.645*SQRT(V398/T398)+1/(2*T398)</f>
        <v/>
      </c>
      <c r="X398" s="5">
        <f>U398/W398</f>
        <v/>
      </c>
      <c r="Y398">
        <f>IF(U398&gt;W398,"high",IF(U398&gt;V398,"medium","low"))</f>
        <v/>
      </c>
      <c r="Z398">
        <f>CHOOSE(MAX(IF(M398="high",2,IF(M398="medium",1,0)),IF(Y398="high",2,IF(Y398="medium",1,0)))+1,"low","medium","high")</f>
        <v/>
      </c>
      <c r="AA398">
        <f>IF(IF(M398="high",2,IF(M398="medium",1,0))=IF(Y398="high",2,IF(Y398="medium",1,0)),"SI และ Rate เท่ากัน",IF(IF(M398="high",2,IF(M398="medium",1,0))&gt;IF(Y398="high",2,IF(Y398="medium",1,0)),"SI","Rate"))</f>
        <v/>
      </c>
    </row>
    <row r="399">
      <c r="A399" t="inlineStr">
        <is>
          <t>zone_588</t>
        </is>
      </c>
      <c r="B399" t="inlineStr">
        <is>
          <t>แสมดำ - สะพานข้ามแม่น้ำท่าจีนฝั่งตะวันตก</t>
        </is>
      </c>
      <c r="C399" t="inlineStr">
        <is>
          <t>สมุทรสาคร</t>
        </is>
      </c>
      <c r="D399" t="inlineStr">
        <is>
          <t>35</t>
        </is>
      </c>
      <c r="E399" t="inlineStr">
        <is>
          <t>ทล.</t>
        </is>
      </c>
      <c r="F399" t="inlineStr">
        <is>
          <t>22.3–22.8</t>
        </is>
      </c>
      <c r="G399" t="inlineStr">
        <is>
          <t>station_id 57 (ทล.35 กม.24+550)</t>
        </is>
      </c>
      <c r="H399" t="inlineStr">
        <is>
          <t>ทล. สถานีตัวแทนตอนควบคุม</t>
        </is>
      </c>
      <c r="I399" t="n">
        <v>8</v>
      </c>
      <c r="J399" t="n">
        <v>0</v>
      </c>
      <c r="K399" t="n">
        <v>3</v>
      </c>
      <c r="L399" s="5" t="n">
        <v>0.375</v>
      </c>
      <c r="M399" t="inlineStr">
        <is>
          <t>low</t>
        </is>
      </c>
      <c r="N399" s="6" t="n">
        <v>129063</v>
      </c>
      <c r="O399" s="6" t="n">
        <v>149020</v>
      </c>
      <c r="P399" s="6" t="n">
        <v>143116</v>
      </c>
      <c r="Q399" s="6">
        <f>AVERAGE(N399:P399)</f>
        <v/>
      </c>
      <c r="R399" t="n">
        <v>3</v>
      </c>
      <c r="S399" t="n">
        <v>1</v>
      </c>
      <c r="T399" s="7">
        <f>365*R399*Q399*S399/1000000</f>
        <v/>
      </c>
      <c r="U399" s="8">
        <f>I399/T399</f>
        <v/>
      </c>
      <c r="V399" s="8">
        <f>SUMIF($E$2:$E$599,E399,$I$2:$I$599)/SUMIF($E$2:$E$599,E399,$T$2:$T$599)</f>
        <v/>
      </c>
      <c r="W399" s="8">
        <f>V399+1.645*SQRT(V399/T399)+1/(2*T399)</f>
        <v/>
      </c>
      <c r="X399" s="5">
        <f>U399/W399</f>
        <v/>
      </c>
      <c r="Y399">
        <f>IF(U399&gt;W399,"high",IF(U399&gt;V399,"medium","low"))</f>
        <v/>
      </c>
      <c r="Z399">
        <f>CHOOSE(MAX(IF(M399="high",2,IF(M399="medium",1,0)),IF(Y399="high",2,IF(Y399="medium",1,0)))+1,"low","medium","high")</f>
        <v/>
      </c>
      <c r="AA399">
        <f>IF(IF(M399="high",2,IF(M399="medium",1,0))=IF(Y399="high",2,IF(Y399="medium",1,0)),"SI และ Rate เท่ากัน",IF(IF(M399="high",2,IF(M399="medium",1,0))&gt;IF(Y399="high",2,IF(Y399="medium",1,0)),"SI","Rate"))</f>
        <v/>
      </c>
    </row>
    <row r="400">
      <c r="A400" t="inlineStr">
        <is>
          <t>zone_593</t>
        </is>
      </c>
      <c r="B400" t="inlineStr">
        <is>
          <t>แสมดำ - สะพานข้ามแม่น้ำท่าจีนฝั่งตะวันตก</t>
        </is>
      </c>
      <c r="C400" t="inlineStr">
        <is>
          <t>สมุทรสาคร</t>
        </is>
      </c>
      <c r="D400" t="inlineStr">
        <is>
          <t>35</t>
        </is>
      </c>
      <c r="E400" t="inlineStr">
        <is>
          <t>ทล.</t>
        </is>
      </c>
      <c r="F400" t="inlineStr">
        <is>
          <t>16.9–17.4</t>
        </is>
      </c>
      <c r="G400" t="inlineStr">
        <is>
          <t>station_id 57 (ทล.35 กม.24+550)</t>
        </is>
      </c>
      <c r="H400" t="inlineStr">
        <is>
          <t>ทล. สถานีตัวแทนตอนควบคุม</t>
        </is>
      </c>
      <c r="I400" t="n">
        <v>8</v>
      </c>
      <c r="J400" t="n">
        <v>0</v>
      </c>
      <c r="K400" t="n">
        <v>3</v>
      </c>
      <c r="L400" s="5" t="n">
        <v>0.375</v>
      </c>
      <c r="M400" t="inlineStr">
        <is>
          <t>low</t>
        </is>
      </c>
      <c r="N400" s="6" t="n">
        <v>129063</v>
      </c>
      <c r="O400" s="6" t="n">
        <v>149020</v>
      </c>
      <c r="P400" s="6" t="n">
        <v>143116</v>
      </c>
      <c r="Q400" s="6">
        <f>AVERAGE(N400:P400)</f>
        <v/>
      </c>
      <c r="R400" t="n">
        <v>3</v>
      </c>
      <c r="S400" t="n">
        <v>1</v>
      </c>
      <c r="T400" s="7">
        <f>365*R400*Q400*S400/1000000</f>
        <v/>
      </c>
      <c r="U400" s="8">
        <f>I400/T400</f>
        <v/>
      </c>
      <c r="V400" s="8">
        <f>SUMIF($E$2:$E$599,E400,$I$2:$I$599)/SUMIF($E$2:$E$599,E400,$T$2:$T$599)</f>
        <v/>
      </c>
      <c r="W400" s="8">
        <f>V400+1.645*SQRT(V400/T400)+1/(2*T400)</f>
        <v/>
      </c>
      <c r="X400" s="5">
        <f>U400/W400</f>
        <v/>
      </c>
      <c r="Y400">
        <f>IF(U400&gt;W400,"high",IF(U400&gt;V400,"medium","low"))</f>
        <v/>
      </c>
      <c r="Z400">
        <f>CHOOSE(MAX(IF(M400="high",2,IF(M400="medium",1,0)),IF(Y400="high",2,IF(Y400="medium",1,0)))+1,"low","medium","high")</f>
        <v/>
      </c>
      <c r="AA400">
        <f>IF(IF(M400="high",2,IF(M400="medium",1,0))=IF(Y400="high",2,IF(Y400="medium",1,0)),"SI และ Rate เท่ากัน",IF(IF(M400="high",2,IF(M400="medium",1,0))&gt;IF(Y400="high",2,IF(Y400="medium",1,0)),"SI","Rate"))</f>
        <v/>
      </c>
    </row>
    <row r="401">
      <c r="A401" t="inlineStr">
        <is>
          <t>zone_119</t>
        </is>
      </c>
      <c r="B401" t="inlineStr">
        <is>
          <t>แยกเข้ามีนบุรี - คลองหลวงแพ่ง</t>
        </is>
      </c>
      <c r="C401" t="inlineStr">
        <is>
          <t>กรุงเทพมหานคร</t>
        </is>
      </c>
      <c r="D401" t="inlineStr">
        <is>
          <t>304</t>
        </is>
      </c>
      <c r="E401" t="inlineStr">
        <is>
          <t>ทล.</t>
        </is>
      </c>
      <c r="F401" t="inlineStr">
        <is>
          <t>45.3–45.56</t>
        </is>
      </c>
      <c r="G401" t="inlineStr">
        <is>
          <t>station_id 2 (ทล.304 กม.28+250)</t>
        </is>
      </c>
      <c r="H401" t="inlineStr">
        <is>
          <t>ทล. สถานีตัวแทนตอนควบคุม</t>
        </is>
      </c>
      <c r="I401" t="n">
        <v>4</v>
      </c>
      <c r="J401" t="n">
        <v>0</v>
      </c>
      <c r="K401" t="n">
        <v>2</v>
      </c>
      <c r="L401" s="5" t="n">
        <v>0.5</v>
      </c>
      <c r="M401" t="inlineStr">
        <is>
          <t>low</t>
        </is>
      </c>
      <c r="N401" s="6" t="n">
        <v>51653</v>
      </c>
      <c r="O401" s="6" t="n">
        <v>53216</v>
      </c>
      <c r="P401" s="6" t="n">
        <v>78286</v>
      </c>
      <c r="Q401" s="6">
        <f>AVERAGE(N401:P401)</f>
        <v/>
      </c>
      <c r="R401" t="n">
        <v>3</v>
      </c>
      <c r="S401" t="n">
        <v>1</v>
      </c>
      <c r="T401" s="7">
        <f>365*R401*Q401*S401/1000000</f>
        <v/>
      </c>
      <c r="U401" s="8">
        <f>I401/T401</f>
        <v/>
      </c>
      <c r="V401" s="8">
        <f>SUMIF($E$2:$E$599,E401,$I$2:$I$599)/SUMIF($E$2:$E$599,E401,$T$2:$T$599)</f>
        <v/>
      </c>
      <c r="W401" s="8">
        <f>V401+1.645*SQRT(V401/T401)+1/(2*T401)</f>
        <v/>
      </c>
      <c r="X401" s="5">
        <f>U401/W401</f>
        <v/>
      </c>
      <c r="Y401">
        <f>IF(U401&gt;W401,"high",IF(U401&gt;V401,"medium","low"))</f>
        <v/>
      </c>
      <c r="Z401">
        <f>CHOOSE(MAX(IF(M401="high",2,IF(M401="medium",1,0)),IF(Y401="high",2,IF(Y401="medium",1,0)))+1,"low","medium","high")</f>
        <v/>
      </c>
      <c r="AA401">
        <f>IF(IF(M401="high",2,IF(M401="medium",1,0))=IF(Y401="high",2,IF(Y401="medium",1,0)),"SI และ Rate เท่ากัน",IF(IF(M401="high",2,IF(M401="medium",1,0))&gt;IF(Y401="high",2,IF(Y401="medium",1,0)),"SI","Rate"))</f>
        <v/>
      </c>
    </row>
    <row r="402">
      <c r="A402" t="inlineStr">
        <is>
          <t>zone_167</t>
        </is>
      </c>
      <c r="B402" t="inlineStr">
        <is>
          <t>แยกเข้ามีนบุรี - คลองหลวงแพ่ง</t>
        </is>
      </c>
      <c r="C402" t="inlineStr">
        <is>
          <t>กรุงเทพมหานคร</t>
        </is>
      </c>
      <c r="D402" t="inlineStr">
        <is>
          <t>304</t>
        </is>
      </c>
      <c r="E402" t="inlineStr">
        <is>
          <t>ทล.</t>
        </is>
      </c>
      <c r="F402" t="inlineStr">
        <is>
          <t>47.206–47.5</t>
        </is>
      </c>
      <c r="G402" t="inlineStr">
        <is>
          <t>station_id 2 (ทล.304 กม.28+250)</t>
        </is>
      </c>
      <c r="H402" t="inlineStr">
        <is>
          <t>ทล. สถานีตัวแทนตอนควบคุม</t>
        </is>
      </c>
      <c r="I402" t="n">
        <v>4</v>
      </c>
      <c r="J402" t="n">
        <v>0</v>
      </c>
      <c r="K402" t="n">
        <v>0</v>
      </c>
      <c r="L402" s="5" t="n">
        <v>0</v>
      </c>
      <c r="M402" t="inlineStr">
        <is>
          <t>low</t>
        </is>
      </c>
      <c r="N402" s="6" t="n">
        <v>51653</v>
      </c>
      <c r="O402" s="6" t="n">
        <v>53216</v>
      </c>
      <c r="P402" s="6" t="n">
        <v>78286</v>
      </c>
      <c r="Q402" s="6">
        <f>AVERAGE(N402:P402)</f>
        <v/>
      </c>
      <c r="R402" t="n">
        <v>3</v>
      </c>
      <c r="S402" t="n">
        <v>1</v>
      </c>
      <c r="T402" s="7">
        <f>365*R402*Q402*S402/1000000</f>
        <v/>
      </c>
      <c r="U402" s="8">
        <f>I402/T402</f>
        <v/>
      </c>
      <c r="V402" s="8">
        <f>SUMIF($E$2:$E$599,E402,$I$2:$I$599)/SUMIF($E$2:$E$599,E402,$T$2:$T$599)</f>
        <v/>
      </c>
      <c r="W402" s="8">
        <f>V402+1.645*SQRT(V402/T402)+1/(2*T402)</f>
        <v/>
      </c>
      <c r="X402" s="5">
        <f>U402/W402</f>
        <v/>
      </c>
      <c r="Y402">
        <f>IF(U402&gt;W402,"high",IF(U402&gt;V402,"medium","low"))</f>
        <v/>
      </c>
      <c r="Z402">
        <f>CHOOSE(MAX(IF(M402="high",2,IF(M402="medium",1,0)),IF(Y402="high",2,IF(Y402="medium",1,0)))+1,"low","medium","high")</f>
        <v/>
      </c>
      <c r="AA402">
        <f>IF(IF(M402="high",2,IF(M402="medium",1,0))=IF(Y402="high",2,IF(Y402="medium",1,0)),"SI และ Rate เท่ากัน",IF(IF(M402="high",2,IF(M402="medium",1,0))&gt;IF(Y402="high",2,IF(Y402="medium",1,0)),"SI","Rate"))</f>
        <v/>
      </c>
    </row>
    <row r="403">
      <c r="A403" t="inlineStr">
        <is>
          <t>zone_253</t>
        </is>
      </c>
      <c r="B403" t="inlineStr">
        <is>
          <t>แยกเข้ามีนบุรี - คลองหลวงแพ่ง</t>
        </is>
      </c>
      <c r="C403" t="inlineStr">
        <is>
          <t>กรุงเทพมหานคร</t>
        </is>
      </c>
      <c r="D403" t="inlineStr">
        <is>
          <t>304</t>
        </is>
      </c>
      <c r="E403" t="inlineStr">
        <is>
          <t>ทล.</t>
        </is>
      </c>
      <c r="F403" t="inlineStr">
        <is>
          <t>27–27.118</t>
        </is>
      </c>
      <c r="G403" t="inlineStr">
        <is>
          <t>station_id 2 (ทล.304 กม.28+250)</t>
        </is>
      </c>
      <c r="H403" t="inlineStr">
        <is>
          <t>ทล. สถานีตัวแทนตอนควบคุม</t>
        </is>
      </c>
      <c r="I403" t="n">
        <v>4</v>
      </c>
      <c r="J403" t="n">
        <v>0</v>
      </c>
      <c r="K403" t="n">
        <v>2</v>
      </c>
      <c r="L403" s="5" t="n">
        <v>0.5</v>
      </c>
      <c r="M403" t="inlineStr">
        <is>
          <t>low</t>
        </is>
      </c>
      <c r="N403" s="6" t="n">
        <v>51653</v>
      </c>
      <c r="O403" s="6" t="n">
        <v>53216</v>
      </c>
      <c r="P403" s="6" t="n">
        <v>78286</v>
      </c>
      <c r="Q403" s="6">
        <f>AVERAGE(N403:P403)</f>
        <v/>
      </c>
      <c r="R403" t="n">
        <v>3</v>
      </c>
      <c r="S403" t="n">
        <v>1</v>
      </c>
      <c r="T403" s="7">
        <f>365*R403*Q403*S403/1000000</f>
        <v/>
      </c>
      <c r="U403" s="8">
        <f>I403/T403</f>
        <v/>
      </c>
      <c r="V403" s="8">
        <f>SUMIF($E$2:$E$599,E403,$I$2:$I$599)/SUMIF($E$2:$E$599,E403,$T$2:$T$599)</f>
        <v/>
      </c>
      <c r="W403" s="8">
        <f>V403+1.645*SQRT(V403/T403)+1/(2*T403)</f>
        <v/>
      </c>
      <c r="X403" s="5">
        <f>U403/W403</f>
        <v/>
      </c>
      <c r="Y403">
        <f>IF(U403&gt;W403,"high",IF(U403&gt;V403,"medium","low"))</f>
        <v/>
      </c>
      <c r="Z403">
        <f>CHOOSE(MAX(IF(M403="high",2,IF(M403="medium",1,0)),IF(Y403="high",2,IF(Y403="medium",1,0)))+1,"low","medium","high")</f>
        <v/>
      </c>
      <c r="AA403">
        <f>IF(IF(M403="high",2,IF(M403="medium",1,0))=IF(Y403="high",2,IF(Y403="medium",1,0)),"SI และ Rate เท่ากัน",IF(IF(M403="high",2,IF(M403="medium",1,0))&gt;IF(Y403="high",2,IF(Y403="medium",1,0)),"SI","Rate"))</f>
        <v/>
      </c>
    </row>
    <row r="404">
      <c r="A404" t="inlineStr">
        <is>
          <t>zone_277</t>
        </is>
      </c>
      <c r="B404" t="inlineStr">
        <is>
          <t>แยกเข้ามีนบุรี - คลองหลวงแพ่ง</t>
        </is>
      </c>
      <c r="C404" t="inlineStr">
        <is>
          <t>กรุงเทพมหานคร</t>
        </is>
      </c>
      <c r="D404" t="inlineStr">
        <is>
          <t>304</t>
        </is>
      </c>
      <c r="E404" t="inlineStr">
        <is>
          <t>ทล.</t>
        </is>
      </c>
      <c r="F404" t="inlineStr">
        <is>
          <t>39.09–39.15</t>
        </is>
      </c>
      <c r="G404" t="inlineStr">
        <is>
          <t>station_id 2 (ทล.304 กม.28+250)</t>
        </is>
      </c>
      <c r="H404" t="inlineStr">
        <is>
          <t>ทล. สถานีตัวแทนตอนควบคุม</t>
        </is>
      </c>
      <c r="I404" t="n">
        <v>4</v>
      </c>
      <c r="J404" t="n">
        <v>0</v>
      </c>
      <c r="K404" t="n">
        <v>0</v>
      </c>
      <c r="L404" s="5" t="n">
        <v>0</v>
      </c>
      <c r="M404" t="inlineStr">
        <is>
          <t>low</t>
        </is>
      </c>
      <c r="N404" s="6" t="n">
        <v>51653</v>
      </c>
      <c r="O404" s="6" t="n">
        <v>53216</v>
      </c>
      <c r="P404" s="6" t="n">
        <v>78286</v>
      </c>
      <c r="Q404" s="6">
        <f>AVERAGE(N404:P404)</f>
        <v/>
      </c>
      <c r="R404" t="n">
        <v>3</v>
      </c>
      <c r="S404" t="n">
        <v>1</v>
      </c>
      <c r="T404" s="7">
        <f>365*R404*Q404*S404/1000000</f>
        <v/>
      </c>
      <c r="U404" s="8">
        <f>I404/T404</f>
        <v/>
      </c>
      <c r="V404" s="8">
        <f>SUMIF($E$2:$E$599,E404,$I$2:$I$599)/SUMIF($E$2:$E$599,E404,$T$2:$T$599)</f>
        <v/>
      </c>
      <c r="W404" s="8">
        <f>V404+1.645*SQRT(V404/T404)+1/(2*T404)</f>
        <v/>
      </c>
      <c r="X404" s="5">
        <f>U404/W404</f>
        <v/>
      </c>
      <c r="Y404">
        <f>IF(U404&gt;W404,"high",IF(U404&gt;V404,"medium","low"))</f>
        <v/>
      </c>
      <c r="Z404">
        <f>CHOOSE(MAX(IF(M404="high",2,IF(M404="medium",1,0)),IF(Y404="high",2,IF(Y404="medium",1,0)))+1,"low","medium","high")</f>
        <v/>
      </c>
      <c r="AA404">
        <f>IF(IF(M404="high",2,IF(M404="medium",1,0))=IF(Y404="high",2,IF(Y404="medium",1,0)),"SI และ Rate เท่ากัน",IF(IF(M404="high",2,IF(M404="medium",1,0))&gt;IF(Y404="high",2,IF(Y404="medium",1,0)),"SI","Rate"))</f>
        <v/>
      </c>
    </row>
    <row r="405">
      <c r="A405" t="inlineStr">
        <is>
          <t>zone_287</t>
        </is>
      </c>
      <c r="B405" t="inlineStr">
        <is>
          <t>แยกเข้ามีนบุรี - คลองหลวงแพ่ง</t>
        </is>
      </c>
      <c r="C405" t="inlineStr">
        <is>
          <t>กรุงเทพมหานคร</t>
        </is>
      </c>
      <c r="D405" t="inlineStr">
        <is>
          <t>304</t>
        </is>
      </c>
      <c r="E405" t="inlineStr">
        <is>
          <t>ทล.</t>
        </is>
      </c>
      <c r="F405" t="inlineStr">
        <is>
          <t>37.5–37.8</t>
        </is>
      </c>
      <c r="G405" t="inlineStr">
        <is>
          <t>station_id 2 (ทล.304 กม.28+250)</t>
        </is>
      </c>
      <c r="H405" t="inlineStr">
        <is>
          <t>ทล. สถานีตัวแทนตอนควบคุม</t>
        </is>
      </c>
      <c r="I405" t="n">
        <v>4</v>
      </c>
      <c r="J405" t="n">
        <v>1</v>
      </c>
      <c r="K405" t="n">
        <v>1</v>
      </c>
      <c r="L405" s="5" t="n">
        <v>0.5</v>
      </c>
      <c r="M405" t="inlineStr">
        <is>
          <t>low</t>
        </is>
      </c>
      <c r="N405" s="6" t="n">
        <v>51653</v>
      </c>
      <c r="O405" s="6" t="n">
        <v>53216</v>
      </c>
      <c r="P405" s="6" t="n">
        <v>78286</v>
      </c>
      <c r="Q405" s="6">
        <f>AVERAGE(N405:P405)</f>
        <v/>
      </c>
      <c r="R405" t="n">
        <v>3</v>
      </c>
      <c r="S405" t="n">
        <v>1</v>
      </c>
      <c r="T405" s="7">
        <f>365*R405*Q405*S405/1000000</f>
        <v/>
      </c>
      <c r="U405" s="8">
        <f>I405/T405</f>
        <v/>
      </c>
      <c r="V405" s="8">
        <f>SUMIF($E$2:$E$599,E405,$I$2:$I$599)/SUMIF($E$2:$E$599,E405,$T$2:$T$599)</f>
        <v/>
      </c>
      <c r="W405" s="8">
        <f>V405+1.645*SQRT(V405/T405)+1/(2*T405)</f>
        <v/>
      </c>
      <c r="X405" s="5">
        <f>U405/W405</f>
        <v/>
      </c>
      <c r="Y405">
        <f>IF(U405&gt;W405,"high",IF(U405&gt;V405,"medium","low"))</f>
        <v/>
      </c>
      <c r="Z405">
        <f>CHOOSE(MAX(IF(M405="high",2,IF(M405="medium",1,0)),IF(Y405="high",2,IF(Y405="medium",1,0)))+1,"low","medium","high")</f>
        <v/>
      </c>
      <c r="AA405">
        <f>IF(IF(M405="high",2,IF(M405="medium",1,0))=IF(Y405="high",2,IF(Y405="medium",1,0)),"SI และ Rate เท่ากัน",IF(IF(M405="high",2,IF(M405="medium",1,0))&gt;IF(Y405="high",2,IF(Y405="medium",1,0)),"SI","Rate"))</f>
        <v/>
      </c>
    </row>
    <row r="406">
      <c r="A406" t="inlineStr">
        <is>
          <t>zone_373</t>
        </is>
      </c>
      <c r="B406" t="inlineStr">
        <is>
          <t>ดอนตูม - ลำลูกบัว</t>
        </is>
      </c>
      <c r="C406" t="inlineStr">
        <is>
          <t>นครปฐม</t>
        </is>
      </c>
      <c r="D406" t="inlineStr">
        <is>
          <t>375</t>
        </is>
      </c>
      <c r="E406" t="inlineStr">
        <is>
          <t>ทล.</t>
        </is>
      </c>
      <c r="F406" t="inlineStr">
        <is>
          <t>8.22–59.08</t>
        </is>
      </c>
      <c r="G406" t="inlineStr">
        <is>
          <t>station_id 1973 (ทล.375 กม.16+521)</t>
        </is>
      </c>
      <c r="H406" t="inlineStr">
        <is>
          <t>ทล. สถานีตัวแทนตอนควบคุม</t>
        </is>
      </c>
      <c r="I406" t="n">
        <v>3</v>
      </c>
      <c r="J406" t="n">
        <v>0</v>
      </c>
      <c r="K406" t="n">
        <v>0</v>
      </c>
      <c r="L406" s="5" t="n">
        <v>0</v>
      </c>
      <c r="M406" t="inlineStr">
        <is>
          <t>low</t>
        </is>
      </c>
      <c r="N406" s="6" t="n">
        <v>42414</v>
      </c>
      <c r="O406" s="6" t="n">
        <v>42972</v>
      </c>
      <c r="P406" s="6" t="n">
        <v>42129</v>
      </c>
      <c r="Q406" s="6">
        <f>AVERAGE(N406:P406)</f>
        <v/>
      </c>
      <c r="R406" t="n">
        <v>3</v>
      </c>
      <c r="S406" t="n">
        <v>1</v>
      </c>
      <c r="T406" s="7">
        <f>365*R406*Q406*S406/1000000</f>
        <v/>
      </c>
      <c r="U406" s="8">
        <f>I406/T406</f>
        <v/>
      </c>
      <c r="V406" s="8">
        <f>SUMIF($E$2:$E$599,E406,$I$2:$I$599)/SUMIF($E$2:$E$599,E406,$T$2:$T$599)</f>
        <v/>
      </c>
      <c r="W406" s="8">
        <f>V406+1.645*SQRT(V406/T406)+1/(2*T406)</f>
        <v/>
      </c>
      <c r="X406" s="5">
        <f>U406/W406</f>
        <v/>
      </c>
      <c r="Y406">
        <f>IF(U406&gt;W406,"high",IF(U406&gt;V406,"medium","low"))</f>
        <v/>
      </c>
      <c r="Z406">
        <f>CHOOSE(MAX(IF(M406="high",2,IF(M406="medium",1,0)),IF(Y406="high",2,IF(Y406="medium",1,0)))+1,"low","medium","high")</f>
        <v/>
      </c>
      <c r="AA406">
        <f>IF(IF(M406="high",2,IF(M406="medium",1,0))=IF(Y406="high",2,IF(Y406="medium",1,0)),"SI และ Rate เท่ากัน",IF(IF(M406="high",2,IF(M406="medium",1,0))&gt;IF(Y406="high",2,IF(Y406="medium",1,0)),"SI","Rate"))</f>
        <v/>
      </c>
    </row>
    <row r="407">
      <c r="A407" t="inlineStr">
        <is>
          <t>zone_621</t>
        </is>
      </c>
      <c r="B407" t="inlineStr">
        <is>
          <t>บ้านบ่อ - พระประโทน</t>
        </is>
      </c>
      <c r="C407" t="inlineStr">
        <is>
          <t>สมุทรสาคร</t>
        </is>
      </c>
      <c r="D407" t="inlineStr">
        <is>
          <t>375</t>
        </is>
      </c>
      <c r="E407" t="inlineStr">
        <is>
          <t>ทล.</t>
        </is>
      </c>
      <c r="F407" t="inlineStr">
        <is>
          <t>16.982–17.16</t>
        </is>
      </c>
      <c r="G407" t="inlineStr">
        <is>
          <t>station_id 1973 (ทล.375 กม.16+521)</t>
        </is>
      </c>
      <c r="H407" t="inlineStr">
        <is>
          <t>ทล. สถานีตัวแทนตอนควบคุม</t>
        </is>
      </c>
      <c r="I407" t="n">
        <v>3</v>
      </c>
      <c r="J407" t="n">
        <v>0</v>
      </c>
      <c r="K407" t="n">
        <v>1</v>
      </c>
      <c r="L407" s="5" t="n">
        <v>0.3333</v>
      </c>
      <c r="M407" t="inlineStr">
        <is>
          <t>low</t>
        </is>
      </c>
      <c r="N407" s="6" t="n">
        <v>42414</v>
      </c>
      <c r="O407" s="6" t="n">
        <v>42972</v>
      </c>
      <c r="P407" s="6" t="n">
        <v>42129</v>
      </c>
      <c r="Q407" s="6">
        <f>AVERAGE(N407:P407)</f>
        <v/>
      </c>
      <c r="R407" t="n">
        <v>3</v>
      </c>
      <c r="S407" t="n">
        <v>1</v>
      </c>
      <c r="T407" s="7">
        <f>365*R407*Q407*S407/1000000</f>
        <v/>
      </c>
      <c r="U407" s="8">
        <f>I407/T407</f>
        <v/>
      </c>
      <c r="V407" s="8">
        <f>SUMIF($E$2:$E$599,E407,$I$2:$I$599)/SUMIF($E$2:$E$599,E407,$T$2:$T$599)</f>
        <v/>
      </c>
      <c r="W407" s="8">
        <f>V407+1.645*SQRT(V407/T407)+1/(2*T407)</f>
        <v/>
      </c>
      <c r="X407" s="5">
        <f>U407/W407</f>
        <v/>
      </c>
      <c r="Y407">
        <f>IF(U407&gt;W407,"high",IF(U407&gt;V407,"medium","low"))</f>
        <v/>
      </c>
      <c r="Z407">
        <f>CHOOSE(MAX(IF(M407="high",2,IF(M407="medium",1,0)),IF(Y407="high",2,IF(Y407="medium",1,0)))+1,"low","medium","high")</f>
        <v/>
      </c>
      <c r="AA407">
        <f>IF(IF(M407="high",2,IF(M407="medium",1,0))=IF(Y407="high",2,IF(Y407="medium",1,0)),"SI และ Rate เท่ากัน",IF(IF(M407="high",2,IF(M407="medium",1,0))&gt;IF(Y407="high",2,IF(Y407="medium",1,0)),"SI","Rate"))</f>
        <v/>
      </c>
    </row>
    <row r="408">
      <c r="A408" t="inlineStr">
        <is>
          <t>zone_622</t>
        </is>
      </c>
      <c r="B408" t="inlineStr">
        <is>
          <t>บ้านบ่อ - พระประโทน</t>
        </is>
      </c>
      <c r="C408" t="inlineStr">
        <is>
          <t>สมุทรสาคร</t>
        </is>
      </c>
      <c r="D408" t="inlineStr">
        <is>
          <t>375</t>
        </is>
      </c>
      <c r="E408" t="inlineStr">
        <is>
          <t>ทล.</t>
        </is>
      </c>
      <c r="F408" t="inlineStr">
        <is>
          <t>0.615–0.885</t>
        </is>
      </c>
      <c r="G408" t="inlineStr">
        <is>
          <t>station_id 1973 (ทล.375 กม.16+521)</t>
        </is>
      </c>
      <c r="H408" t="inlineStr">
        <is>
          <t>ทล. สถานีตัวแทนตอนควบคุม</t>
        </is>
      </c>
      <c r="I408" t="n">
        <v>3</v>
      </c>
      <c r="J408" t="n">
        <v>0</v>
      </c>
      <c r="K408" t="n">
        <v>0</v>
      </c>
      <c r="L408" s="5" t="n">
        <v>0</v>
      </c>
      <c r="M408" t="inlineStr">
        <is>
          <t>low</t>
        </is>
      </c>
      <c r="N408" s="6" t="n">
        <v>42414</v>
      </c>
      <c r="O408" s="6" t="n">
        <v>42972</v>
      </c>
      <c r="P408" s="6" t="n">
        <v>42129</v>
      </c>
      <c r="Q408" s="6">
        <f>AVERAGE(N408:P408)</f>
        <v/>
      </c>
      <c r="R408" t="n">
        <v>3</v>
      </c>
      <c r="S408" t="n">
        <v>1</v>
      </c>
      <c r="T408" s="7">
        <f>365*R408*Q408*S408/1000000</f>
        <v/>
      </c>
      <c r="U408" s="8">
        <f>I408/T408</f>
        <v/>
      </c>
      <c r="V408" s="8">
        <f>SUMIF($E$2:$E$599,E408,$I$2:$I$599)/SUMIF($E$2:$E$599,E408,$T$2:$T$599)</f>
        <v/>
      </c>
      <c r="W408" s="8">
        <f>V408+1.645*SQRT(V408/T408)+1/(2*T408)</f>
        <v/>
      </c>
      <c r="X408" s="5">
        <f>U408/W408</f>
        <v/>
      </c>
      <c r="Y408">
        <f>IF(U408&gt;W408,"high",IF(U408&gt;V408,"medium","low"))</f>
        <v/>
      </c>
      <c r="Z408">
        <f>CHOOSE(MAX(IF(M408="high",2,IF(M408="medium",1,0)),IF(Y408="high",2,IF(Y408="medium",1,0)))+1,"low","medium","high")</f>
        <v/>
      </c>
      <c r="AA408">
        <f>IF(IF(M408="high",2,IF(M408="medium",1,0))=IF(Y408="high",2,IF(Y408="medium",1,0)),"SI และ Rate เท่ากัน",IF(IF(M408="high",2,IF(M408="medium",1,0))&gt;IF(Y408="high",2,IF(Y408="medium",1,0)),"SI","Rate"))</f>
        <v/>
      </c>
    </row>
    <row r="409">
      <c r="A409" t="inlineStr">
        <is>
          <t>zone_590</t>
        </is>
      </c>
      <c r="B409" t="inlineStr">
        <is>
          <t>สะพานข้ามแม่น้ำท่าจีนฝั่งตะวันตก - นาโคก</t>
        </is>
      </c>
      <c r="C409" t="inlineStr">
        <is>
          <t>สมุทรสาคร</t>
        </is>
      </c>
      <c r="D409" t="inlineStr">
        <is>
          <t>35</t>
        </is>
      </c>
      <c r="E409" t="inlineStr">
        <is>
          <t>ทล.</t>
        </is>
      </c>
      <c r="F409" t="inlineStr">
        <is>
          <t>43.49–43.75</t>
        </is>
      </c>
      <c r="G409" t="inlineStr">
        <is>
          <t>station_id 59 (ทล.35 กม.30+700)</t>
        </is>
      </c>
      <c r="H409" t="inlineStr">
        <is>
          <t>ทล. สถานีตัวแทนตอนควบคุม</t>
        </is>
      </c>
      <c r="I409" t="n">
        <v>8</v>
      </c>
      <c r="J409" t="n">
        <v>2</v>
      </c>
      <c r="K409" t="n">
        <v>2</v>
      </c>
      <c r="L409" s="5" t="n">
        <v>0.5</v>
      </c>
      <c r="M409" t="inlineStr">
        <is>
          <t>low</t>
        </is>
      </c>
      <c r="N409" s="6" t="n">
        <v>134343</v>
      </c>
      <c r="O409" s="6" t="n">
        <v>149180</v>
      </c>
      <c r="P409" s="6" t="n">
        <v>149785</v>
      </c>
      <c r="Q409" s="6">
        <f>AVERAGE(N409:P409)</f>
        <v/>
      </c>
      <c r="R409" t="n">
        <v>3</v>
      </c>
      <c r="S409" t="n">
        <v>1</v>
      </c>
      <c r="T409" s="7">
        <f>365*R409*Q409*S409/1000000</f>
        <v/>
      </c>
      <c r="U409" s="8">
        <f>I409/T409</f>
        <v/>
      </c>
      <c r="V409" s="8">
        <f>SUMIF($E$2:$E$599,E409,$I$2:$I$599)/SUMIF($E$2:$E$599,E409,$T$2:$T$599)</f>
        <v/>
      </c>
      <c r="W409" s="8">
        <f>V409+1.645*SQRT(V409/T409)+1/(2*T409)</f>
        <v/>
      </c>
      <c r="X409" s="5">
        <f>U409/W409</f>
        <v/>
      </c>
      <c r="Y409">
        <f>IF(U409&gt;W409,"high",IF(U409&gt;V409,"medium","low"))</f>
        <v/>
      </c>
      <c r="Z409">
        <f>CHOOSE(MAX(IF(M409="high",2,IF(M409="medium",1,0)),IF(Y409="high",2,IF(Y409="medium",1,0)))+1,"low","medium","high")</f>
        <v/>
      </c>
      <c r="AA409">
        <f>IF(IF(M409="high",2,IF(M409="medium",1,0))=IF(Y409="high",2,IF(Y409="medium",1,0)),"SI และ Rate เท่ากัน",IF(IF(M409="high",2,IF(M409="medium",1,0))&gt;IF(Y409="high",2,IF(Y409="medium",1,0)),"SI","Rate"))</f>
        <v/>
      </c>
    </row>
    <row r="410">
      <c r="A410" t="inlineStr">
        <is>
          <t>zone_11</t>
        </is>
      </c>
      <c r="B410" t="inlineStr">
        <is>
          <t>อรุณอมรินทร์ - พุทธมณฑลสาย 4</t>
        </is>
      </c>
      <c r="C410" t="inlineStr">
        <is>
          <t>กรุงเทพมหานคร</t>
        </is>
      </c>
      <c r="D410" t="inlineStr">
        <is>
          <t>338</t>
        </is>
      </c>
      <c r="E410" t="inlineStr">
        <is>
          <t>ทล.</t>
        </is>
      </c>
      <c r="F410" t="inlineStr">
        <is>
          <t>13.29–13.45</t>
        </is>
      </c>
      <c r="G410" t="inlineStr">
        <is>
          <t>station_id 125 (ทล.338 กม.9+281)</t>
        </is>
      </c>
      <c r="H410" t="inlineStr">
        <is>
          <t>ทล. สถานีตัวแทนตอนควบคุม</t>
        </is>
      </c>
      <c r="I410" t="n">
        <v>8</v>
      </c>
      <c r="J410" t="n">
        <v>0</v>
      </c>
      <c r="K410" t="n">
        <v>1</v>
      </c>
      <c r="L410" s="5" t="n">
        <v>0.125</v>
      </c>
      <c r="M410" t="inlineStr">
        <is>
          <t>low</t>
        </is>
      </c>
      <c r="N410" s="6" t="n">
        <v>143761</v>
      </c>
      <c r="O410" s="6" t="n">
        <v>146988</v>
      </c>
      <c r="P410" s="6" t="n">
        <v>145895</v>
      </c>
      <c r="Q410" s="6">
        <f>AVERAGE(N410:P410)</f>
        <v/>
      </c>
      <c r="R410" t="n">
        <v>3</v>
      </c>
      <c r="S410" t="n">
        <v>1</v>
      </c>
      <c r="T410" s="7">
        <f>365*R410*Q410*S410/1000000</f>
        <v/>
      </c>
      <c r="U410" s="8">
        <f>I410/T410</f>
        <v/>
      </c>
      <c r="V410" s="8">
        <f>SUMIF($E$2:$E$599,E410,$I$2:$I$599)/SUMIF($E$2:$E$599,E410,$T$2:$T$599)</f>
        <v/>
      </c>
      <c r="W410" s="8">
        <f>V410+1.645*SQRT(V410/T410)+1/(2*T410)</f>
        <v/>
      </c>
      <c r="X410" s="5">
        <f>U410/W410</f>
        <v/>
      </c>
      <c r="Y410">
        <f>IF(U410&gt;W410,"high",IF(U410&gt;V410,"medium","low"))</f>
        <v/>
      </c>
      <c r="Z410">
        <f>CHOOSE(MAX(IF(M410="high",2,IF(M410="medium",1,0)),IF(Y410="high",2,IF(Y410="medium",1,0)))+1,"low","medium","high")</f>
        <v/>
      </c>
      <c r="AA410">
        <f>IF(IF(M410="high",2,IF(M410="medium",1,0))=IF(Y410="high",2,IF(Y410="medium",1,0)),"SI และ Rate เท่ากัน",IF(IF(M410="high",2,IF(M410="medium",1,0))&gt;IF(Y410="high",2,IF(Y410="medium",1,0)),"SI","Rate"))</f>
        <v/>
      </c>
    </row>
    <row r="411">
      <c r="A411" t="inlineStr">
        <is>
          <t>zone_14</t>
        </is>
      </c>
      <c r="B411" t="inlineStr">
        <is>
          <t>อรุณอมรินทร์ - พุทธมณฑลสาย 4</t>
        </is>
      </c>
      <c r="C411" t="inlineStr">
        <is>
          <t>กรุงเทพมหานคร</t>
        </is>
      </c>
      <c r="D411" t="inlineStr">
        <is>
          <t>338</t>
        </is>
      </c>
      <c r="E411" t="inlineStr">
        <is>
          <t>ทล.</t>
        </is>
      </c>
      <c r="F411" t="inlineStr">
        <is>
          <t>3.58–3.9</t>
        </is>
      </c>
      <c r="G411" t="inlineStr">
        <is>
          <t>station_id 125 (ทล.338 กม.9+281)</t>
        </is>
      </c>
      <c r="H411" t="inlineStr">
        <is>
          <t>ทล. สถานีตัวแทนตอนควบคุม</t>
        </is>
      </c>
      <c r="I411" t="n">
        <v>8</v>
      </c>
      <c r="J411" t="n">
        <v>0</v>
      </c>
      <c r="K411" t="n">
        <v>2</v>
      </c>
      <c r="L411" s="5" t="n">
        <v>0.25</v>
      </c>
      <c r="M411" t="inlineStr">
        <is>
          <t>low</t>
        </is>
      </c>
      <c r="N411" s="6" t="n">
        <v>143761</v>
      </c>
      <c r="O411" s="6" t="n">
        <v>146988</v>
      </c>
      <c r="P411" s="6" t="n">
        <v>145895</v>
      </c>
      <c r="Q411" s="6">
        <f>AVERAGE(N411:P411)</f>
        <v/>
      </c>
      <c r="R411" t="n">
        <v>3</v>
      </c>
      <c r="S411" t="n">
        <v>1</v>
      </c>
      <c r="T411" s="7">
        <f>365*R411*Q411*S411/1000000</f>
        <v/>
      </c>
      <c r="U411" s="8">
        <f>I411/T411</f>
        <v/>
      </c>
      <c r="V411" s="8">
        <f>SUMIF($E$2:$E$599,E411,$I$2:$I$599)/SUMIF($E$2:$E$599,E411,$T$2:$T$599)</f>
        <v/>
      </c>
      <c r="W411" s="8">
        <f>V411+1.645*SQRT(V411/T411)+1/(2*T411)</f>
        <v/>
      </c>
      <c r="X411" s="5">
        <f>U411/W411</f>
        <v/>
      </c>
      <c r="Y411">
        <f>IF(U411&gt;W411,"high",IF(U411&gt;V411,"medium","low"))</f>
        <v/>
      </c>
      <c r="Z411">
        <f>CHOOSE(MAX(IF(M411="high",2,IF(M411="medium",1,0)),IF(Y411="high",2,IF(Y411="medium",1,0)))+1,"low","medium","high")</f>
        <v/>
      </c>
      <c r="AA411">
        <f>IF(IF(M411="high",2,IF(M411="medium",1,0))=IF(Y411="high",2,IF(Y411="medium",1,0)),"SI และ Rate เท่ากัน",IF(IF(M411="high",2,IF(M411="medium",1,0))&gt;IF(Y411="high",2,IF(Y411="medium",1,0)),"SI","Rate"))</f>
        <v/>
      </c>
    </row>
    <row r="412">
      <c r="A412" t="inlineStr">
        <is>
          <t>zone_330</t>
        </is>
      </c>
      <c r="B412" t="inlineStr">
        <is>
          <t>แคราย - คลองบ้านใหม่</t>
        </is>
      </c>
      <c r="C412" t="inlineStr">
        <is>
          <t>นนทบุรี</t>
        </is>
      </c>
      <c r="D412" t="inlineStr">
        <is>
          <t>306</t>
        </is>
      </c>
      <c r="E412" t="inlineStr">
        <is>
          <t>ทล.</t>
        </is>
      </c>
      <c r="F412" t="inlineStr">
        <is>
          <t>17–17.3</t>
        </is>
      </c>
      <c r="G412" t="inlineStr">
        <is>
          <t>station_id 111 (ทล.306 กม.19+390)</t>
        </is>
      </c>
      <c r="H412" t="inlineStr">
        <is>
          <t>ทล. สถานีตัวแทนตอนควบคุม</t>
        </is>
      </c>
      <c r="I412" t="n">
        <v>3</v>
      </c>
      <c r="J412" t="n">
        <v>1</v>
      </c>
      <c r="K412" t="n">
        <v>0</v>
      </c>
      <c r="L412" s="5" t="n">
        <v>0.3333</v>
      </c>
      <c r="M412" t="inlineStr">
        <is>
          <t>low</t>
        </is>
      </c>
      <c r="N412" s="6" t="n">
        <v>44519</v>
      </c>
      <c r="O412" s="6" t="n">
        <v>44382</v>
      </c>
      <c r="P412" s="6" t="n">
        <v>43007</v>
      </c>
      <c r="Q412" s="6">
        <f>AVERAGE(N412:P412)</f>
        <v/>
      </c>
      <c r="R412" t="n">
        <v>3</v>
      </c>
      <c r="S412" t="n">
        <v>1</v>
      </c>
      <c r="T412" s="7">
        <f>365*R412*Q412*S412/1000000</f>
        <v/>
      </c>
      <c r="U412" s="8">
        <f>I412/T412</f>
        <v/>
      </c>
      <c r="V412" s="8">
        <f>SUMIF($E$2:$E$599,E412,$I$2:$I$599)/SUMIF($E$2:$E$599,E412,$T$2:$T$599)</f>
        <v/>
      </c>
      <c r="W412" s="8">
        <f>V412+1.645*SQRT(V412/T412)+1/(2*T412)</f>
        <v/>
      </c>
      <c r="X412" s="5">
        <f>U412/W412</f>
        <v/>
      </c>
      <c r="Y412">
        <f>IF(U412&gt;W412,"high",IF(U412&gt;V412,"medium","low"))</f>
        <v/>
      </c>
      <c r="Z412">
        <f>CHOOSE(MAX(IF(M412="high",2,IF(M412="medium",1,0)),IF(Y412="high",2,IF(Y412="medium",1,0)))+1,"low","medium","high")</f>
        <v/>
      </c>
      <c r="AA412">
        <f>IF(IF(M412="high",2,IF(M412="medium",1,0))=IF(Y412="high",2,IF(Y412="medium",1,0)),"SI และ Rate เท่ากัน",IF(IF(M412="high",2,IF(M412="medium",1,0))&gt;IF(Y412="high",2,IF(Y412="medium",1,0)),"SI","Rate"))</f>
        <v/>
      </c>
    </row>
    <row r="413">
      <c r="A413" t="inlineStr">
        <is>
          <t>zone_348</t>
        </is>
      </c>
      <c r="B413" t="inlineStr">
        <is>
          <t>แคราย - คลองบ้านใหม่</t>
        </is>
      </c>
      <c r="C413" t="inlineStr">
        <is>
          <t>นนทบุรี</t>
        </is>
      </c>
      <c r="D413" t="inlineStr">
        <is>
          <t>306</t>
        </is>
      </c>
      <c r="E413" t="inlineStr">
        <is>
          <t>ทล.</t>
        </is>
      </c>
      <c r="F413" t="inlineStr">
        <is>
          <t>14.54–14.99</t>
        </is>
      </c>
      <c r="G413" t="inlineStr">
        <is>
          <t>station_id 111 (ทล.306 กม.19+390)</t>
        </is>
      </c>
      <c r="H413" t="inlineStr">
        <is>
          <t>ทล. สถานีตัวแทนตอนควบคุม</t>
        </is>
      </c>
      <c r="I413" t="n">
        <v>3</v>
      </c>
      <c r="J413" t="n">
        <v>0</v>
      </c>
      <c r="K413" t="n">
        <v>1</v>
      </c>
      <c r="L413" s="5" t="n">
        <v>0.3333</v>
      </c>
      <c r="M413" t="inlineStr">
        <is>
          <t>low</t>
        </is>
      </c>
      <c r="N413" s="6" t="n">
        <v>44519</v>
      </c>
      <c r="O413" s="6" t="n">
        <v>44382</v>
      </c>
      <c r="P413" s="6" t="n">
        <v>43007</v>
      </c>
      <c r="Q413" s="6">
        <f>AVERAGE(N413:P413)</f>
        <v/>
      </c>
      <c r="R413" t="n">
        <v>3</v>
      </c>
      <c r="S413" t="n">
        <v>1</v>
      </c>
      <c r="T413" s="7">
        <f>365*R413*Q413*S413/1000000</f>
        <v/>
      </c>
      <c r="U413" s="8">
        <f>I413/T413</f>
        <v/>
      </c>
      <c r="V413" s="8">
        <f>SUMIF($E$2:$E$599,E413,$I$2:$I$599)/SUMIF($E$2:$E$599,E413,$T$2:$T$599)</f>
        <v/>
      </c>
      <c r="W413" s="8">
        <f>V413+1.645*SQRT(V413/T413)+1/(2*T413)</f>
        <v/>
      </c>
      <c r="X413" s="5">
        <f>U413/W413</f>
        <v/>
      </c>
      <c r="Y413">
        <f>IF(U413&gt;W413,"high",IF(U413&gt;V413,"medium","low"))</f>
        <v/>
      </c>
      <c r="Z413">
        <f>CHOOSE(MAX(IF(M413="high",2,IF(M413="medium",1,0)),IF(Y413="high",2,IF(Y413="medium",1,0)))+1,"low","medium","high")</f>
        <v/>
      </c>
      <c r="AA413">
        <f>IF(IF(M413="high",2,IF(M413="medium",1,0))=IF(Y413="high",2,IF(Y413="medium",1,0)),"SI และ Rate เท่ากัน",IF(IF(M413="high",2,IF(M413="medium",1,0))&gt;IF(Y413="high",2,IF(Y413="medium",1,0)),"SI","Rate"))</f>
        <v/>
      </c>
    </row>
    <row r="414">
      <c r="A414" t="inlineStr">
        <is>
          <t>zone_307</t>
        </is>
      </c>
      <c r="B414" t="inlineStr">
        <is>
          <t>บางนา-ท่าเรือ</t>
        </is>
      </c>
      <c r="C414" t="inlineStr">
        <is>
          <t>กรุงเทพมหานคร</t>
        </is>
      </c>
      <c r="D414" t="inlineStr">
        <is>
          <t>E001S002|U</t>
        </is>
      </c>
      <c r="E414" t="inlineStr">
        <is>
          <t>กทพ.</t>
        </is>
      </c>
      <c r="F414" t="inlineStr">
        <is>
          <t>11–11</t>
        </is>
      </c>
      <c r="G414" t="inlineStr">
        <is>
          <t>เฉลิมมหานคร</t>
        </is>
      </c>
      <c r="H414" t="inlineStr">
        <is>
          <t>กทพ. ยอดผ่านด่านทั้งสาย ÷ 365</t>
        </is>
      </c>
      <c r="I414" t="n">
        <v>3</v>
      </c>
      <c r="J414" t="n">
        <v>0</v>
      </c>
      <c r="K414" t="n">
        <v>1</v>
      </c>
      <c r="L414" s="5" t="n">
        <v>0.3333</v>
      </c>
      <c r="M414" t="inlineStr">
        <is>
          <t>low</t>
        </is>
      </c>
      <c r="N414" s="6" t="n">
        <v>307323.093150685</v>
      </c>
      <c r="O414" s="6" t="n">
        <v>305804.9945205479</v>
      </c>
      <c r="P414" s="6" t="n">
        <v>304213.8739726027</v>
      </c>
      <c r="Q414" s="6">
        <f>AVERAGE(N414:P414)</f>
        <v/>
      </c>
      <c r="R414" t="n">
        <v>3</v>
      </c>
      <c r="S414" t="n">
        <v>1</v>
      </c>
      <c r="T414" s="7">
        <f>365*R414*Q414*S414/1000000</f>
        <v/>
      </c>
      <c r="U414" s="8">
        <f>I414/T414</f>
        <v/>
      </c>
      <c r="V414" s="8">
        <f>SUMIF($E$2:$E$599,E414,$I$2:$I$599)/SUMIF($E$2:$E$599,E414,$T$2:$T$599)</f>
        <v/>
      </c>
      <c r="W414" s="8">
        <f>V414+1.645*SQRT(V414/T414)+1/(2*T414)</f>
        <v/>
      </c>
      <c r="X414" s="5">
        <f>U414/W414</f>
        <v/>
      </c>
      <c r="Y414">
        <f>IF(U414&gt;W414,"high",IF(U414&gt;V414,"medium","low"))</f>
        <v/>
      </c>
      <c r="Z414">
        <f>CHOOSE(MAX(IF(M414="high",2,IF(M414="medium",1,0)),IF(Y414="high",2,IF(Y414="medium",1,0)))+1,"low","medium","high")</f>
        <v/>
      </c>
      <c r="AA414">
        <f>IF(IF(M414="high",2,IF(M414="medium",1,0))=IF(Y414="high",2,IF(Y414="medium",1,0)),"SI และ Rate เท่ากัน",IF(IF(M414="high",2,IF(M414="medium",1,0))&gt;IF(Y414="high",2,IF(Y414="medium",1,0)),"SI","Rate"))</f>
        <v/>
      </c>
    </row>
    <row r="415">
      <c r="A415" t="inlineStr">
        <is>
          <t>zone_472</t>
        </is>
      </c>
      <c r="B415" t="inlineStr">
        <is>
          <t>ทางเข้าท่าอากาศยานสุวรรณภูมิ - บางวัว</t>
        </is>
      </c>
      <c r="C415" t="inlineStr">
        <is>
          <t>สมุทรปราการ</t>
        </is>
      </c>
      <c r="D415" t="inlineStr">
        <is>
          <t>34</t>
        </is>
      </c>
      <c r="E415" t="inlineStr">
        <is>
          <t>ทล.</t>
        </is>
      </c>
      <c r="F415" t="inlineStr">
        <is>
          <t>32–32.2</t>
        </is>
      </c>
      <c r="G415" t="inlineStr">
        <is>
          <t>station_id 95 (ทล.34 กม.15+100)</t>
        </is>
      </c>
      <c r="H415" t="inlineStr">
        <is>
          <t>ทล. สถานีตัวแทนตอนควบคุม</t>
        </is>
      </c>
      <c r="I415" t="n">
        <v>12</v>
      </c>
      <c r="J415" t="n">
        <v>1</v>
      </c>
      <c r="K415" t="n">
        <v>4</v>
      </c>
      <c r="L415" s="5" t="n">
        <v>0.4167</v>
      </c>
      <c r="M415" t="inlineStr">
        <is>
          <t>low</t>
        </is>
      </c>
      <c r="N415" s="6" t="n">
        <v>226283</v>
      </c>
      <c r="O415" s="6" t="n">
        <v>252612</v>
      </c>
      <c r="P415" s="6" t="n">
        <v>250222</v>
      </c>
      <c r="Q415" s="6">
        <f>AVERAGE(N415:P415)</f>
        <v/>
      </c>
      <c r="R415" t="n">
        <v>3</v>
      </c>
      <c r="S415" t="n">
        <v>1</v>
      </c>
      <c r="T415" s="7">
        <f>365*R415*Q415*S415/1000000</f>
        <v/>
      </c>
      <c r="U415" s="8">
        <f>I415/T415</f>
        <v/>
      </c>
      <c r="V415" s="8">
        <f>SUMIF($E$2:$E$599,E415,$I$2:$I$599)/SUMIF($E$2:$E$599,E415,$T$2:$T$599)</f>
        <v/>
      </c>
      <c r="W415" s="8">
        <f>V415+1.645*SQRT(V415/T415)+1/(2*T415)</f>
        <v/>
      </c>
      <c r="X415" s="5">
        <f>U415/W415</f>
        <v/>
      </c>
      <c r="Y415">
        <f>IF(U415&gt;W415,"high",IF(U415&gt;V415,"medium","low"))</f>
        <v/>
      </c>
      <c r="Z415">
        <f>CHOOSE(MAX(IF(M415="high",2,IF(M415="medium",1,0)),IF(Y415="high",2,IF(Y415="medium",1,0)))+1,"low","medium","high")</f>
        <v/>
      </c>
      <c r="AA415">
        <f>IF(IF(M415="high",2,IF(M415="medium",1,0))=IF(Y415="high",2,IF(Y415="medium",1,0)),"SI และ Rate เท่ากัน",IF(IF(M415="high",2,IF(M415="medium",1,0))&gt;IF(Y415="high",2,IF(Y415="medium",1,0)),"SI","Rate"))</f>
        <v/>
      </c>
    </row>
    <row r="416">
      <c r="A416" t="inlineStr">
        <is>
          <t>zone_417</t>
        </is>
      </c>
      <c r="B416" t="inlineStr">
        <is>
          <t>ปทุมธานี - ท้ายเกาะ</t>
        </is>
      </c>
      <c r="C416" t="inlineStr">
        <is>
          <t>ปทุมธานี</t>
        </is>
      </c>
      <c r="D416" t="inlineStr">
        <is>
          <t>3111</t>
        </is>
      </c>
      <c r="E416" t="inlineStr">
        <is>
          <t>ทล.</t>
        </is>
      </c>
      <c r="F416" t="inlineStr">
        <is>
          <t>1.104–1.17</t>
        </is>
      </c>
      <c r="G416" t="inlineStr">
        <is>
          <t>station_id 85 (ทล.3111 กม.6+369)</t>
        </is>
      </c>
      <c r="H416" t="inlineStr">
        <is>
          <t>ทล. สถานีตัวแทนตอนควบคุม</t>
        </is>
      </c>
      <c r="I416" t="n">
        <v>3</v>
      </c>
      <c r="J416" t="n">
        <v>0</v>
      </c>
      <c r="K416" t="n">
        <v>0</v>
      </c>
      <c r="L416" s="5" t="n">
        <v>0</v>
      </c>
      <c r="M416" t="inlineStr">
        <is>
          <t>low</t>
        </is>
      </c>
      <c r="N416" s="6" t="n">
        <v>40683</v>
      </c>
      <c r="O416" s="6" t="n">
        <v>46997</v>
      </c>
      <c r="P416" s="6" t="n">
        <v>50460</v>
      </c>
      <c r="Q416" s="6">
        <f>AVERAGE(N416:P416)</f>
        <v/>
      </c>
      <c r="R416" t="n">
        <v>3</v>
      </c>
      <c r="S416" t="n">
        <v>1</v>
      </c>
      <c r="T416" s="7">
        <f>365*R416*Q416*S416/1000000</f>
        <v/>
      </c>
      <c r="U416" s="8">
        <f>I416/T416</f>
        <v/>
      </c>
      <c r="V416" s="8">
        <f>SUMIF($E$2:$E$599,E416,$I$2:$I$599)/SUMIF($E$2:$E$599,E416,$T$2:$T$599)</f>
        <v/>
      </c>
      <c r="W416" s="8">
        <f>V416+1.645*SQRT(V416/T416)+1/(2*T416)</f>
        <v/>
      </c>
      <c r="X416" s="5">
        <f>U416/W416</f>
        <v/>
      </c>
      <c r="Y416">
        <f>IF(U416&gt;W416,"high",IF(U416&gt;V416,"medium","low"))</f>
        <v/>
      </c>
      <c r="Z416">
        <f>CHOOSE(MAX(IF(M416="high",2,IF(M416="medium",1,0)),IF(Y416="high",2,IF(Y416="medium",1,0)))+1,"low","medium","high")</f>
        <v/>
      </c>
      <c r="AA416">
        <f>IF(IF(M416="high",2,IF(M416="medium",1,0))=IF(Y416="high",2,IF(Y416="medium",1,0)),"SI และ Rate เท่ากัน",IF(IF(M416="high",2,IF(M416="medium",1,0))&gt;IF(Y416="high",2,IF(Y416="medium",1,0)),"SI","Rate"))</f>
        <v/>
      </c>
    </row>
    <row r="417">
      <c r="A417" t="inlineStr">
        <is>
          <t>zone_222</t>
        </is>
      </c>
      <c r="B417" t="inlineStr">
        <is>
          <t>พญาไท-ศรีนครินทร์</t>
        </is>
      </c>
      <c r="C417" t="inlineStr">
        <is>
          <t>กรุงเทพมหานคร</t>
        </is>
      </c>
      <c r="D417" t="inlineStr">
        <is>
          <t>E002S016|I</t>
        </is>
      </c>
      <c r="E417" t="inlineStr">
        <is>
          <t>กทพ.</t>
        </is>
      </c>
      <c r="F417" t="inlineStr">
        <is>
          <t>11.1–11.2</t>
        </is>
      </c>
      <c r="G417" t="inlineStr">
        <is>
          <t>ศรีรัช</t>
        </is>
      </c>
      <c r="H417" t="inlineStr">
        <is>
          <t>กทพ. ยอดผ่านด่านทั้งสาย ÷ 365</t>
        </is>
      </c>
      <c r="I417" t="n">
        <v>5</v>
      </c>
      <c r="J417" t="n">
        <v>0</v>
      </c>
      <c r="K417" t="n">
        <v>1</v>
      </c>
      <c r="L417" s="5" t="n">
        <v>0.2</v>
      </c>
      <c r="M417" t="inlineStr">
        <is>
          <t>low</t>
        </is>
      </c>
      <c r="N417" s="6" t="n">
        <v>613083.1506849315</v>
      </c>
      <c r="O417" s="6" t="n">
        <v>601127.7068493151</v>
      </c>
      <c r="P417" s="6" t="n">
        <v>607857.5287671232</v>
      </c>
      <c r="Q417" s="6">
        <f>AVERAGE(N417:P417)</f>
        <v/>
      </c>
      <c r="R417" t="n">
        <v>3</v>
      </c>
      <c r="S417" t="n">
        <v>1</v>
      </c>
      <c r="T417" s="7">
        <f>365*R417*Q417*S417/1000000</f>
        <v/>
      </c>
      <c r="U417" s="8">
        <f>I417/T417</f>
        <v/>
      </c>
      <c r="V417" s="8">
        <f>SUMIF($E$2:$E$599,E417,$I$2:$I$599)/SUMIF($E$2:$E$599,E417,$T$2:$T$599)</f>
        <v/>
      </c>
      <c r="W417" s="8">
        <f>V417+1.645*SQRT(V417/T417)+1/(2*T417)</f>
        <v/>
      </c>
      <c r="X417" s="5">
        <f>U417/W417</f>
        <v/>
      </c>
      <c r="Y417">
        <f>IF(U417&gt;W417,"high",IF(U417&gt;V417,"medium","low"))</f>
        <v/>
      </c>
      <c r="Z417">
        <f>CHOOSE(MAX(IF(M417="high",2,IF(M417="medium",1,0)),IF(Y417="high",2,IF(Y417="medium",1,0)))+1,"low","medium","high")</f>
        <v/>
      </c>
      <c r="AA417">
        <f>IF(IF(M417="high",2,IF(M417="medium",1,0))=IF(Y417="high",2,IF(Y417="medium",1,0)),"SI และ Rate เท่ากัน",IF(IF(M417="high",2,IF(M417="medium",1,0))&gt;IF(Y417="high",2,IF(Y417="medium",1,0)),"SI","Rate"))</f>
        <v/>
      </c>
    </row>
    <row r="418">
      <c r="A418" t="inlineStr">
        <is>
          <t>zone_259</t>
        </is>
      </c>
      <c r="B418" t="inlineStr">
        <is>
          <t>แจ้งวัฒนะ-พญาไท</t>
        </is>
      </c>
      <c r="C418" t="inlineStr">
        <is>
          <t>กรุงเทพมหานคร</t>
        </is>
      </c>
      <c r="D418" t="inlineStr">
        <is>
          <t>E002S014|U</t>
        </is>
      </c>
      <c r="E418" t="inlineStr">
        <is>
          <t>กทพ.</t>
        </is>
      </c>
      <c r="F418" t="inlineStr">
        <is>
          <t>18.5–18.7</t>
        </is>
      </c>
      <c r="G418" t="inlineStr">
        <is>
          <t>ศรีรัช</t>
        </is>
      </c>
      <c r="H418" t="inlineStr">
        <is>
          <t>กทพ. ยอดผ่านด่านทั้งสาย ÷ 365</t>
        </is>
      </c>
      <c r="I418" t="n">
        <v>5</v>
      </c>
      <c r="J418" t="n">
        <v>0</v>
      </c>
      <c r="K418" t="n">
        <v>0</v>
      </c>
      <c r="L418" s="5" t="n">
        <v>0</v>
      </c>
      <c r="M418" t="inlineStr">
        <is>
          <t>low</t>
        </is>
      </c>
      <c r="N418" s="6" t="n">
        <v>613083.1506849315</v>
      </c>
      <c r="O418" s="6" t="n">
        <v>601127.7068493151</v>
      </c>
      <c r="P418" s="6" t="n">
        <v>607857.5287671232</v>
      </c>
      <c r="Q418" s="6">
        <f>AVERAGE(N418:P418)</f>
        <v/>
      </c>
      <c r="R418" t="n">
        <v>3</v>
      </c>
      <c r="S418" t="n">
        <v>1</v>
      </c>
      <c r="T418" s="7">
        <f>365*R418*Q418*S418/1000000</f>
        <v/>
      </c>
      <c r="U418" s="8">
        <f>I418/T418</f>
        <v/>
      </c>
      <c r="V418" s="8">
        <f>SUMIF($E$2:$E$599,E418,$I$2:$I$599)/SUMIF($E$2:$E$599,E418,$T$2:$T$599)</f>
        <v/>
      </c>
      <c r="W418" s="8">
        <f>V418+1.645*SQRT(V418/T418)+1/(2*T418)</f>
        <v/>
      </c>
      <c r="X418" s="5">
        <f>U418/W418</f>
        <v/>
      </c>
      <c r="Y418">
        <f>IF(U418&gt;W418,"high",IF(U418&gt;V418,"medium","low"))</f>
        <v/>
      </c>
      <c r="Z418">
        <f>CHOOSE(MAX(IF(M418="high",2,IF(M418="medium",1,0)),IF(Y418="high",2,IF(Y418="medium",1,0)))+1,"low","medium","high")</f>
        <v/>
      </c>
      <c r="AA418">
        <f>IF(IF(M418="high",2,IF(M418="medium",1,0))=IF(Y418="high",2,IF(Y418="medium",1,0)),"SI และ Rate เท่ากัน",IF(IF(M418="high",2,IF(M418="medium",1,0))&gt;IF(Y418="high",2,IF(Y418="medium",1,0)),"SI","Rate"))</f>
        <v/>
      </c>
    </row>
    <row r="419">
      <c r="A419" t="inlineStr">
        <is>
          <t>zone_265</t>
        </is>
      </c>
      <c r="B419" t="inlineStr">
        <is>
          <t>พญาไท-ศรีนครินทร์</t>
        </is>
      </c>
      <c r="C419" t="inlineStr">
        <is>
          <t>กรุงเทพมหานคร</t>
        </is>
      </c>
      <c r="D419" t="inlineStr">
        <is>
          <t>E002S016|U</t>
        </is>
      </c>
      <c r="E419" t="inlineStr">
        <is>
          <t>กทพ.</t>
        </is>
      </c>
      <c r="F419" t="inlineStr">
        <is>
          <t>11.5–11.6</t>
        </is>
      </c>
      <c r="G419" t="inlineStr">
        <is>
          <t>ศรีรัช</t>
        </is>
      </c>
      <c r="H419" t="inlineStr">
        <is>
          <t>กทพ. ยอดผ่านด่านทั้งสาย ÷ 365</t>
        </is>
      </c>
      <c r="I419" t="n">
        <v>5</v>
      </c>
      <c r="J419" t="n">
        <v>0</v>
      </c>
      <c r="K419" t="n">
        <v>1</v>
      </c>
      <c r="L419" s="5" t="n">
        <v>0.2</v>
      </c>
      <c r="M419" t="inlineStr">
        <is>
          <t>low</t>
        </is>
      </c>
      <c r="N419" s="6" t="n">
        <v>613083.1506849315</v>
      </c>
      <c r="O419" s="6" t="n">
        <v>601127.7068493151</v>
      </c>
      <c r="P419" s="6" t="n">
        <v>607857.5287671232</v>
      </c>
      <c r="Q419" s="6">
        <f>AVERAGE(N419:P419)</f>
        <v/>
      </c>
      <c r="R419" t="n">
        <v>3</v>
      </c>
      <c r="S419" t="n">
        <v>1</v>
      </c>
      <c r="T419" s="7">
        <f>365*R419*Q419*S419/1000000</f>
        <v/>
      </c>
      <c r="U419" s="8">
        <f>I419/T419</f>
        <v/>
      </c>
      <c r="V419" s="8">
        <f>SUMIF($E$2:$E$599,E419,$I$2:$I$599)/SUMIF($E$2:$E$599,E419,$T$2:$T$599)</f>
        <v/>
      </c>
      <c r="W419" s="8">
        <f>V419+1.645*SQRT(V419/T419)+1/(2*T419)</f>
        <v/>
      </c>
      <c r="X419" s="5">
        <f>U419/W419</f>
        <v/>
      </c>
      <c r="Y419">
        <f>IF(U419&gt;W419,"high",IF(U419&gt;V419,"medium","low"))</f>
        <v/>
      </c>
      <c r="Z419">
        <f>CHOOSE(MAX(IF(M419="high",2,IF(M419="medium",1,0)),IF(Y419="high",2,IF(Y419="medium",1,0)))+1,"low","medium","high")</f>
        <v/>
      </c>
      <c r="AA419">
        <f>IF(IF(M419="high",2,IF(M419="medium",1,0))=IF(Y419="high",2,IF(Y419="medium",1,0)),"SI และ Rate เท่ากัน",IF(IF(M419="high",2,IF(M419="medium",1,0))&gt;IF(Y419="high",2,IF(Y419="medium",1,0)),"SI","Rate"))</f>
        <v/>
      </c>
    </row>
    <row r="420">
      <c r="A420" t="inlineStr">
        <is>
          <t>zone_331</t>
        </is>
      </c>
      <c r="B420" t="inlineStr">
        <is>
          <t>แจ้งวัฒนะ-พญาไท</t>
        </is>
      </c>
      <c r="C420" t="inlineStr">
        <is>
          <t>นนทบุรี</t>
        </is>
      </c>
      <c r="D420" t="inlineStr">
        <is>
          <t>E002S014|I</t>
        </is>
      </c>
      <c r="E420" t="inlineStr">
        <is>
          <t>กทพ.</t>
        </is>
      </c>
      <c r="F420" t="inlineStr">
        <is>
          <t>21–21.3</t>
        </is>
      </c>
      <c r="G420" t="inlineStr">
        <is>
          <t>ศรีรัช</t>
        </is>
      </c>
      <c r="H420" t="inlineStr">
        <is>
          <t>กทพ. ยอดผ่านด่านทั้งสาย ÷ 365</t>
        </is>
      </c>
      <c r="I420" t="n">
        <v>5</v>
      </c>
      <c r="J420" t="n">
        <v>0</v>
      </c>
      <c r="K420" t="n">
        <v>0</v>
      </c>
      <c r="L420" s="5" t="n">
        <v>0</v>
      </c>
      <c r="M420" t="inlineStr">
        <is>
          <t>low</t>
        </is>
      </c>
      <c r="N420" s="6" t="n">
        <v>613083.1506849315</v>
      </c>
      <c r="O420" s="6" t="n">
        <v>601127.7068493151</v>
      </c>
      <c r="P420" s="6" t="n">
        <v>607857.5287671232</v>
      </c>
      <c r="Q420" s="6">
        <f>AVERAGE(N420:P420)</f>
        <v/>
      </c>
      <c r="R420" t="n">
        <v>3</v>
      </c>
      <c r="S420" t="n">
        <v>1</v>
      </c>
      <c r="T420" s="7">
        <f>365*R420*Q420*S420/1000000</f>
        <v/>
      </c>
      <c r="U420" s="8">
        <f>I420/T420</f>
        <v/>
      </c>
      <c r="V420" s="8">
        <f>SUMIF($E$2:$E$599,E420,$I$2:$I$599)/SUMIF($E$2:$E$599,E420,$T$2:$T$599)</f>
        <v/>
      </c>
      <c r="W420" s="8">
        <f>V420+1.645*SQRT(V420/T420)+1/(2*T420)</f>
        <v/>
      </c>
      <c r="X420" s="5">
        <f>U420/W420</f>
        <v/>
      </c>
      <c r="Y420">
        <f>IF(U420&gt;W420,"high",IF(U420&gt;V420,"medium","low"))</f>
        <v/>
      </c>
      <c r="Z420">
        <f>CHOOSE(MAX(IF(M420="high",2,IF(M420="medium",1,0)),IF(Y420="high",2,IF(Y420="medium",1,0)))+1,"low","medium","high")</f>
        <v/>
      </c>
      <c r="AA420">
        <f>IF(IF(M420="high",2,IF(M420="medium",1,0))=IF(Y420="high",2,IF(Y420="medium",1,0)),"SI และ Rate เท่ากัน",IF(IF(M420="high",2,IF(M420="medium",1,0))&gt;IF(Y420="high",2,IF(Y420="medium",1,0)),"SI","Rate"))</f>
        <v/>
      </c>
    </row>
    <row r="421">
      <c r="A421" t="inlineStr">
        <is>
          <t>zone_346</t>
        </is>
      </c>
      <c r="B421" t="inlineStr">
        <is>
          <t>แจ้งวัฒนะ-พญาไท</t>
        </is>
      </c>
      <c r="C421" t="inlineStr">
        <is>
          <t>นนทบุรี</t>
        </is>
      </c>
      <c r="D421" t="inlineStr">
        <is>
          <t>E002S014|I</t>
        </is>
      </c>
      <c r="E421" t="inlineStr">
        <is>
          <t>กทพ.</t>
        </is>
      </c>
      <c r="F421" t="inlineStr">
        <is>
          <t>22.5–23.1</t>
        </is>
      </c>
      <c r="G421" t="inlineStr">
        <is>
          <t>ศรีรัช</t>
        </is>
      </c>
      <c r="H421" t="inlineStr">
        <is>
          <t>กทพ. ยอดผ่านด่านทั้งสาย ÷ 365</t>
        </is>
      </c>
      <c r="I421" t="n">
        <v>5</v>
      </c>
      <c r="J421" t="n">
        <v>0</v>
      </c>
      <c r="K421" t="n">
        <v>1</v>
      </c>
      <c r="L421" s="5" t="n">
        <v>0.2</v>
      </c>
      <c r="M421" t="inlineStr">
        <is>
          <t>low</t>
        </is>
      </c>
      <c r="N421" s="6" t="n">
        <v>613083.1506849315</v>
      </c>
      <c r="O421" s="6" t="n">
        <v>601127.7068493151</v>
      </c>
      <c r="P421" s="6" t="n">
        <v>607857.5287671232</v>
      </c>
      <c r="Q421" s="6">
        <f>AVERAGE(N421:P421)</f>
        <v/>
      </c>
      <c r="R421" t="n">
        <v>3</v>
      </c>
      <c r="S421" t="n">
        <v>1</v>
      </c>
      <c r="T421" s="7">
        <f>365*R421*Q421*S421/1000000</f>
        <v/>
      </c>
      <c r="U421" s="8">
        <f>I421/T421</f>
        <v/>
      </c>
      <c r="V421" s="8">
        <f>SUMIF($E$2:$E$599,E421,$I$2:$I$599)/SUMIF($E$2:$E$599,E421,$T$2:$T$599)</f>
        <v/>
      </c>
      <c r="W421" s="8">
        <f>V421+1.645*SQRT(V421/T421)+1/(2*T421)</f>
        <v/>
      </c>
      <c r="X421" s="5">
        <f>U421/W421</f>
        <v/>
      </c>
      <c r="Y421">
        <f>IF(U421&gt;W421,"high",IF(U421&gt;V421,"medium","low"))</f>
        <v/>
      </c>
      <c r="Z421">
        <f>CHOOSE(MAX(IF(M421="high",2,IF(M421="medium",1,0)),IF(Y421="high",2,IF(Y421="medium",1,0)))+1,"low","medium","high")</f>
        <v/>
      </c>
      <c r="AA421">
        <f>IF(IF(M421="high",2,IF(M421="medium",1,0))=IF(Y421="high",2,IF(Y421="medium",1,0)),"SI และ Rate เท่ากัน",IF(IF(M421="high",2,IF(M421="medium",1,0))&gt;IF(Y421="high",2,IF(Y421="medium",1,0)),"SI","Rate"))</f>
        <v/>
      </c>
    </row>
    <row r="422">
      <c r="A422" t="inlineStr">
        <is>
          <t>zone_127</t>
        </is>
      </c>
      <c r="B422" t="inlineStr">
        <is>
          <t>ดินแดง - งามวงศ์วาน</t>
        </is>
      </c>
      <c r="C422" t="inlineStr">
        <is>
          <t>กรุงเทพมหานคร</t>
        </is>
      </c>
      <c r="D422" t="inlineStr">
        <is>
          <t>31</t>
        </is>
      </c>
      <c r="E422" t="inlineStr">
        <is>
          <t>ทล.</t>
        </is>
      </c>
      <c r="F422" t="inlineStr">
        <is>
          <t>11.93–12.24</t>
        </is>
      </c>
      <c r="G422" t="inlineStr">
        <is>
          <t>station_id 104 (ทล.302 กม.5+822)</t>
        </is>
      </c>
      <c r="H422" t="inlineStr">
        <is>
          <t>ทล. สถานีตัวแทนตอนควบคุม</t>
        </is>
      </c>
      <c r="I422" t="n">
        <v>6</v>
      </c>
      <c r="J422" t="n">
        <v>0</v>
      </c>
      <c r="K422" t="n">
        <v>2</v>
      </c>
      <c r="L422" s="5" t="n">
        <v>0.3333</v>
      </c>
      <c r="M422" t="inlineStr">
        <is>
          <t>low</t>
        </is>
      </c>
      <c r="N422" s="6" t="n">
        <v>111493</v>
      </c>
      <c r="O422" s="6" t="n">
        <v>113776</v>
      </c>
      <c r="P422" s="6" t="n">
        <v>111297</v>
      </c>
      <c r="Q422" s="6">
        <f>AVERAGE(N422:P422)</f>
        <v/>
      </c>
      <c r="R422" t="n">
        <v>3</v>
      </c>
      <c r="S422" t="n">
        <v>1</v>
      </c>
      <c r="T422" s="7">
        <f>365*R422*Q422*S422/1000000</f>
        <v/>
      </c>
      <c r="U422" s="8">
        <f>I422/T422</f>
        <v/>
      </c>
      <c r="V422" s="8">
        <f>SUMIF($E$2:$E$599,E422,$I$2:$I$599)/SUMIF($E$2:$E$599,E422,$T$2:$T$599)</f>
        <v/>
      </c>
      <c r="W422" s="8">
        <f>V422+1.645*SQRT(V422/T422)+1/(2*T422)</f>
        <v/>
      </c>
      <c r="X422" s="5">
        <f>U422/W422</f>
        <v/>
      </c>
      <c r="Y422">
        <f>IF(U422&gt;W422,"high",IF(U422&gt;V422,"medium","low"))</f>
        <v/>
      </c>
      <c r="Z422">
        <f>CHOOSE(MAX(IF(M422="high",2,IF(M422="medium",1,0)),IF(Y422="high",2,IF(Y422="medium",1,0)))+1,"low","medium","high")</f>
        <v/>
      </c>
      <c r="AA422">
        <f>IF(IF(M422="high",2,IF(M422="medium",1,0))=IF(Y422="high",2,IF(Y422="medium",1,0)),"SI และ Rate เท่ากัน",IF(IF(M422="high",2,IF(M422="medium",1,0))&gt;IF(Y422="high",2,IF(Y422="medium",1,0)),"SI","Rate"))</f>
        <v/>
      </c>
    </row>
    <row r="423">
      <c r="A423" t="inlineStr">
        <is>
          <t>zone_142</t>
        </is>
      </c>
      <c r="B423" t="inlineStr">
        <is>
          <t>ดินแดง - งามวงศ์วาน</t>
        </is>
      </c>
      <c r="C423" t="inlineStr">
        <is>
          <t>กรุงเทพมหานคร</t>
        </is>
      </c>
      <c r="D423" t="inlineStr">
        <is>
          <t>31</t>
        </is>
      </c>
      <c r="E423" t="inlineStr">
        <is>
          <t>ทล.</t>
        </is>
      </c>
      <c r="F423" t="inlineStr">
        <is>
          <t>9.667–9.96</t>
        </is>
      </c>
      <c r="G423" t="inlineStr">
        <is>
          <t>station_id 104 (ทล.302 กม.5+822)</t>
        </is>
      </c>
      <c r="H423" t="inlineStr">
        <is>
          <t>ทล. สถานีตัวแทนตอนควบคุม</t>
        </is>
      </c>
      <c r="I423" t="n">
        <v>6</v>
      </c>
      <c r="J423" t="n">
        <v>0</v>
      </c>
      <c r="K423" t="n">
        <v>5</v>
      </c>
      <c r="L423" s="5" t="n">
        <v>0.8333</v>
      </c>
      <c r="M423" t="inlineStr">
        <is>
          <t>low</t>
        </is>
      </c>
      <c r="N423" s="6" t="n">
        <v>111493</v>
      </c>
      <c r="O423" s="6" t="n">
        <v>113776</v>
      </c>
      <c r="P423" s="6" t="n">
        <v>111297</v>
      </c>
      <c r="Q423" s="6">
        <f>AVERAGE(N423:P423)</f>
        <v/>
      </c>
      <c r="R423" t="n">
        <v>3</v>
      </c>
      <c r="S423" t="n">
        <v>1</v>
      </c>
      <c r="T423" s="7">
        <f>365*R423*Q423*S423/1000000</f>
        <v/>
      </c>
      <c r="U423" s="8">
        <f>I423/T423</f>
        <v/>
      </c>
      <c r="V423" s="8">
        <f>SUMIF($E$2:$E$599,E423,$I$2:$I$599)/SUMIF($E$2:$E$599,E423,$T$2:$T$599)</f>
        <v/>
      </c>
      <c r="W423" s="8">
        <f>V423+1.645*SQRT(V423/T423)+1/(2*T423)</f>
        <v/>
      </c>
      <c r="X423" s="5">
        <f>U423/W423</f>
        <v/>
      </c>
      <c r="Y423">
        <f>IF(U423&gt;W423,"high",IF(U423&gt;V423,"medium","low"))</f>
        <v/>
      </c>
      <c r="Z423">
        <f>CHOOSE(MAX(IF(M423="high",2,IF(M423="medium",1,0)),IF(Y423="high",2,IF(Y423="medium",1,0)))+1,"low","medium","high")</f>
        <v/>
      </c>
      <c r="AA423">
        <f>IF(IF(M423="high",2,IF(M423="medium",1,0))=IF(Y423="high",2,IF(Y423="medium",1,0)),"SI และ Rate เท่ากัน",IF(IF(M423="high",2,IF(M423="medium",1,0))&gt;IF(Y423="high",2,IF(Y423="medium",1,0)),"SI","Rate"))</f>
        <v/>
      </c>
    </row>
    <row r="424">
      <c r="A424" t="inlineStr">
        <is>
          <t>zone_76</t>
        </is>
      </c>
      <c r="B424" t="inlineStr">
        <is>
          <t>บางปะอิน - แขวงรามอินทรา</t>
        </is>
      </c>
      <c r="C424" t="inlineStr">
        <is>
          <t>ปทุมธานี</t>
        </is>
      </c>
      <c r="D424" t="inlineStr">
        <is>
          <t>9</t>
        </is>
      </c>
      <c r="E424" t="inlineStr">
        <is>
          <t>ทล.</t>
        </is>
      </c>
      <c r="F424" t="inlineStr">
        <is>
          <t>25.9–26.5</t>
        </is>
      </c>
      <c r="G424" t="inlineStr">
        <is>
          <t>station_id 347 (ทล.9 กม.1+500)</t>
        </is>
      </c>
      <c r="H424" t="inlineStr">
        <is>
          <t>ทล. สถานีตัวแทนตอนควบคุม</t>
        </is>
      </c>
      <c r="I424" t="n">
        <v>8</v>
      </c>
      <c r="J424" t="n">
        <v>0</v>
      </c>
      <c r="K424" t="n">
        <v>0</v>
      </c>
      <c r="L424" s="5" t="n">
        <v>0</v>
      </c>
      <c r="M424" t="inlineStr">
        <is>
          <t>low</t>
        </is>
      </c>
      <c r="N424" s="6" t="n">
        <v>146870</v>
      </c>
      <c r="O424" s="6" t="n">
        <v>165212</v>
      </c>
      <c r="P424" s="6" t="n">
        <v>160792</v>
      </c>
      <c r="Q424" s="6">
        <f>AVERAGE(N424:P424)</f>
        <v/>
      </c>
      <c r="R424" t="n">
        <v>3</v>
      </c>
      <c r="S424" t="n">
        <v>1</v>
      </c>
      <c r="T424" s="7">
        <f>365*R424*Q424*S424/1000000</f>
        <v/>
      </c>
      <c r="U424" s="8">
        <f>I424/T424</f>
        <v/>
      </c>
      <c r="V424" s="8">
        <f>SUMIF($E$2:$E$599,E424,$I$2:$I$599)/SUMIF($E$2:$E$599,E424,$T$2:$T$599)</f>
        <v/>
      </c>
      <c r="W424" s="8">
        <f>V424+1.645*SQRT(V424/T424)+1/(2*T424)</f>
        <v/>
      </c>
      <c r="X424" s="5">
        <f>U424/W424</f>
        <v/>
      </c>
      <c r="Y424">
        <f>IF(U424&gt;W424,"high",IF(U424&gt;V424,"medium","low"))</f>
        <v/>
      </c>
      <c r="Z424">
        <f>CHOOSE(MAX(IF(M424="high",2,IF(M424="medium",1,0)),IF(Y424="high",2,IF(Y424="medium",1,0)))+1,"low","medium","high")</f>
        <v/>
      </c>
      <c r="AA424">
        <f>IF(IF(M424="high",2,IF(M424="medium",1,0))=IF(Y424="high",2,IF(Y424="medium",1,0)),"SI และ Rate เท่ากัน",IF(IF(M424="high",2,IF(M424="medium",1,0))&gt;IF(Y424="high",2,IF(Y424="medium",1,0)),"SI","Rate"))</f>
        <v/>
      </c>
    </row>
    <row r="425">
      <c r="A425" t="inlineStr">
        <is>
          <t>zone_405</t>
        </is>
      </c>
      <c r="B425" t="inlineStr">
        <is>
          <t>บางปะอิน - แขวงรามอินทรา</t>
        </is>
      </c>
      <c r="C425" t="inlineStr">
        <is>
          <t>ปทุมธานี</t>
        </is>
      </c>
      <c r="D425" t="inlineStr">
        <is>
          <t>9</t>
        </is>
      </c>
      <c r="E425" t="inlineStr">
        <is>
          <t>ทล.</t>
        </is>
      </c>
      <c r="F425" t="inlineStr">
        <is>
          <t>17.7–17.9</t>
        </is>
      </c>
      <c r="G425" t="inlineStr">
        <is>
          <t>station_id 347 (ทล.9 กม.1+500)</t>
        </is>
      </c>
      <c r="H425" t="inlineStr">
        <is>
          <t>ทล. สถานีตัวแทนตอนควบคุม</t>
        </is>
      </c>
      <c r="I425" t="n">
        <v>8</v>
      </c>
      <c r="J425" t="n">
        <v>0</v>
      </c>
      <c r="K425" t="n">
        <v>2</v>
      </c>
      <c r="L425" s="5" t="n">
        <v>0.25</v>
      </c>
      <c r="M425" t="inlineStr">
        <is>
          <t>low</t>
        </is>
      </c>
      <c r="N425" s="6" t="n">
        <v>146870</v>
      </c>
      <c r="O425" s="6" t="n">
        <v>165212</v>
      </c>
      <c r="P425" s="6" t="n">
        <v>160792</v>
      </c>
      <c r="Q425" s="6">
        <f>AVERAGE(N425:P425)</f>
        <v/>
      </c>
      <c r="R425" t="n">
        <v>3</v>
      </c>
      <c r="S425" t="n">
        <v>1</v>
      </c>
      <c r="T425" s="7">
        <f>365*R425*Q425*S425/1000000</f>
        <v/>
      </c>
      <c r="U425" s="8">
        <f>I425/T425</f>
        <v/>
      </c>
      <c r="V425" s="8">
        <f>SUMIF($E$2:$E$599,E425,$I$2:$I$599)/SUMIF($E$2:$E$599,E425,$T$2:$T$599)</f>
        <v/>
      </c>
      <c r="W425" s="8">
        <f>V425+1.645*SQRT(V425/T425)+1/(2*T425)</f>
        <v/>
      </c>
      <c r="X425" s="5">
        <f>U425/W425</f>
        <v/>
      </c>
      <c r="Y425">
        <f>IF(U425&gt;W425,"high",IF(U425&gt;V425,"medium","low"))</f>
        <v/>
      </c>
      <c r="Z425">
        <f>CHOOSE(MAX(IF(M425="high",2,IF(M425="medium",1,0)),IF(Y425="high",2,IF(Y425="medium",1,0)))+1,"low","medium","high")</f>
        <v/>
      </c>
      <c r="AA425">
        <f>IF(IF(M425="high",2,IF(M425="medium",1,0))=IF(Y425="high",2,IF(Y425="medium",1,0)),"SI และ Rate เท่ากัน",IF(IF(M425="high",2,IF(M425="medium",1,0))&gt;IF(Y425="high",2,IF(Y425="medium",1,0)),"SI","Rate"))</f>
        <v/>
      </c>
    </row>
    <row r="426">
      <c r="A426" t="inlineStr">
        <is>
          <t>zone_318</t>
        </is>
      </c>
      <c r="B426" t="inlineStr">
        <is>
          <t>อรุณอมรินทร์ - พุทธมณฑลสาย4</t>
        </is>
      </c>
      <c r="C426" t="inlineStr">
        <is>
          <t>กรุงเทพมหานคร</t>
        </is>
      </c>
      <c r="D426" t="inlineStr">
        <is>
          <t>338</t>
        </is>
      </c>
      <c r="E426" t="inlineStr">
        <is>
          <t>ทล.</t>
        </is>
      </c>
      <c r="F426" t="inlineStr">
        <is>
          <t>4.13–4.4</t>
        </is>
      </c>
      <c r="G426" t="inlineStr">
        <is>
          <t>station_id 126 (ทล.338 กม.2+164)</t>
        </is>
      </c>
      <c r="H426" t="inlineStr">
        <is>
          <t>ทล. สถานีตัวแทนตอนควบคุม</t>
        </is>
      </c>
      <c r="I426" t="n">
        <v>4</v>
      </c>
      <c r="J426" t="n">
        <v>0</v>
      </c>
      <c r="K426" t="n">
        <v>3</v>
      </c>
      <c r="L426" s="5" t="n">
        <v>0.75</v>
      </c>
      <c r="M426" t="inlineStr">
        <is>
          <t>low</t>
        </is>
      </c>
      <c r="N426" s="6" t="n">
        <v>68592</v>
      </c>
      <c r="O426" s="6" t="n">
        <v>70016</v>
      </c>
      <c r="P426" s="6" t="n">
        <v>69899</v>
      </c>
      <c r="Q426" s="6">
        <f>AVERAGE(N426:P426)</f>
        <v/>
      </c>
      <c r="R426" t="n">
        <v>3</v>
      </c>
      <c r="S426" t="n">
        <v>1</v>
      </c>
      <c r="T426" s="7">
        <f>365*R426*Q426*S426/1000000</f>
        <v/>
      </c>
      <c r="U426" s="8">
        <f>I426/T426</f>
        <v/>
      </c>
      <c r="V426" s="8">
        <f>SUMIF($E$2:$E$599,E426,$I$2:$I$599)/SUMIF($E$2:$E$599,E426,$T$2:$T$599)</f>
        <v/>
      </c>
      <c r="W426" s="8">
        <f>V426+1.645*SQRT(V426/T426)+1/(2*T426)</f>
        <v/>
      </c>
      <c r="X426" s="5">
        <f>U426/W426</f>
        <v/>
      </c>
      <c r="Y426">
        <f>IF(U426&gt;W426,"high",IF(U426&gt;V426,"medium","low"))</f>
        <v/>
      </c>
      <c r="Z426">
        <f>CHOOSE(MAX(IF(M426="high",2,IF(M426="medium",1,0)),IF(Y426="high",2,IF(Y426="medium",1,0)))+1,"low","medium","high")</f>
        <v/>
      </c>
      <c r="AA426">
        <f>IF(IF(M426="high",2,IF(M426="medium",1,0))=IF(Y426="high",2,IF(Y426="medium",1,0)),"SI และ Rate เท่ากัน",IF(IF(M426="high",2,IF(M426="medium",1,0))&gt;IF(Y426="high",2,IF(Y426="medium",1,0)),"SI","Rate"))</f>
        <v/>
      </c>
    </row>
    <row r="427">
      <c r="A427" t="inlineStr">
        <is>
          <t>zone_628</t>
        </is>
      </c>
      <c r="B427" t="inlineStr">
        <is>
          <t>สมุทรสาคร - บางบอน</t>
        </is>
      </c>
      <c r="C427" t="inlineStr">
        <is>
          <t>สมุทรสาคร</t>
        </is>
      </c>
      <c r="D427" t="inlineStr">
        <is>
          <t>3242</t>
        </is>
      </c>
      <c r="E427" t="inlineStr">
        <is>
          <t>ทล.</t>
        </is>
      </c>
      <c r="F427" t="inlineStr">
        <is>
          <t>11.87–12.1</t>
        </is>
      </c>
      <c r="G427" t="inlineStr">
        <is>
          <t>station_id 69 (ทล.3242 กม.4+130)</t>
        </is>
      </c>
      <c r="H427" t="inlineStr">
        <is>
          <t>ทล. สถานีตัวแทนตอนควบคุม</t>
        </is>
      </c>
      <c r="I427" t="n">
        <v>3</v>
      </c>
      <c r="J427" t="n">
        <v>0</v>
      </c>
      <c r="K427" t="n">
        <v>1</v>
      </c>
      <c r="L427" s="5" t="n">
        <v>0.3333</v>
      </c>
      <c r="M427" t="inlineStr">
        <is>
          <t>low</t>
        </is>
      </c>
      <c r="N427" s="6" t="n">
        <v>47547</v>
      </c>
      <c r="O427" s="6" t="n">
        <v>49902</v>
      </c>
      <c r="P427" s="6" t="n">
        <v>49217</v>
      </c>
      <c r="Q427" s="6">
        <f>AVERAGE(N427:P427)</f>
        <v/>
      </c>
      <c r="R427" t="n">
        <v>3</v>
      </c>
      <c r="S427" t="n">
        <v>1</v>
      </c>
      <c r="T427" s="7">
        <f>365*R427*Q427*S427/1000000</f>
        <v/>
      </c>
      <c r="U427" s="8">
        <f>I427/T427</f>
        <v/>
      </c>
      <c r="V427" s="8">
        <f>SUMIF($E$2:$E$599,E427,$I$2:$I$599)/SUMIF($E$2:$E$599,E427,$T$2:$T$599)</f>
        <v/>
      </c>
      <c r="W427" s="8">
        <f>V427+1.645*SQRT(V427/T427)+1/(2*T427)</f>
        <v/>
      </c>
      <c r="X427" s="5">
        <f>U427/W427</f>
        <v/>
      </c>
      <c r="Y427">
        <f>IF(U427&gt;W427,"high",IF(U427&gt;V427,"medium","low"))</f>
        <v/>
      </c>
      <c r="Z427">
        <f>CHOOSE(MAX(IF(M427="high",2,IF(M427="medium",1,0)),IF(Y427="high",2,IF(Y427="medium",1,0)))+1,"low","medium","high")</f>
        <v/>
      </c>
      <c r="AA427">
        <f>IF(IF(M427="high",2,IF(M427="medium",1,0))=IF(Y427="high",2,IF(Y427="medium",1,0)),"SI และ Rate เท่ากัน",IF(IF(M427="high",2,IF(M427="medium",1,0))&gt;IF(Y427="high",2,IF(Y427="medium",1,0)),"SI","Rate"))</f>
        <v/>
      </c>
    </row>
    <row r="428">
      <c r="A428" t="inlineStr">
        <is>
          <t>zone_629</t>
        </is>
      </c>
      <c r="B428" t="inlineStr">
        <is>
          <t>สมุทรสาคร - บางบอน</t>
        </is>
      </c>
      <c r="C428" t="inlineStr">
        <is>
          <t>สมุทรสาคร</t>
        </is>
      </c>
      <c r="D428" t="inlineStr">
        <is>
          <t>3242</t>
        </is>
      </c>
      <c r="E428" t="inlineStr">
        <is>
          <t>ทล.</t>
        </is>
      </c>
      <c r="F428" t="inlineStr">
        <is>
          <t>10.2–10.35</t>
        </is>
      </c>
      <c r="G428" t="inlineStr">
        <is>
          <t>station_id 69 (ทล.3242 กม.4+130)</t>
        </is>
      </c>
      <c r="H428" t="inlineStr">
        <is>
          <t>ทล. สถานีตัวแทนตอนควบคุม</t>
        </is>
      </c>
      <c r="I428" t="n">
        <v>3</v>
      </c>
      <c r="J428" t="n">
        <v>0</v>
      </c>
      <c r="K428" t="n">
        <v>2</v>
      </c>
      <c r="L428" s="5" t="n">
        <v>0.6667</v>
      </c>
      <c r="M428" t="inlineStr">
        <is>
          <t>low</t>
        </is>
      </c>
      <c r="N428" s="6" t="n">
        <v>47547</v>
      </c>
      <c r="O428" s="6" t="n">
        <v>49902</v>
      </c>
      <c r="P428" s="6" t="n">
        <v>49217</v>
      </c>
      <c r="Q428" s="6">
        <f>AVERAGE(N428:P428)</f>
        <v/>
      </c>
      <c r="R428" t="n">
        <v>3</v>
      </c>
      <c r="S428" t="n">
        <v>1</v>
      </c>
      <c r="T428" s="7">
        <f>365*R428*Q428*S428/1000000</f>
        <v/>
      </c>
      <c r="U428" s="8">
        <f>I428/T428</f>
        <v/>
      </c>
      <c r="V428" s="8">
        <f>SUMIF($E$2:$E$599,E428,$I$2:$I$599)/SUMIF($E$2:$E$599,E428,$T$2:$T$599)</f>
        <v/>
      </c>
      <c r="W428" s="8">
        <f>V428+1.645*SQRT(V428/T428)+1/(2*T428)</f>
        <v/>
      </c>
      <c r="X428" s="5">
        <f>U428/W428</f>
        <v/>
      </c>
      <c r="Y428">
        <f>IF(U428&gt;W428,"high",IF(U428&gt;V428,"medium","low"))</f>
        <v/>
      </c>
      <c r="Z428">
        <f>CHOOSE(MAX(IF(M428="high",2,IF(M428="medium",1,0)),IF(Y428="high",2,IF(Y428="medium",1,0)))+1,"low","medium","high")</f>
        <v/>
      </c>
      <c r="AA428">
        <f>IF(IF(M428="high",2,IF(M428="medium",1,0))=IF(Y428="high",2,IF(Y428="medium",1,0)),"SI และ Rate เท่ากัน",IF(IF(M428="high",2,IF(M428="medium",1,0))&gt;IF(Y428="high",2,IF(Y428="medium",1,0)),"SI","Rate"))</f>
        <v/>
      </c>
    </row>
    <row r="429">
      <c r="A429" t="inlineStr">
        <is>
          <t>zone_92</t>
        </is>
      </c>
      <c r="B429" t="inlineStr">
        <is>
          <t>แขวงรามอินทรา - บางพลี</t>
        </is>
      </c>
      <c r="C429" t="inlineStr">
        <is>
          <t>กรุงเทพมหานคร</t>
        </is>
      </c>
      <c r="D429" t="inlineStr">
        <is>
          <t>9</t>
        </is>
      </c>
      <c r="E429" t="inlineStr">
        <is>
          <t>ทล.</t>
        </is>
      </c>
      <c r="F429" t="inlineStr">
        <is>
          <t>56.6–57.3</t>
        </is>
      </c>
      <c r="G429" t="inlineStr">
        <is>
          <t>station_id 348 (ทล.9 กม.59+500)</t>
        </is>
      </c>
      <c r="H429" t="inlineStr">
        <is>
          <t>ทล. สถานีตัวแทนตอนควบคุม</t>
        </is>
      </c>
      <c r="I429" t="n">
        <v>6</v>
      </c>
      <c r="J429" t="n">
        <v>0</v>
      </c>
      <c r="K429" t="n">
        <v>4</v>
      </c>
      <c r="L429" s="5" t="n">
        <v>0.6667</v>
      </c>
      <c r="M429" t="inlineStr">
        <is>
          <t>low</t>
        </is>
      </c>
      <c r="N429" s="6" t="n">
        <v>110915</v>
      </c>
      <c r="O429" s="6" t="n">
        <v>117953</v>
      </c>
      <c r="P429" s="6" t="n">
        <v>117813</v>
      </c>
      <c r="Q429" s="6">
        <f>AVERAGE(N429:P429)</f>
        <v/>
      </c>
      <c r="R429" t="n">
        <v>3</v>
      </c>
      <c r="S429" t="n">
        <v>1</v>
      </c>
      <c r="T429" s="7">
        <f>365*R429*Q429*S429/1000000</f>
        <v/>
      </c>
      <c r="U429" s="8">
        <f>I429/T429</f>
        <v/>
      </c>
      <c r="V429" s="8">
        <f>SUMIF($E$2:$E$599,E429,$I$2:$I$599)/SUMIF($E$2:$E$599,E429,$T$2:$T$599)</f>
        <v/>
      </c>
      <c r="W429" s="8">
        <f>V429+1.645*SQRT(V429/T429)+1/(2*T429)</f>
        <v/>
      </c>
      <c r="X429" s="5">
        <f>U429/W429</f>
        <v/>
      </c>
      <c r="Y429">
        <f>IF(U429&gt;W429,"high",IF(U429&gt;V429,"medium","low"))</f>
        <v/>
      </c>
      <c r="Z429">
        <f>CHOOSE(MAX(IF(M429="high",2,IF(M429="medium",1,0)),IF(Y429="high",2,IF(Y429="medium",1,0)))+1,"low","medium","high")</f>
        <v/>
      </c>
      <c r="AA429">
        <f>IF(IF(M429="high",2,IF(M429="medium",1,0))=IF(Y429="high",2,IF(Y429="medium",1,0)),"SI และ Rate เท่ากัน",IF(IF(M429="high",2,IF(M429="medium",1,0))&gt;IF(Y429="high",2,IF(Y429="medium",1,0)),"SI","Rate"))</f>
        <v/>
      </c>
    </row>
    <row r="430">
      <c r="A430" t="inlineStr">
        <is>
          <t>zone_432</t>
        </is>
      </c>
      <c r="B430" t="inlineStr">
        <is>
          <t>คลองบางหลวง - ต่างระดับเชียงรากน้อย</t>
        </is>
      </c>
      <c r="C430" t="inlineStr">
        <is>
          <t>ปทุมธานี</t>
        </is>
      </c>
      <c r="D430" t="inlineStr">
        <is>
          <t>3902</t>
        </is>
      </c>
      <c r="E430" t="inlineStr">
        <is>
          <t>ทล.</t>
        </is>
      </c>
      <c r="F430" t="inlineStr">
        <is>
          <t>62.718–63.61</t>
        </is>
      </c>
      <c r="G430" t="inlineStr">
        <is>
          <t>station_id 80 (ทล.346 กม.9+500)</t>
        </is>
      </c>
      <c r="H430" t="inlineStr">
        <is>
          <t>ทล. สถานีตัวแทนตอนควบคุม</t>
        </is>
      </c>
      <c r="I430" t="n">
        <v>7</v>
      </c>
      <c r="J430" t="n">
        <v>0</v>
      </c>
      <c r="K430" t="n">
        <v>6</v>
      </c>
      <c r="L430" s="5" t="n">
        <v>0.8571</v>
      </c>
      <c r="M430" t="inlineStr">
        <is>
          <t>low</t>
        </is>
      </c>
      <c r="N430" s="6" t="n">
        <v>136361</v>
      </c>
      <c r="O430" s="6" t="n">
        <v>143360</v>
      </c>
      <c r="P430" s="6" t="n">
        <v>139052</v>
      </c>
      <c r="Q430" s="6">
        <f>AVERAGE(N430:P430)</f>
        <v/>
      </c>
      <c r="R430" t="n">
        <v>3</v>
      </c>
      <c r="S430" t="n">
        <v>1</v>
      </c>
      <c r="T430" s="7">
        <f>365*R430*Q430*S430/1000000</f>
        <v/>
      </c>
      <c r="U430" s="8">
        <f>I430/T430</f>
        <v/>
      </c>
      <c r="V430" s="8">
        <f>SUMIF($E$2:$E$599,E430,$I$2:$I$599)/SUMIF($E$2:$E$599,E430,$T$2:$T$599)</f>
        <v/>
      </c>
      <c r="W430" s="8">
        <f>V430+1.645*SQRT(V430/T430)+1/(2*T430)</f>
        <v/>
      </c>
      <c r="X430" s="5">
        <f>U430/W430</f>
        <v/>
      </c>
      <c r="Y430">
        <f>IF(U430&gt;W430,"high",IF(U430&gt;V430,"medium","low"))</f>
        <v/>
      </c>
      <c r="Z430">
        <f>CHOOSE(MAX(IF(M430="high",2,IF(M430="medium",1,0)),IF(Y430="high",2,IF(Y430="medium",1,0)))+1,"low","medium","high")</f>
        <v/>
      </c>
      <c r="AA430">
        <f>IF(IF(M430="high",2,IF(M430="medium",1,0))=IF(Y430="high",2,IF(Y430="medium",1,0)),"SI และ Rate เท่ากัน",IF(IF(M430="high",2,IF(M430="medium",1,0))&gt;IF(Y430="high",2,IF(Y430="medium",1,0)),"SI","Rate"))</f>
        <v/>
      </c>
    </row>
    <row r="431">
      <c r="A431" t="inlineStr">
        <is>
          <t>zone_377</t>
        </is>
      </c>
      <c r="B431" t="inlineStr">
        <is>
          <t>อ้อมใหญ่ - นครชัยศรี</t>
        </is>
      </c>
      <c r="C431" t="inlineStr">
        <is>
          <t>นครปฐม</t>
        </is>
      </c>
      <c r="D431" t="inlineStr">
        <is>
          <t>4</t>
        </is>
      </c>
      <c r="E431" t="inlineStr">
        <is>
          <t>ทล.</t>
        </is>
      </c>
      <c r="F431" t="inlineStr">
        <is>
          <t>28.039–28.135</t>
        </is>
      </c>
      <c r="G431" t="inlineStr">
        <is>
          <t>station_id 58 (ทล.4 กม.26+500)</t>
        </is>
      </c>
      <c r="H431" t="inlineStr">
        <is>
          <t>ทล. สถานีตัวแทนตอนควบคุม</t>
        </is>
      </c>
      <c r="I431" t="n">
        <v>4</v>
      </c>
      <c r="J431" t="n">
        <v>0</v>
      </c>
      <c r="K431" t="n">
        <v>1</v>
      </c>
      <c r="L431" s="5" t="n">
        <v>0.25</v>
      </c>
      <c r="M431" t="inlineStr">
        <is>
          <t>low</t>
        </is>
      </c>
      <c r="N431" s="6" t="n">
        <v>64323</v>
      </c>
      <c r="O431" s="6" t="n">
        <v>72517</v>
      </c>
      <c r="P431" s="6" t="n">
        <v>77720</v>
      </c>
      <c r="Q431" s="6">
        <f>AVERAGE(N431:P431)</f>
        <v/>
      </c>
      <c r="R431" t="n">
        <v>3</v>
      </c>
      <c r="S431" t="n">
        <v>1</v>
      </c>
      <c r="T431" s="7">
        <f>365*R431*Q431*S431/1000000</f>
        <v/>
      </c>
      <c r="U431" s="8">
        <f>I431/T431</f>
        <v/>
      </c>
      <c r="V431" s="8">
        <f>SUMIF($E$2:$E$599,E431,$I$2:$I$599)/SUMIF($E$2:$E$599,E431,$T$2:$T$599)</f>
        <v/>
      </c>
      <c r="W431" s="8">
        <f>V431+1.645*SQRT(V431/T431)+1/(2*T431)</f>
        <v/>
      </c>
      <c r="X431" s="5">
        <f>U431/W431</f>
        <v/>
      </c>
      <c r="Y431">
        <f>IF(U431&gt;W431,"high",IF(U431&gt;V431,"medium","low"))</f>
        <v/>
      </c>
      <c r="Z431">
        <f>CHOOSE(MAX(IF(M431="high",2,IF(M431="medium",1,0)),IF(Y431="high",2,IF(Y431="medium",1,0)))+1,"low","medium","high")</f>
        <v/>
      </c>
      <c r="AA431">
        <f>IF(IF(M431="high",2,IF(M431="medium",1,0))=IF(Y431="high",2,IF(Y431="medium",1,0)),"SI และ Rate เท่ากัน",IF(IF(M431="high",2,IF(M431="medium",1,0))&gt;IF(Y431="high",2,IF(Y431="medium",1,0)),"SI","Rate"))</f>
        <v/>
      </c>
    </row>
    <row r="432">
      <c r="A432" t="inlineStr">
        <is>
          <t>zone_600</t>
        </is>
      </c>
      <c r="B432" t="inlineStr">
        <is>
          <t>แสมดำ - สะพานข้ามแม่น้ำท่าจีนฝั่งตะวันตก</t>
        </is>
      </c>
      <c r="C432" t="inlineStr">
        <is>
          <t>สมุทรสาคร</t>
        </is>
      </c>
      <c r="D432" t="inlineStr">
        <is>
          <t>35</t>
        </is>
      </c>
      <c r="E432" t="inlineStr">
        <is>
          <t>ทล.</t>
        </is>
      </c>
      <c r="F432" t="inlineStr">
        <is>
          <t>28.375–28.65</t>
        </is>
      </c>
      <c r="G432" t="inlineStr">
        <is>
          <t>station_id 57 (ทล.35 กม.24+550)</t>
        </is>
      </c>
      <c r="H432" t="inlineStr">
        <is>
          <t>ทล. สถานีตัวแทนตอนควบคุม</t>
        </is>
      </c>
      <c r="I432" t="n">
        <v>7</v>
      </c>
      <c r="J432" t="n">
        <v>1</v>
      </c>
      <c r="K432" t="n">
        <v>3</v>
      </c>
      <c r="L432" s="5" t="n">
        <v>0.5714</v>
      </c>
      <c r="M432" t="inlineStr">
        <is>
          <t>low</t>
        </is>
      </c>
      <c r="N432" s="6" t="n">
        <v>129063</v>
      </c>
      <c r="O432" s="6" t="n">
        <v>149020</v>
      </c>
      <c r="P432" s="6" t="n">
        <v>143116</v>
      </c>
      <c r="Q432" s="6">
        <f>AVERAGE(N432:P432)</f>
        <v/>
      </c>
      <c r="R432" t="n">
        <v>3</v>
      </c>
      <c r="S432" t="n">
        <v>1</v>
      </c>
      <c r="T432" s="7">
        <f>365*R432*Q432*S432/1000000</f>
        <v/>
      </c>
      <c r="U432" s="8">
        <f>I432/T432</f>
        <v/>
      </c>
      <c r="V432" s="8">
        <f>SUMIF($E$2:$E$599,E432,$I$2:$I$599)/SUMIF($E$2:$E$599,E432,$T$2:$T$599)</f>
        <v/>
      </c>
      <c r="W432" s="8">
        <f>V432+1.645*SQRT(V432/T432)+1/(2*T432)</f>
        <v/>
      </c>
      <c r="X432" s="5">
        <f>U432/W432</f>
        <v/>
      </c>
      <c r="Y432">
        <f>IF(U432&gt;W432,"high",IF(U432&gt;V432,"medium","low"))</f>
        <v/>
      </c>
      <c r="Z432">
        <f>CHOOSE(MAX(IF(M432="high",2,IF(M432="medium",1,0)),IF(Y432="high",2,IF(Y432="medium",1,0)))+1,"low","medium","high")</f>
        <v/>
      </c>
      <c r="AA432">
        <f>IF(IF(M432="high",2,IF(M432="medium",1,0))=IF(Y432="high",2,IF(Y432="medium",1,0)),"SI และ Rate เท่ากัน",IF(IF(M432="high",2,IF(M432="medium",1,0))&gt;IF(Y432="high",2,IF(Y432="medium",1,0)),"SI","Rate"))</f>
        <v/>
      </c>
    </row>
    <row r="433">
      <c r="A433" t="inlineStr">
        <is>
          <t>zone_613</t>
        </is>
      </c>
      <c r="B433" t="inlineStr">
        <is>
          <t>แสมดำ - สะพานข้ามแม่น้ำท่าจีนฝั่งตะวันตก</t>
        </is>
      </c>
      <c r="C433" t="inlineStr">
        <is>
          <t>สมุทรสาคร</t>
        </is>
      </c>
      <c r="D433" t="inlineStr">
        <is>
          <t>35</t>
        </is>
      </c>
      <c r="E433" t="inlineStr">
        <is>
          <t>ทล.</t>
        </is>
      </c>
      <c r="F433" t="inlineStr">
        <is>
          <t>27.6–28.125</t>
        </is>
      </c>
      <c r="G433" t="inlineStr">
        <is>
          <t>station_id 57 (ทล.35 กม.24+550)</t>
        </is>
      </c>
      <c r="H433" t="inlineStr">
        <is>
          <t>ทล. สถานีตัวแทนตอนควบคุม</t>
        </is>
      </c>
      <c r="I433" t="n">
        <v>7</v>
      </c>
      <c r="J433" t="n">
        <v>0</v>
      </c>
      <c r="K433" t="n">
        <v>0</v>
      </c>
      <c r="L433" s="5" t="n">
        <v>0</v>
      </c>
      <c r="M433" t="inlineStr">
        <is>
          <t>low</t>
        </is>
      </c>
      <c r="N433" s="6" t="n">
        <v>129063</v>
      </c>
      <c r="O433" s="6" t="n">
        <v>149020</v>
      </c>
      <c r="P433" s="6" t="n">
        <v>143116</v>
      </c>
      <c r="Q433" s="6">
        <f>AVERAGE(N433:P433)</f>
        <v/>
      </c>
      <c r="R433" t="n">
        <v>3</v>
      </c>
      <c r="S433" t="n">
        <v>1</v>
      </c>
      <c r="T433" s="7">
        <f>365*R433*Q433*S433/1000000</f>
        <v/>
      </c>
      <c r="U433" s="8">
        <f>I433/T433</f>
        <v/>
      </c>
      <c r="V433" s="8">
        <f>SUMIF($E$2:$E$599,E433,$I$2:$I$599)/SUMIF($E$2:$E$599,E433,$T$2:$T$599)</f>
        <v/>
      </c>
      <c r="W433" s="8">
        <f>V433+1.645*SQRT(V433/T433)+1/(2*T433)</f>
        <v/>
      </c>
      <c r="X433" s="5">
        <f>U433/W433</f>
        <v/>
      </c>
      <c r="Y433">
        <f>IF(U433&gt;W433,"high",IF(U433&gt;V433,"medium","low"))</f>
        <v/>
      </c>
      <c r="Z433">
        <f>CHOOSE(MAX(IF(M433="high",2,IF(M433="medium",1,0)),IF(Y433="high",2,IF(Y433="medium",1,0)))+1,"low","medium","high")</f>
        <v/>
      </c>
      <c r="AA433">
        <f>IF(IF(M433="high",2,IF(M433="medium",1,0))=IF(Y433="high",2,IF(Y433="medium",1,0)),"SI และ Rate เท่ากัน",IF(IF(M433="high",2,IF(M433="medium",1,0))&gt;IF(Y433="high",2,IF(Y433="medium",1,0)),"SI","Rate"))</f>
        <v/>
      </c>
    </row>
    <row r="434">
      <c r="A434" t="inlineStr">
        <is>
          <t>zone_28</t>
        </is>
      </c>
      <c r="B434" t="inlineStr">
        <is>
          <t>บางแค - คลองมหาสวัสดิ์</t>
        </is>
      </c>
      <c r="C434" t="inlineStr">
        <is>
          <t>กรุงเทพมหานคร</t>
        </is>
      </c>
      <c r="D434" t="inlineStr">
        <is>
          <t>9</t>
        </is>
      </c>
      <c r="E434" t="inlineStr">
        <is>
          <t>ทล.</t>
        </is>
      </c>
      <c r="F434" t="inlineStr">
        <is>
          <t>23.5–23.85</t>
        </is>
      </c>
      <c r="G434" t="inlineStr">
        <is>
          <t>station_id 123 (ทล.9 กม.20+430)</t>
        </is>
      </c>
      <c r="H434" t="inlineStr">
        <is>
          <t>ทล. สถานีตัวแทนตอนควบคุม</t>
        </is>
      </c>
      <c r="I434" t="n">
        <v>8</v>
      </c>
      <c r="J434" t="n">
        <v>1</v>
      </c>
      <c r="K434" t="n">
        <v>4</v>
      </c>
      <c r="L434" s="5" t="n">
        <v>0.625</v>
      </c>
      <c r="M434" t="inlineStr">
        <is>
          <t>low</t>
        </is>
      </c>
      <c r="N434" s="6" t="n">
        <v>161583</v>
      </c>
      <c r="O434" s="6" t="n">
        <v>167210</v>
      </c>
      <c r="P434" s="6" t="n">
        <v>164129</v>
      </c>
      <c r="Q434" s="6">
        <f>AVERAGE(N434:P434)</f>
        <v/>
      </c>
      <c r="R434" t="n">
        <v>3</v>
      </c>
      <c r="S434" t="n">
        <v>1</v>
      </c>
      <c r="T434" s="7">
        <f>365*R434*Q434*S434/1000000</f>
        <v/>
      </c>
      <c r="U434" s="8">
        <f>I434/T434</f>
        <v/>
      </c>
      <c r="V434" s="8">
        <f>SUMIF($E$2:$E$599,E434,$I$2:$I$599)/SUMIF($E$2:$E$599,E434,$T$2:$T$599)</f>
        <v/>
      </c>
      <c r="W434" s="8">
        <f>V434+1.645*SQRT(V434/T434)+1/(2*T434)</f>
        <v/>
      </c>
      <c r="X434" s="5">
        <f>U434/W434</f>
        <v/>
      </c>
      <c r="Y434">
        <f>IF(U434&gt;W434,"high",IF(U434&gt;V434,"medium","low"))</f>
        <v/>
      </c>
      <c r="Z434">
        <f>CHOOSE(MAX(IF(M434="high",2,IF(M434="medium",1,0)),IF(Y434="high",2,IF(Y434="medium",1,0)))+1,"low","medium","high")</f>
        <v/>
      </c>
      <c r="AA434">
        <f>IF(IF(M434="high",2,IF(M434="medium",1,0))=IF(Y434="high",2,IF(Y434="medium",1,0)),"SI และ Rate เท่ากัน",IF(IF(M434="high",2,IF(M434="medium",1,0))&gt;IF(Y434="high",2,IF(Y434="medium",1,0)),"SI","Rate"))</f>
        <v/>
      </c>
    </row>
    <row r="435">
      <c r="A435" t="inlineStr">
        <is>
          <t>zone_220</t>
        </is>
      </c>
      <c r="B435" t="inlineStr">
        <is>
          <t>แขวงคลองสองต้นนุ่น - พิมพา</t>
        </is>
      </c>
      <c r="C435" t="inlineStr">
        <is>
          <t>กรุงเทพมหานคร</t>
        </is>
      </c>
      <c r="D435" t="inlineStr">
        <is>
          <t>7</t>
        </is>
      </c>
      <c r="E435" t="inlineStr">
        <is>
          <t>ทล.</t>
        </is>
      </c>
      <c r="F435" t="inlineStr">
        <is>
          <t>18.6–19.2</t>
        </is>
      </c>
      <c r="G435" t="inlineStr">
        <is>
          <t>station_id 345 (ทล.7 กม.17+000)</t>
        </is>
      </c>
      <c r="H435" t="inlineStr">
        <is>
          <t>ทล. สถานีตัวแทนตอนควบคุม</t>
        </is>
      </c>
      <c r="I435" t="n">
        <v>11</v>
      </c>
      <c r="J435" t="n">
        <v>0</v>
      </c>
      <c r="K435" t="n">
        <v>3</v>
      </c>
      <c r="L435" s="5" t="n">
        <v>0.2727</v>
      </c>
      <c r="M435" t="inlineStr">
        <is>
          <t>low</t>
        </is>
      </c>
      <c r="N435" s="6" t="n">
        <v>220901</v>
      </c>
      <c r="O435" s="6" t="n">
        <v>242192</v>
      </c>
      <c r="P435" s="6" t="n">
        <v>262343</v>
      </c>
      <c r="Q435" s="6">
        <f>AVERAGE(N435:P435)</f>
        <v/>
      </c>
      <c r="R435" t="n">
        <v>3</v>
      </c>
      <c r="S435" t="n">
        <v>1</v>
      </c>
      <c r="T435" s="7">
        <f>365*R435*Q435*S435/1000000</f>
        <v/>
      </c>
      <c r="U435" s="8">
        <f>I435/T435</f>
        <v/>
      </c>
      <c r="V435" s="8">
        <f>SUMIF($E$2:$E$599,E435,$I$2:$I$599)/SUMIF($E$2:$E$599,E435,$T$2:$T$599)</f>
        <v/>
      </c>
      <c r="W435" s="8">
        <f>V435+1.645*SQRT(V435/T435)+1/(2*T435)</f>
        <v/>
      </c>
      <c r="X435" s="5">
        <f>U435/W435</f>
        <v/>
      </c>
      <c r="Y435">
        <f>IF(U435&gt;W435,"high",IF(U435&gt;V435,"medium","low"))</f>
        <v/>
      </c>
      <c r="Z435">
        <f>CHOOSE(MAX(IF(M435="high",2,IF(M435="medium",1,0)),IF(Y435="high",2,IF(Y435="medium",1,0)))+1,"low","medium","high")</f>
        <v/>
      </c>
      <c r="AA435">
        <f>IF(IF(M435="high",2,IF(M435="medium",1,0))=IF(Y435="high",2,IF(Y435="medium",1,0)),"SI และ Rate เท่ากัน",IF(IF(M435="high",2,IF(M435="medium",1,0))&gt;IF(Y435="high",2,IF(Y435="medium",1,0)),"SI","Rate"))</f>
        <v/>
      </c>
    </row>
    <row r="436">
      <c r="A436" t="inlineStr">
        <is>
          <t>zone_463</t>
        </is>
      </c>
      <c r="B436" t="inlineStr">
        <is>
          <t>แขวงคลองสองต้นนุ่น - พิมพา</t>
        </is>
      </c>
      <c r="C436" t="inlineStr">
        <is>
          <t>สมุทรปราการ</t>
        </is>
      </c>
      <c r="D436" t="inlineStr">
        <is>
          <t>7</t>
        </is>
      </c>
      <c r="E436" t="inlineStr">
        <is>
          <t>ทล.</t>
        </is>
      </c>
      <c r="F436" t="inlineStr">
        <is>
          <t>25.5–26</t>
        </is>
      </c>
      <c r="G436" t="inlineStr">
        <is>
          <t>station_id 345 (ทล.7 กม.17+000)</t>
        </is>
      </c>
      <c r="H436" t="inlineStr">
        <is>
          <t>ทล. สถานีตัวแทนตอนควบคุม</t>
        </is>
      </c>
      <c r="I436" t="n">
        <v>11</v>
      </c>
      <c r="J436" t="n">
        <v>0</v>
      </c>
      <c r="K436" t="n">
        <v>0</v>
      </c>
      <c r="L436" s="5" t="n">
        <v>0</v>
      </c>
      <c r="M436" t="inlineStr">
        <is>
          <t>low</t>
        </is>
      </c>
      <c r="N436" s="6" t="n">
        <v>220901</v>
      </c>
      <c r="O436" s="6" t="n">
        <v>242192</v>
      </c>
      <c r="P436" s="6" t="n">
        <v>262343</v>
      </c>
      <c r="Q436" s="6">
        <f>AVERAGE(N436:P436)</f>
        <v/>
      </c>
      <c r="R436" t="n">
        <v>3</v>
      </c>
      <c r="S436" t="n">
        <v>1</v>
      </c>
      <c r="T436" s="7">
        <f>365*R436*Q436*S436/1000000</f>
        <v/>
      </c>
      <c r="U436" s="8">
        <f>I436/T436</f>
        <v/>
      </c>
      <c r="V436" s="8">
        <f>SUMIF($E$2:$E$599,E436,$I$2:$I$599)/SUMIF($E$2:$E$599,E436,$T$2:$T$599)</f>
        <v/>
      </c>
      <c r="W436" s="8">
        <f>V436+1.645*SQRT(V436/T436)+1/(2*T436)</f>
        <v/>
      </c>
      <c r="X436" s="5">
        <f>U436/W436</f>
        <v/>
      </c>
      <c r="Y436">
        <f>IF(U436&gt;W436,"high",IF(U436&gt;V436,"medium","low"))</f>
        <v/>
      </c>
      <c r="Z436">
        <f>CHOOSE(MAX(IF(M436="high",2,IF(M436="medium",1,0)),IF(Y436="high",2,IF(Y436="medium",1,0)))+1,"low","medium","high")</f>
        <v/>
      </c>
      <c r="AA436">
        <f>IF(IF(M436="high",2,IF(M436="medium",1,0))=IF(Y436="high",2,IF(Y436="medium",1,0)),"SI และ Rate เท่ากัน",IF(IF(M436="high",2,IF(M436="medium",1,0))&gt;IF(Y436="high",2,IF(Y436="medium",1,0)),"SI","Rate"))</f>
        <v/>
      </c>
    </row>
    <row r="437">
      <c r="A437" t="inlineStr">
        <is>
          <t>zone_556</t>
        </is>
      </c>
      <c r="B437" t="inlineStr">
        <is>
          <t>ราษฎร์บูรณะ - พระสมุทรเจดีย์</t>
        </is>
      </c>
      <c r="C437" t="inlineStr">
        <is>
          <t>สมุทรปราการ</t>
        </is>
      </c>
      <c r="D437" t="inlineStr">
        <is>
          <t>303</t>
        </is>
      </c>
      <c r="E437" t="inlineStr">
        <is>
          <t>ทล.</t>
        </is>
      </c>
      <c r="F437" t="inlineStr">
        <is>
          <t>17.8–18</t>
        </is>
      </c>
      <c r="G437" t="inlineStr">
        <is>
          <t>station_id 93 (ทล.303 กม.14+000)</t>
        </is>
      </c>
      <c r="H437" t="inlineStr">
        <is>
          <t>ทล. สถานีตัวแทนตอนควบคุม</t>
        </is>
      </c>
      <c r="I437" t="n">
        <v>4</v>
      </c>
      <c r="J437" t="n">
        <v>0</v>
      </c>
      <c r="K437" t="n">
        <v>3</v>
      </c>
      <c r="L437" s="5" t="n">
        <v>0.75</v>
      </c>
      <c r="M437" t="inlineStr">
        <is>
          <t>low</t>
        </is>
      </c>
      <c r="N437" s="6" t="n">
        <v>72796</v>
      </c>
      <c r="O437" s="6" t="n">
        <v>74031</v>
      </c>
      <c r="P437" s="6" t="n">
        <v>76209</v>
      </c>
      <c r="Q437" s="6">
        <f>AVERAGE(N437:P437)</f>
        <v/>
      </c>
      <c r="R437" t="n">
        <v>3</v>
      </c>
      <c r="S437" t="n">
        <v>1</v>
      </c>
      <c r="T437" s="7">
        <f>365*R437*Q437*S437/1000000</f>
        <v/>
      </c>
      <c r="U437" s="8">
        <f>I437/T437</f>
        <v/>
      </c>
      <c r="V437" s="8">
        <f>SUMIF($E$2:$E$599,E437,$I$2:$I$599)/SUMIF($E$2:$E$599,E437,$T$2:$T$599)</f>
        <v/>
      </c>
      <c r="W437" s="8">
        <f>V437+1.645*SQRT(V437/T437)+1/(2*T437)</f>
        <v/>
      </c>
      <c r="X437" s="5">
        <f>U437/W437</f>
        <v/>
      </c>
      <c r="Y437">
        <f>IF(U437&gt;W437,"high",IF(U437&gt;V437,"medium","low"))</f>
        <v/>
      </c>
      <c r="Z437">
        <f>CHOOSE(MAX(IF(M437="high",2,IF(M437="medium",1,0)),IF(Y437="high",2,IF(Y437="medium",1,0)))+1,"low","medium","high")</f>
        <v/>
      </c>
      <c r="AA437">
        <f>IF(IF(M437="high",2,IF(M437="medium",1,0))=IF(Y437="high",2,IF(Y437="medium",1,0)),"SI และ Rate เท่ากัน",IF(IF(M437="high",2,IF(M437="medium",1,0))&gt;IF(Y437="high",2,IF(Y437="medium",1,0)),"SI","Rate"))</f>
        <v/>
      </c>
    </row>
    <row r="438">
      <c r="A438" t="inlineStr">
        <is>
          <t>zone_362</t>
        </is>
      </c>
      <c r="B438" t="inlineStr">
        <is>
          <t>พระประโทน - สระกระเทียม</t>
        </is>
      </c>
      <c r="C438" t="inlineStr">
        <is>
          <t>นครปฐม</t>
        </is>
      </c>
      <c r="D438" t="inlineStr">
        <is>
          <t>4</t>
        </is>
      </c>
      <c r="E438" t="inlineStr">
        <is>
          <t>ทล.</t>
        </is>
      </c>
      <c r="F438" t="inlineStr">
        <is>
          <t>54.9–55.13</t>
        </is>
      </c>
      <c r="G438" t="inlineStr">
        <is>
          <t>station_id 1969 (ทล.4 กม.55+087)</t>
        </is>
      </c>
      <c r="H438" t="inlineStr">
        <is>
          <t>ทล. สถานีตัวแทนตอนควบคุม</t>
        </is>
      </c>
      <c r="I438" t="n">
        <v>5</v>
      </c>
      <c r="J438" t="n">
        <v>0</v>
      </c>
      <c r="K438" t="n">
        <v>1</v>
      </c>
      <c r="L438" s="5" t="n">
        <v>0.2</v>
      </c>
      <c r="M438" t="inlineStr">
        <is>
          <t>low</t>
        </is>
      </c>
      <c r="N438" s="6" t="n">
        <v>99124</v>
      </c>
      <c r="O438" s="6" t="n">
        <v>94365</v>
      </c>
      <c r="P438" s="6" t="n">
        <v>100020</v>
      </c>
      <c r="Q438" s="6">
        <f>AVERAGE(N438:P438)</f>
        <v/>
      </c>
      <c r="R438" t="n">
        <v>3</v>
      </c>
      <c r="S438" t="n">
        <v>1</v>
      </c>
      <c r="T438" s="7">
        <f>365*R438*Q438*S438/1000000</f>
        <v/>
      </c>
      <c r="U438" s="8">
        <f>I438/T438</f>
        <v/>
      </c>
      <c r="V438" s="8">
        <f>SUMIF($E$2:$E$599,E438,$I$2:$I$599)/SUMIF($E$2:$E$599,E438,$T$2:$T$599)</f>
        <v/>
      </c>
      <c r="W438" s="8">
        <f>V438+1.645*SQRT(V438/T438)+1/(2*T438)</f>
        <v/>
      </c>
      <c r="X438" s="5">
        <f>U438/W438</f>
        <v/>
      </c>
      <c r="Y438">
        <f>IF(U438&gt;W438,"high",IF(U438&gt;V438,"medium","low"))</f>
        <v/>
      </c>
      <c r="Z438">
        <f>CHOOSE(MAX(IF(M438="high",2,IF(M438="medium",1,0)),IF(Y438="high",2,IF(Y438="medium",1,0)))+1,"low","medium","high")</f>
        <v/>
      </c>
      <c r="AA438">
        <f>IF(IF(M438="high",2,IF(M438="medium",1,0))=IF(Y438="high",2,IF(Y438="medium",1,0)),"SI และ Rate เท่ากัน",IF(IF(M438="high",2,IF(M438="medium",1,0))&gt;IF(Y438="high",2,IF(Y438="medium",1,0)),"SI","Rate"))</f>
        <v/>
      </c>
    </row>
    <row r="439">
      <c r="A439" t="inlineStr">
        <is>
          <t>zone_324</t>
        </is>
      </c>
      <c r="B439" t="inlineStr">
        <is>
          <t>บางบัวทอง - ไทรน้อย</t>
        </is>
      </c>
      <c r="C439" t="inlineStr">
        <is>
          <t>นนทบุรี</t>
        </is>
      </c>
      <c r="D439" t="inlineStr">
        <is>
          <t>3215</t>
        </is>
      </c>
      <c r="E439" t="inlineStr">
        <is>
          <t>ทล.</t>
        </is>
      </c>
      <c r="F439" t="inlineStr">
        <is>
          <t>15.43–15.7</t>
        </is>
      </c>
      <c r="G439" t="inlineStr">
        <is>
          <t>station_id 116 (ทล.3215 กม.14+705)</t>
        </is>
      </c>
      <c r="H439" t="inlineStr">
        <is>
          <t>ทล. สถานีตัวแทนตอนควบคุม</t>
        </is>
      </c>
      <c r="I439" t="n">
        <v>3</v>
      </c>
      <c r="J439" t="n">
        <v>0</v>
      </c>
      <c r="K439" t="n">
        <v>1</v>
      </c>
      <c r="L439" s="5" t="n">
        <v>0.3333</v>
      </c>
      <c r="M439" t="inlineStr">
        <is>
          <t>low</t>
        </is>
      </c>
      <c r="N439" s="6" t="n">
        <v>50392</v>
      </c>
      <c r="O439" s="6" t="n">
        <v>51647</v>
      </c>
      <c r="P439" s="6" t="n">
        <v>55613</v>
      </c>
      <c r="Q439" s="6">
        <f>AVERAGE(N439:P439)</f>
        <v/>
      </c>
      <c r="R439" t="n">
        <v>3</v>
      </c>
      <c r="S439" t="n">
        <v>1</v>
      </c>
      <c r="T439" s="7">
        <f>365*R439*Q439*S439/1000000</f>
        <v/>
      </c>
      <c r="U439" s="8">
        <f>I439/T439</f>
        <v/>
      </c>
      <c r="V439" s="8">
        <f>SUMIF($E$2:$E$599,E439,$I$2:$I$599)/SUMIF($E$2:$E$599,E439,$T$2:$T$599)</f>
        <v/>
      </c>
      <c r="W439" s="8">
        <f>V439+1.645*SQRT(V439/T439)+1/(2*T439)</f>
        <v/>
      </c>
      <c r="X439" s="5">
        <f>U439/W439</f>
        <v/>
      </c>
      <c r="Y439">
        <f>IF(U439&gt;W439,"high",IF(U439&gt;V439,"medium","low"))</f>
        <v/>
      </c>
      <c r="Z439">
        <f>CHOOSE(MAX(IF(M439="high",2,IF(M439="medium",1,0)),IF(Y439="high",2,IF(Y439="medium",1,0)))+1,"low","medium","high")</f>
        <v/>
      </c>
      <c r="AA439">
        <f>IF(IF(M439="high",2,IF(M439="medium",1,0))=IF(Y439="high",2,IF(Y439="medium",1,0)),"SI และ Rate เท่ากัน",IF(IF(M439="high",2,IF(M439="medium",1,0))&gt;IF(Y439="high",2,IF(Y439="medium",1,0)),"SI","Rate"))</f>
        <v/>
      </c>
    </row>
    <row r="440">
      <c r="A440" t="inlineStr">
        <is>
          <t>zone_325</t>
        </is>
      </c>
      <c r="B440" t="inlineStr">
        <is>
          <t>บางบัวทอง - ไทรน้อย</t>
        </is>
      </c>
      <c r="C440" t="inlineStr">
        <is>
          <t>นนทบุรี</t>
        </is>
      </c>
      <c r="D440" t="inlineStr">
        <is>
          <t>3215</t>
        </is>
      </c>
      <c r="E440" t="inlineStr">
        <is>
          <t>ทล.</t>
        </is>
      </c>
      <c r="F440" t="inlineStr">
        <is>
          <t>18.51–18.6</t>
        </is>
      </c>
      <c r="G440" t="inlineStr">
        <is>
          <t>station_id 116 (ทล.3215 กม.14+705)</t>
        </is>
      </c>
      <c r="H440" t="inlineStr">
        <is>
          <t>ทล. สถานีตัวแทนตอนควบคุม</t>
        </is>
      </c>
      <c r="I440" t="n">
        <v>3</v>
      </c>
      <c r="J440" t="n">
        <v>0</v>
      </c>
      <c r="K440" t="n">
        <v>1</v>
      </c>
      <c r="L440" s="5" t="n">
        <v>0.3333</v>
      </c>
      <c r="M440" t="inlineStr">
        <is>
          <t>low</t>
        </is>
      </c>
      <c r="N440" s="6" t="n">
        <v>50392</v>
      </c>
      <c r="O440" s="6" t="n">
        <v>51647</v>
      </c>
      <c r="P440" s="6" t="n">
        <v>55613</v>
      </c>
      <c r="Q440" s="6">
        <f>AVERAGE(N440:P440)</f>
        <v/>
      </c>
      <c r="R440" t="n">
        <v>3</v>
      </c>
      <c r="S440" t="n">
        <v>1</v>
      </c>
      <c r="T440" s="7">
        <f>365*R440*Q440*S440/1000000</f>
        <v/>
      </c>
      <c r="U440" s="8">
        <f>I440/T440</f>
        <v/>
      </c>
      <c r="V440" s="8">
        <f>SUMIF($E$2:$E$599,E440,$I$2:$I$599)/SUMIF($E$2:$E$599,E440,$T$2:$T$599)</f>
        <v/>
      </c>
      <c r="W440" s="8">
        <f>V440+1.645*SQRT(V440/T440)+1/(2*T440)</f>
        <v/>
      </c>
      <c r="X440" s="5">
        <f>U440/W440</f>
        <v/>
      </c>
      <c r="Y440">
        <f>IF(U440&gt;W440,"high",IF(U440&gt;V440,"medium","low"))</f>
        <v/>
      </c>
      <c r="Z440">
        <f>CHOOSE(MAX(IF(M440="high",2,IF(M440="medium",1,0)),IF(Y440="high",2,IF(Y440="medium",1,0)))+1,"low","medium","high")</f>
        <v/>
      </c>
      <c r="AA440">
        <f>IF(IF(M440="high",2,IF(M440="medium",1,0))=IF(Y440="high",2,IF(Y440="medium",1,0)),"SI และ Rate เท่ากัน",IF(IF(M440="high",2,IF(M440="medium",1,0))&gt;IF(Y440="high",2,IF(Y440="medium",1,0)),"SI","Rate"))</f>
        <v/>
      </c>
    </row>
    <row r="441">
      <c r="A441" t="inlineStr">
        <is>
          <t>zone_328</t>
        </is>
      </c>
      <c r="B441" t="inlineStr">
        <is>
          <t>บางบัวทอง - ไทรน้อย</t>
        </is>
      </c>
      <c r="C441" t="inlineStr">
        <is>
          <t>นนทบุรี</t>
        </is>
      </c>
      <c r="D441" t="inlineStr">
        <is>
          <t>3215</t>
        </is>
      </c>
      <c r="E441" t="inlineStr">
        <is>
          <t>ทล.</t>
        </is>
      </c>
      <c r="F441" t="inlineStr">
        <is>
          <t>24.84–24.97</t>
        </is>
      </c>
      <c r="G441" t="inlineStr">
        <is>
          <t>station_id 116 (ทล.3215 กม.14+705)</t>
        </is>
      </c>
      <c r="H441" t="inlineStr">
        <is>
          <t>ทล. สถานีตัวแทนตอนควบคุม</t>
        </is>
      </c>
      <c r="I441" t="n">
        <v>3</v>
      </c>
      <c r="J441" t="n">
        <v>0</v>
      </c>
      <c r="K441" t="n">
        <v>1</v>
      </c>
      <c r="L441" s="5" t="n">
        <v>0.3333</v>
      </c>
      <c r="M441" t="inlineStr">
        <is>
          <t>low</t>
        </is>
      </c>
      <c r="N441" s="6" t="n">
        <v>50392</v>
      </c>
      <c r="O441" s="6" t="n">
        <v>51647</v>
      </c>
      <c r="P441" s="6" t="n">
        <v>55613</v>
      </c>
      <c r="Q441" s="6">
        <f>AVERAGE(N441:P441)</f>
        <v/>
      </c>
      <c r="R441" t="n">
        <v>3</v>
      </c>
      <c r="S441" t="n">
        <v>1</v>
      </c>
      <c r="T441" s="7">
        <f>365*R441*Q441*S441/1000000</f>
        <v/>
      </c>
      <c r="U441" s="8">
        <f>I441/T441</f>
        <v/>
      </c>
      <c r="V441" s="8">
        <f>SUMIF($E$2:$E$599,E441,$I$2:$I$599)/SUMIF($E$2:$E$599,E441,$T$2:$T$599)</f>
        <v/>
      </c>
      <c r="W441" s="8">
        <f>V441+1.645*SQRT(V441/T441)+1/(2*T441)</f>
        <v/>
      </c>
      <c r="X441" s="5">
        <f>U441/W441</f>
        <v/>
      </c>
      <c r="Y441">
        <f>IF(U441&gt;W441,"high",IF(U441&gt;V441,"medium","low"))</f>
        <v/>
      </c>
      <c r="Z441">
        <f>CHOOSE(MAX(IF(M441="high",2,IF(M441="medium",1,0)),IF(Y441="high",2,IF(Y441="medium",1,0)))+1,"low","medium","high")</f>
        <v/>
      </c>
      <c r="AA441">
        <f>IF(IF(M441="high",2,IF(M441="medium",1,0))=IF(Y441="high",2,IF(Y441="medium",1,0)),"SI และ Rate เท่ากัน",IF(IF(M441="high",2,IF(M441="medium",1,0))&gt;IF(Y441="high",2,IF(Y441="medium",1,0)),"SI","Rate"))</f>
        <v/>
      </c>
    </row>
    <row r="442">
      <c r="A442" t="inlineStr">
        <is>
          <t>zone_343</t>
        </is>
      </c>
      <c r="B442" t="inlineStr">
        <is>
          <t>บางบัวทอง - ไทรน้อย</t>
        </is>
      </c>
      <c r="C442" t="inlineStr">
        <is>
          <t>นนทบุรี</t>
        </is>
      </c>
      <c r="D442" t="inlineStr">
        <is>
          <t>3215</t>
        </is>
      </c>
      <c r="E442" t="inlineStr">
        <is>
          <t>ทล.</t>
        </is>
      </c>
      <c r="F442" t="inlineStr">
        <is>
          <t>13.709–13.8</t>
        </is>
      </c>
      <c r="G442" t="inlineStr">
        <is>
          <t>station_id 116 (ทล.3215 กม.14+705)</t>
        </is>
      </c>
      <c r="H442" t="inlineStr">
        <is>
          <t>ทล. สถานีตัวแทนตอนควบคุม</t>
        </is>
      </c>
      <c r="I442" t="n">
        <v>3</v>
      </c>
      <c r="J442" t="n">
        <v>0</v>
      </c>
      <c r="K442" t="n">
        <v>2</v>
      </c>
      <c r="L442" s="5" t="n">
        <v>0.6667</v>
      </c>
      <c r="M442" t="inlineStr">
        <is>
          <t>low</t>
        </is>
      </c>
      <c r="N442" s="6" t="n">
        <v>50392</v>
      </c>
      <c r="O442" s="6" t="n">
        <v>51647</v>
      </c>
      <c r="P442" s="6" t="n">
        <v>55613</v>
      </c>
      <c r="Q442" s="6">
        <f>AVERAGE(N442:P442)</f>
        <v/>
      </c>
      <c r="R442" t="n">
        <v>3</v>
      </c>
      <c r="S442" t="n">
        <v>1</v>
      </c>
      <c r="T442" s="7">
        <f>365*R442*Q442*S442/1000000</f>
        <v/>
      </c>
      <c r="U442" s="8">
        <f>I442/T442</f>
        <v/>
      </c>
      <c r="V442" s="8">
        <f>SUMIF($E$2:$E$599,E442,$I$2:$I$599)/SUMIF($E$2:$E$599,E442,$T$2:$T$599)</f>
        <v/>
      </c>
      <c r="W442" s="8">
        <f>V442+1.645*SQRT(V442/T442)+1/(2*T442)</f>
        <v/>
      </c>
      <c r="X442" s="5">
        <f>U442/W442</f>
        <v/>
      </c>
      <c r="Y442">
        <f>IF(U442&gt;W442,"high",IF(U442&gt;V442,"medium","low"))</f>
        <v/>
      </c>
      <c r="Z442">
        <f>CHOOSE(MAX(IF(M442="high",2,IF(M442="medium",1,0)),IF(Y442="high",2,IF(Y442="medium",1,0)))+1,"low","medium","high")</f>
        <v/>
      </c>
      <c r="AA442">
        <f>IF(IF(M442="high",2,IF(M442="medium",1,0))=IF(Y442="high",2,IF(Y442="medium",1,0)),"SI และ Rate เท่ากัน",IF(IF(M442="high",2,IF(M442="medium",1,0))&gt;IF(Y442="high",2,IF(Y442="medium",1,0)),"SI","Rate"))</f>
        <v/>
      </c>
    </row>
    <row r="443">
      <c r="A443" t="inlineStr">
        <is>
          <t>zone_344</t>
        </is>
      </c>
      <c r="B443" t="inlineStr">
        <is>
          <t>บางบัวทอง - ไทรน้อย</t>
        </is>
      </c>
      <c r="C443" t="inlineStr">
        <is>
          <t>นนทบุรี</t>
        </is>
      </c>
      <c r="D443" t="inlineStr">
        <is>
          <t>3215</t>
        </is>
      </c>
      <c r="E443" t="inlineStr">
        <is>
          <t>ทล.</t>
        </is>
      </c>
      <c r="F443" t="inlineStr">
        <is>
          <t>20–20</t>
        </is>
      </c>
      <c r="G443" t="inlineStr">
        <is>
          <t>station_id 116 (ทล.3215 กม.14+705)</t>
        </is>
      </c>
      <c r="H443" t="inlineStr">
        <is>
          <t>ทล. สถานีตัวแทนตอนควบคุม</t>
        </is>
      </c>
      <c r="I443" t="n">
        <v>3</v>
      </c>
      <c r="J443" t="n">
        <v>0</v>
      </c>
      <c r="K443" t="n">
        <v>0</v>
      </c>
      <c r="L443" s="5" t="n">
        <v>0</v>
      </c>
      <c r="M443" t="inlineStr">
        <is>
          <t>low</t>
        </is>
      </c>
      <c r="N443" s="6" t="n">
        <v>50392</v>
      </c>
      <c r="O443" s="6" t="n">
        <v>51647</v>
      </c>
      <c r="P443" s="6" t="n">
        <v>55613</v>
      </c>
      <c r="Q443" s="6">
        <f>AVERAGE(N443:P443)</f>
        <v/>
      </c>
      <c r="R443" t="n">
        <v>3</v>
      </c>
      <c r="S443" t="n">
        <v>1</v>
      </c>
      <c r="T443" s="7">
        <f>365*R443*Q443*S443/1000000</f>
        <v/>
      </c>
      <c r="U443" s="8">
        <f>I443/T443</f>
        <v/>
      </c>
      <c r="V443" s="8">
        <f>SUMIF($E$2:$E$599,E443,$I$2:$I$599)/SUMIF($E$2:$E$599,E443,$T$2:$T$599)</f>
        <v/>
      </c>
      <c r="W443" s="8">
        <f>V443+1.645*SQRT(V443/T443)+1/(2*T443)</f>
        <v/>
      </c>
      <c r="X443" s="5">
        <f>U443/W443</f>
        <v/>
      </c>
      <c r="Y443">
        <f>IF(U443&gt;W443,"high",IF(U443&gt;V443,"medium","low"))</f>
        <v/>
      </c>
      <c r="Z443">
        <f>CHOOSE(MAX(IF(M443="high",2,IF(M443="medium",1,0)),IF(Y443="high",2,IF(Y443="medium",1,0)))+1,"low","medium","high")</f>
        <v/>
      </c>
      <c r="AA443">
        <f>IF(IF(M443="high",2,IF(M443="medium",1,0))=IF(Y443="high",2,IF(Y443="medium",1,0)),"SI และ Rate เท่ากัน",IF(IF(M443="high",2,IF(M443="medium",1,0))&gt;IF(Y443="high",2,IF(Y443="medium",1,0)),"SI","Rate"))</f>
        <v/>
      </c>
    </row>
    <row r="444">
      <c r="A444" t="inlineStr">
        <is>
          <t>zone_207</t>
        </is>
      </c>
      <c r="B444" t="inlineStr">
        <is>
          <t>คลองประปา - คันนายาว</t>
        </is>
      </c>
      <c r="C444" t="inlineStr">
        <is>
          <t>กรุงเทพมหานคร</t>
        </is>
      </c>
      <c r="D444" t="inlineStr">
        <is>
          <t>304</t>
        </is>
      </c>
      <c r="E444" t="inlineStr">
        <is>
          <t>ทล.</t>
        </is>
      </c>
      <c r="F444" t="inlineStr">
        <is>
          <t>16.049–16.049</t>
        </is>
      </c>
      <c r="G444" t="inlineStr">
        <is>
          <t>station_id 1 (ทล.304 กม.18+610)</t>
        </is>
      </c>
      <c r="H444" t="inlineStr">
        <is>
          <t>ทล. สถานีตัวแทนตอนควบคุม</t>
        </is>
      </c>
      <c r="I444" t="n">
        <v>4</v>
      </c>
      <c r="J444" t="n">
        <v>3</v>
      </c>
      <c r="K444" t="n">
        <v>0</v>
      </c>
      <c r="L444" s="5" t="n">
        <v>0.25</v>
      </c>
      <c r="M444" t="inlineStr">
        <is>
          <t>low</t>
        </is>
      </c>
      <c r="N444" s="6" t="n">
        <v>60135</v>
      </c>
      <c r="O444" s="6" t="n">
        <v>84838</v>
      </c>
      <c r="P444" s="6" t="n">
        <v>93205</v>
      </c>
      <c r="Q444" s="6">
        <f>AVERAGE(N444:P444)</f>
        <v/>
      </c>
      <c r="R444" t="n">
        <v>3</v>
      </c>
      <c r="S444" t="n">
        <v>1</v>
      </c>
      <c r="T444" s="7">
        <f>365*R444*Q444*S444/1000000</f>
        <v/>
      </c>
      <c r="U444" s="8">
        <f>I444/T444</f>
        <v/>
      </c>
      <c r="V444" s="8">
        <f>SUMIF($E$2:$E$599,E444,$I$2:$I$599)/SUMIF($E$2:$E$599,E444,$T$2:$T$599)</f>
        <v/>
      </c>
      <c r="W444" s="8">
        <f>V444+1.645*SQRT(V444/T444)+1/(2*T444)</f>
        <v/>
      </c>
      <c r="X444" s="5">
        <f>U444/W444</f>
        <v/>
      </c>
      <c r="Y444">
        <f>IF(U444&gt;W444,"high",IF(U444&gt;V444,"medium","low"))</f>
        <v/>
      </c>
      <c r="Z444">
        <f>CHOOSE(MAX(IF(M444="high",2,IF(M444="medium",1,0)),IF(Y444="high",2,IF(Y444="medium",1,0)))+1,"low","medium","high")</f>
        <v/>
      </c>
      <c r="AA444">
        <f>IF(IF(M444="high",2,IF(M444="medium",1,0))=IF(Y444="high",2,IF(Y444="medium",1,0)),"SI และ Rate เท่ากัน",IF(IF(M444="high",2,IF(M444="medium",1,0))&gt;IF(Y444="high",2,IF(Y444="medium",1,0)),"SI","Rate"))</f>
        <v/>
      </c>
    </row>
    <row r="445">
      <c r="A445" t="inlineStr">
        <is>
          <t>zone_274</t>
        </is>
      </c>
      <c r="B445" t="inlineStr">
        <is>
          <t>คลองประปา - คันนายาว</t>
        </is>
      </c>
      <c r="C445" t="inlineStr">
        <is>
          <t>กรุงเทพมหานคร</t>
        </is>
      </c>
      <c r="D445" t="inlineStr">
        <is>
          <t>304</t>
        </is>
      </c>
      <c r="E445" t="inlineStr">
        <is>
          <t>ทล.</t>
        </is>
      </c>
      <c r="F445" t="inlineStr">
        <is>
          <t>13.286–13.286</t>
        </is>
      </c>
      <c r="G445" t="inlineStr">
        <is>
          <t>station_id 1 (ทล.304 กม.18+610)</t>
        </is>
      </c>
      <c r="H445" t="inlineStr">
        <is>
          <t>ทล. สถานีตัวแทนตอนควบคุม</t>
        </is>
      </c>
      <c r="I445" t="n">
        <v>4</v>
      </c>
      <c r="J445" t="n">
        <v>0</v>
      </c>
      <c r="K445" t="n">
        <v>0</v>
      </c>
      <c r="L445" s="5" t="n">
        <v>0</v>
      </c>
      <c r="M445" t="inlineStr">
        <is>
          <t>low</t>
        </is>
      </c>
      <c r="N445" s="6" t="n">
        <v>60135</v>
      </c>
      <c r="O445" s="6" t="n">
        <v>84838</v>
      </c>
      <c r="P445" s="6" t="n">
        <v>93205</v>
      </c>
      <c r="Q445" s="6">
        <f>AVERAGE(N445:P445)</f>
        <v/>
      </c>
      <c r="R445" t="n">
        <v>3</v>
      </c>
      <c r="S445" t="n">
        <v>1</v>
      </c>
      <c r="T445" s="7">
        <f>365*R445*Q445*S445/1000000</f>
        <v/>
      </c>
      <c r="U445" s="8">
        <f>I445/T445</f>
        <v/>
      </c>
      <c r="V445" s="8">
        <f>SUMIF($E$2:$E$599,E445,$I$2:$I$599)/SUMIF($E$2:$E$599,E445,$T$2:$T$599)</f>
        <v/>
      </c>
      <c r="W445" s="8">
        <f>V445+1.645*SQRT(V445/T445)+1/(2*T445)</f>
        <v/>
      </c>
      <c r="X445" s="5">
        <f>U445/W445</f>
        <v/>
      </c>
      <c r="Y445">
        <f>IF(U445&gt;W445,"high",IF(U445&gt;V445,"medium","low"))</f>
        <v/>
      </c>
      <c r="Z445">
        <f>CHOOSE(MAX(IF(M445="high",2,IF(M445="medium",1,0)),IF(Y445="high",2,IF(Y445="medium",1,0)))+1,"low","medium","high")</f>
        <v/>
      </c>
      <c r="AA445">
        <f>IF(IF(M445="high",2,IF(M445="medium",1,0))=IF(Y445="high",2,IF(Y445="medium",1,0)),"SI และ Rate เท่ากัน",IF(IF(M445="high",2,IF(M445="medium",1,0))&gt;IF(Y445="high",2,IF(Y445="medium",1,0)),"SI","Rate"))</f>
        <v/>
      </c>
    </row>
    <row r="446">
      <c r="A446" t="inlineStr">
        <is>
          <t>zone_74</t>
        </is>
      </c>
      <c r="B446" t="inlineStr">
        <is>
          <t>บางปะอิน - แขวงรามอินทรา</t>
        </is>
      </c>
      <c r="C446" t="inlineStr">
        <is>
          <t>ปทุมธานี</t>
        </is>
      </c>
      <c r="D446" t="inlineStr">
        <is>
          <t>9</t>
        </is>
      </c>
      <c r="E446" t="inlineStr">
        <is>
          <t>ทล.</t>
        </is>
      </c>
      <c r="F446" t="inlineStr">
        <is>
          <t>29.1–29.4</t>
        </is>
      </c>
      <c r="G446" t="inlineStr">
        <is>
          <t>station_id 347 (ทล.9 กม.1+500)</t>
        </is>
      </c>
      <c r="H446" t="inlineStr">
        <is>
          <t>ทล. สถานีตัวแทนตอนควบคุม</t>
        </is>
      </c>
      <c r="I446" t="n">
        <v>7</v>
      </c>
      <c r="J446" t="n">
        <v>0</v>
      </c>
      <c r="K446" t="n">
        <v>0</v>
      </c>
      <c r="L446" s="5" t="n">
        <v>0</v>
      </c>
      <c r="M446" t="inlineStr">
        <is>
          <t>low</t>
        </is>
      </c>
      <c r="N446" s="6" t="n">
        <v>146870</v>
      </c>
      <c r="O446" s="6" t="n">
        <v>165212</v>
      </c>
      <c r="P446" s="6" t="n">
        <v>160792</v>
      </c>
      <c r="Q446" s="6">
        <f>AVERAGE(N446:P446)</f>
        <v/>
      </c>
      <c r="R446" t="n">
        <v>3</v>
      </c>
      <c r="S446" t="n">
        <v>1</v>
      </c>
      <c r="T446" s="7">
        <f>365*R446*Q446*S446/1000000</f>
        <v/>
      </c>
      <c r="U446" s="8">
        <f>I446/T446</f>
        <v/>
      </c>
      <c r="V446" s="8">
        <f>SUMIF($E$2:$E$599,E446,$I$2:$I$599)/SUMIF($E$2:$E$599,E446,$T$2:$T$599)</f>
        <v/>
      </c>
      <c r="W446" s="8">
        <f>V446+1.645*SQRT(V446/T446)+1/(2*T446)</f>
        <v/>
      </c>
      <c r="X446" s="5">
        <f>U446/W446</f>
        <v/>
      </c>
      <c r="Y446">
        <f>IF(U446&gt;W446,"high",IF(U446&gt;V446,"medium","low"))</f>
        <v/>
      </c>
      <c r="Z446">
        <f>CHOOSE(MAX(IF(M446="high",2,IF(M446="medium",1,0)),IF(Y446="high",2,IF(Y446="medium",1,0)))+1,"low","medium","high")</f>
        <v/>
      </c>
      <c r="AA446">
        <f>IF(IF(M446="high",2,IF(M446="medium",1,0))=IF(Y446="high",2,IF(Y446="medium",1,0)),"SI และ Rate เท่ากัน",IF(IF(M446="high",2,IF(M446="medium",1,0))&gt;IF(Y446="high",2,IF(Y446="medium",1,0)),"SI","Rate"))</f>
        <v/>
      </c>
    </row>
    <row r="447">
      <c r="A447" t="inlineStr">
        <is>
          <t>zone_106</t>
        </is>
      </c>
      <c r="B447" t="inlineStr">
        <is>
          <t>บางปะอิน - แขวงรามอินทรา</t>
        </is>
      </c>
      <c r="C447" t="inlineStr">
        <is>
          <t>กรุงเทพมหานคร</t>
        </is>
      </c>
      <c r="D447" t="inlineStr">
        <is>
          <t>9</t>
        </is>
      </c>
      <c r="E447" t="inlineStr">
        <is>
          <t>ทล.</t>
        </is>
      </c>
      <c r="F447" t="inlineStr">
        <is>
          <t>37.1–37.2</t>
        </is>
      </c>
      <c r="G447" t="inlineStr">
        <is>
          <t>station_id 347 (ทล.9 กม.1+500)</t>
        </is>
      </c>
      <c r="H447" t="inlineStr">
        <is>
          <t>ทล. สถานีตัวแทนตอนควบคุม</t>
        </is>
      </c>
      <c r="I447" t="n">
        <v>7</v>
      </c>
      <c r="J447" t="n">
        <v>0</v>
      </c>
      <c r="K447" t="n">
        <v>5</v>
      </c>
      <c r="L447" s="5" t="n">
        <v>0.7143</v>
      </c>
      <c r="M447" t="inlineStr">
        <is>
          <t>low</t>
        </is>
      </c>
      <c r="N447" s="6" t="n">
        <v>146870</v>
      </c>
      <c r="O447" s="6" t="n">
        <v>165212</v>
      </c>
      <c r="P447" s="6" t="n">
        <v>160792</v>
      </c>
      <c r="Q447" s="6">
        <f>AVERAGE(N447:P447)</f>
        <v/>
      </c>
      <c r="R447" t="n">
        <v>3</v>
      </c>
      <c r="S447" t="n">
        <v>1</v>
      </c>
      <c r="T447" s="7">
        <f>365*R447*Q447*S447/1000000</f>
        <v/>
      </c>
      <c r="U447" s="8">
        <f>I447/T447</f>
        <v/>
      </c>
      <c r="V447" s="8">
        <f>SUMIF($E$2:$E$599,E447,$I$2:$I$599)/SUMIF($E$2:$E$599,E447,$T$2:$T$599)</f>
        <v/>
      </c>
      <c r="W447" s="8">
        <f>V447+1.645*SQRT(V447/T447)+1/(2*T447)</f>
        <v/>
      </c>
      <c r="X447" s="5">
        <f>U447/W447</f>
        <v/>
      </c>
      <c r="Y447">
        <f>IF(U447&gt;W447,"high",IF(U447&gt;V447,"medium","low"))</f>
        <v/>
      </c>
      <c r="Z447">
        <f>CHOOSE(MAX(IF(M447="high",2,IF(M447="medium",1,0)),IF(Y447="high",2,IF(Y447="medium",1,0)))+1,"low","medium","high")</f>
        <v/>
      </c>
      <c r="AA447">
        <f>IF(IF(M447="high",2,IF(M447="medium",1,0))=IF(Y447="high",2,IF(Y447="medium",1,0)),"SI และ Rate เท่ากัน",IF(IF(M447="high",2,IF(M447="medium",1,0))&gt;IF(Y447="high",2,IF(Y447="medium",1,0)),"SI","Rate"))</f>
        <v/>
      </c>
    </row>
    <row r="448">
      <c r="A448" t="inlineStr">
        <is>
          <t>zone_392</t>
        </is>
      </c>
      <c r="B448" t="inlineStr">
        <is>
          <t>บางปะอิน - แขวงรามอินทรา</t>
        </is>
      </c>
      <c r="C448" t="inlineStr">
        <is>
          <t>ปทุมธานี</t>
        </is>
      </c>
      <c r="D448" t="inlineStr">
        <is>
          <t>9</t>
        </is>
      </c>
      <c r="E448" t="inlineStr">
        <is>
          <t>ทล.</t>
        </is>
      </c>
      <c r="F448" t="inlineStr">
        <is>
          <t>14.5–15.1</t>
        </is>
      </c>
      <c r="G448" t="inlineStr">
        <is>
          <t>station_id 347 (ทล.9 กม.1+500)</t>
        </is>
      </c>
      <c r="H448" t="inlineStr">
        <is>
          <t>ทล. สถานีตัวแทนตอนควบคุม</t>
        </is>
      </c>
      <c r="I448" t="n">
        <v>7</v>
      </c>
      <c r="J448" t="n">
        <v>0</v>
      </c>
      <c r="K448" t="n">
        <v>6</v>
      </c>
      <c r="L448" s="5" t="n">
        <v>0.8571</v>
      </c>
      <c r="M448" t="inlineStr">
        <is>
          <t>low</t>
        </is>
      </c>
      <c r="N448" s="6" t="n">
        <v>146870</v>
      </c>
      <c r="O448" s="6" t="n">
        <v>165212</v>
      </c>
      <c r="P448" s="6" t="n">
        <v>160792</v>
      </c>
      <c r="Q448" s="6">
        <f>AVERAGE(N448:P448)</f>
        <v/>
      </c>
      <c r="R448" t="n">
        <v>3</v>
      </c>
      <c r="S448" t="n">
        <v>1</v>
      </c>
      <c r="T448" s="7">
        <f>365*R448*Q448*S448/1000000</f>
        <v/>
      </c>
      <c r="U448" s="8">
        <f>I448/T448</f>
        <v/>
      </c>
      <c r="V448" s="8">
        <f>SUMIF($E$2:$E$599,E448,$I$2:$I$599)/SUMIF($E$2:$E$599,E448,$T$2:$T$599)</f>
        <v/>
      </c>
      <c r="W448" s="8">
        <f>V448+1.645*SQRT(V448/T448)+1/(2*T448)</f>
        <v/>
      </c>
      <c r="X448" s="5">
        <f>U448/W448</f>
        <v/>
      </c>
      <c r="Y448">
        <f>IF(U448&gt;W448,"high",IF(U448&gt;V448,"medium","low"))</f>
        <v/>
      </c>
      <c r="Z448">
        <f>CHOOSE(MAX(IF(M448="high",2,IF(M448="medium",1,0)),IF(Y448="high",2,IF(Y448="medium",1,0)))+1,"low","medium","high")</f>
        <v/>
      </c>
      <c r="AA448">
        <f>IF(IF(M448="high",2,IF(M448="medium",1,0))=IF(Y448="high",2,IF(Y448="medium",1,0)),"SI และ Rate เท่ากัน",IF(IF(M448="high",2,IF(M448="medium",1,0))&gt;IF(Y448="high",2,IF(Y448="medium",1,0)),"SI","Rate"))</f>
        <v/>
      </c>
    </row>
    <row r="449">
      <c r="A449" t="inlineStr">
        <is>
          <t>zone_396</t>
        </is>
      </c>
      <c r="B449" t="inlineStr">
        <is>
          <t>บางปะอิน - แขวงรามอินทรา</t>
        </is>
      </c>
      <c r="C449" t="inlineStr">
        <is>
          <t>ปทุมธานี</t>
        </is>
      </c>
      <c r="D449" t="inlineStr">
        <is>
          <t>9</t>
        </is>
      </c>
      <c r="E449" t="inlineStr">
        <is>
          <t>ทล.</t>
        </is>
      </c>
      <c r="F449" t="inlineStr">
        <is>
          <t>9.2–9.6</t>
        </is>
      </c>
      <c r="G449" t="inlineStr">
        <is>
          <t>station_id 347 (ทล.9 กม.1+500)</t>
        </is>
      </c>
      <c r="H449" t="inlineStr">
        <is>
          <t>ทล. สถานีตัวแทนตอนควบคุม</t>
        </is>
      </c>
      <c r="I449" t="n">
        <v>7</v>
      </c>
      <c r="J449" t="n">
        <v>0</v>
      </c>
      <c r="K449" t="n">
        <v>4</v>
      </c>
      <c r="L449" s="5" t="n">
        <v>0.5714</v>
      </c>
      <c r="M449" t="inlineStr">
        <is>
          <t>low</t>
        </is>
      </c>
      <c r="N449" s="6" t="n">
        <v>146870</v>
      </c>
      <c r="O449" s="6" t="n">
        <v>165212</v>
      </c>
      <c r="P449" s="6" t="n">
        <v>160792</v>
      </c>
      <c r="Q449" s="6">
        <f>AVERAGE(N449:P449)</f>
        <v/>
      </c>
      <c r="R449" t="n">
        <v>3</v>
      </c>
      <c r="S449" t="n">
        <v>1</v>
      </c>
      <c r="T449" s="7">
        <f>365*R449*Q449*S449/1000000</f>
        <v/>
      </c>
      <c r="U449" s="8">
        <f>I449/T449</f>
        <v/>
      </c>
      <c r="V449" s="8">
        <f>SUMIF($E$2:$E$599,E449,$I$2:$I$599)/SUMIF($E$2:$E$599,E449,$T$2:$T$599)</f>
        <v/>
      </c>
      <c r="W449" s="8">
        <f>V449+1.645*SQRT(V449/T449)+1/(2*T449)</f>
        <v/>
      </c>
      <c r="X449" s="5">
        <f>U449/W449</f>
        <v/>
      </c>
      <c r="Y449">
        <f>IF(U449&gt;W449,"high",IF(U449&gt;V449,"medium","low"))</f>
        <v/>
      </c>
      <c r="Z449">
        <f>CHOOSE(MAX(IF(M449="high",2,IF(M449="medium",1,0)),IF(Y449="high",2,IF(Y449="medium",1,0)))+1,"low","medium","high")</f>
        <v/>
      </c>
      <c r="AA449">
        <f>IF(IF(M449="high",2,IF(M449="medium",1,0))=IF(Y449="high",2,IF(Y449="medium",1,0)),"SI และ Rate เท่ากัน",IF(IF(M449="high",2,IF(M449="medium",1,0))&gt;IF(Y449="high",2,IF(Y449="medium",1,0)),"SI","Rate"))</f>
        <v/>
      </c>
    </row>
    <row r="450">
      <c r="A450" t="inlineStr">
        <is>
          <t>zone_126</t>
        </is>
      </c>
      <c r="B450" t="inlineStr">
        <is>
          <t>มหาวิทยาลัยเกษตรศาสตร์ - คันนายาว</t>
        </is>
      </c>
      <c r="C450" t="inlineStr">
        <is>
          <t>กรุงเทพมหานคร</t>
        </is>
      </c>
      <c r="D450" t="inlineStr">
        <is>
          <t>351</t>
        </is>
      </c>
      <c r="E450" t="inlineStr">
        <is>
          <t>ทล.</t>
        </is>
      </c>
      <c r="G450" t="inlineStr">
        <is>
          <t>station_id 8 (ทล.351 กม.4+700)</t>
        </is>
      </c>
      <c r="H450" t="inlineStr">
        <is>
          <t>ทล. สถานีตัวแทนตอนควบคุม</t>
        </is>
      </c>
      <c r="I450" t="n">
        <v>4</v>
      </c>
      <c r="J450" t="n">
        <v>0</v>
      </c>
      <c r="K450" t="n">
        <v>1</v>
      </c>
      <c r="L450" s="5" t="n">
        <v>0.25</v>
      </c>
      <c r="M450" t="inlineStr">
        <is>
          <t>low</t>
        </is>
      </c>
      <c r="N450" s="6" t="n">
        <v>96826</v>
      </c>
      <c r="O450" s="6" t="n">
        <v>76671</v>
      </c>
      <c r="P450" s="6" t="n">
        <v>73453</v>
      </c>
      <c r="Q450" s="6">
        <f>AVERAGE(N450:P450)</f>
        <v/>
      </c>
      <c r="R450" t="n">
        <v>3</v>
      </c>
      <c r="S450" t="n">
        <v>1</v>
      </c>
      <c r="T450" s="7">
        <f>365*R450*Q450*S450/1000000</f>
        <v/>
      </c>
      <c r="U450" s="8">
        <f>I450/T450</f>
        <v/>
      </c>
      <c r="V450" s="8">
        <f>SUMIF($E$2:$E$599,E450,$I$2:$I$599)/SUMIF($E$2:$E$599,E450,$T$2:$T$599)</f>
        <v/>
      </c>
      <c r="W450" s="8">
        <f>V450+1.645*SQRT(V450/T450)+1/(2*T450)</f>
        <v/>
      </c>
      <c r="X450" s="5">
        <f>U450/W450</f>
        <v/>
      </c>
      <c r="Y450">
        <f>IF(U450&gt;W450,"high",IF(U450&gt;V450,"medium","low"))</f>
        <v/>
      </c>
      <c r="Z450">
        <f>CHOOSE(MAX(IF(M450="high",2,IF(M450="medium",1,0)),IF(Y450="high",2,IF(Y450="medium",1,0)))+1,"low","medium","high")</f>
        <v/>
      </c>
      <c r="AA450">
        <f>IF(IF(M450="high",2,IF(M450="medium",1,0))=IF(Y450="high",2,IF(Y450="medium",1,0)),"SI และ Rate เท่ากัน",IF(IF(M450="high",2,IF(M450="medium",1,0))&gt;IF(Y450="high",2,IF(Y450="medium",1,0)),"SI","Rate"))</f>
        <v/>
      </c>
    </row>
    <row r="451">
      <c r="A451" t="inlineStr">
        <is>
          <t>zone_95</t>
        </is>
      </c>
      <c r="B451" t="inlineStr">
        <is>
          <t>แขวงคลองสองต้นนุ่น - พิมพา</t>
        </is>
      </c>
      <c r="C451" t="inlineStr">
        <is>
          <t>กรุงเทพมหานคร</t>
        </is>
      </c>
      <c r="D451" t="inlineStr">
        <is>
          <t>7</t>
        </is>
      </c>
      <c r="E451" t="inlineStr">
        <is>
          <t>ทล.</t>
        </is>
      </c>
      <c r="F451" t="inlineStr">
        <is>
          <t>17–17.7</t>
        </is>
      </c>
      <c r="G451" t="inlineStr">
        <is>
          <t>station_id 345 (ทล.7 กม.17+000)</t>
        </is>
      </c>
      <c r="H451" t="inlineStr">
        <is>
          <t>ทล. สถานีตัวแทนตอนควบคุม</t>
        </is>
      </c>
      <c r="I451" t="n">
        <v>10</v>
      </c>
      <c r="J451" t="n">
        <v>0</v>
      </c>
      <c r="K451" t="n">
        <v>2</v>
      </c>
      <c r="L451" s="5" t="n">
        <v>0.2</v>
      </c>
      <c r="M451" t="inlineStr">
        <is>
          <t>low</t>
        </is>
      </c>
      <c r="N451" s="6" t="n">
        <v>220901</v>
      </c>
      <c r="O451" s="6" t="n">
        <v>242192</v>
      </c>
      <c r="P451" s="6" t="n">
        <v>262343</v>
      </c>
      <c r="Q451" s="6">
        <f>AVERAGE(N451:P451)</f>
        <v/>
      </c>
      <c r="R451" t="n">
        <v>3</v>
      </c>
      <c r="S451" t="n">
        <v>1</v>
      </c>
      <c r="T451" s="7">
        <f>365*R451*Q451*S451/1000000</f>
        <v/>
      </c>
      <c r="U451" s="8">
        <f>I451/T451</f>
        <v/>
      </c>
      <c r="V451" s="8">
        <f>SUMIF($E$2:$E$599,E451,$I$2:$I$599)/SUMIF($E$2:$E$599,E451,$T$2:$T$599)</f>
        <v/>
      </c>
      <c r="W451" s="8">
        <f>V451+1.645*SQRT(V451/T451)+1/(2*T451)</f>
        <v/>
      </c>
      <c r="X451" s="5">
        <f>U451/W451</f>
        <v/>
      </c>
      <c r="Y451">
        <f>IF(U451&gt;W451,"high",IF(U451&gt;V451,"medium","low"))</f>
        <v/>
      </c>
      <c r="Z451">
        <f>CHOOSE(MAX(IF(M451="high",2,IF(M451="medium",1,0)),IF(Y451="high",2,IF(Y451="medium",1,0)))+1,"low","medium","high")</f>
        <v/>
      </c>
      <c r="AA451">
        <f>IF(IF(M451="high",2,IF(M451="medium",1,0))=IF(Y451="high",2,IF(Y451="medium",1,0)),"SI และ Rate เท่ากัน",IF(IF(M451="high",2,IF(M451="medium",1,0))&gt;IF(Y451="high",2,IF(Y451="medium",1,0)),"SI","Rate"))</f>
        <v/>
      </c>
    </row>
    <row r="452">
      <c r="A452" t="inlineStr">
        <is>
          <t>zone_452</t>
        </is>
      </c>
      <c r="B452" t="inlineStr">
        <is>
          <t>แขวงคลองสองต้นนุ่น - พิมพา</t>
        </is>
      </c>
      <c r="C452" t="inlineStr">
        <is>
          <t>สมุทรปราการ</t>
        </is>
      </c>
      <c r="D452" t="inlineStr">
        <is>
          <t>7</t>
        </is>
      </c>
      <c r="E452" t="inlineStr">
        <is>
          <t>ทล.</t>
        </is>
      </c>
      <c r="F452" t="inlineStr">
        <is>
          <t>31.6–32</t>
        </is>
      </c>
      <c r="G452" t="inlineStr">
        <is>
          <t>station_id 345 (ทล.7 กม.17+000)</t>
        </is>
      </c>
      <c r="H452" t="inlineStr">
        <is>
          <t>ทล. สถานีตัวแทนตอนควบคุม</t>
        </is>
      </c>
      <c r="I452" t="n">
        <v>10</v>
      </c>
      <c r="J452" t="n">
        <v>0</v>
      </c>
      <c r="K452" t="n">
        <v>1</v>
      </c>
      <c r="L452" s="5" t="n">
        <v>0.1</v>
      </c>
      <c r="M452" t="inlineStr">
        <is>
          <t>low</t>
        </is>
      </c>
      <c r="N452" s="6" t="n">
        <v>220901</v>
      </c>
      <c r="O452" s="6" t="n">
        <v>242192</v>
      </c>
      <c r="P452" s="6" t="n">
        <v>262343</v>
      </c>
      <c r="Q452" s="6">
        <f>AVERAGE(N452:P452)</f>
        <v/>
      </c>
      <c r="R452" t="n">
        <v>3</v>
      </c>
      <c r="S452" t="n">
        <v>1</v>
      </c>
      <c r="T452" s="7">
        <f>365*R452*Q452*S452/1000000</f>
        <v/>
      </c>
      <c r="U452" s="8">
        <f>I452/T452</f>
        <v/>
      </c>
      <c r="V452" s="8">
        <f>SUMIF($E$2:$E$599,E452,$I$2:$I$599)/SUMIF($E$2:$E$599,E452,$T$2:$T$599)</f>
        <v/>
      </c>
      <c r="W452" s="8">
        <f>V452+1.645*SQRT(V452/T452)+1/(2*T452)</f>
        <v/>
      </c>
      <c r="X452" s="5">
        <f>U452/W452</f>
        <v/>
      </c>
      <c r="Y452">
        <f>IF(U452&gt;W452,"high",IF(U452&gt;V452,"medium","low"))</f>
        <v/>
      </c>
      <c r="Z452">
        <f>CHOOSE(MAX(IF(M452="high",2,IF(M452="medium",1,0)),IF(Y452="high",2,IF(Y452="medium",1,0)))+1,"low","medium","high")</f>
        <v/>
      </c>
      <c r="AA452">
        <f>IF(IF(M452="high",2,IF(M452="medium",1,0))=IF(Y452="high",2,IF(Y452="medium",1,0)),"SI และ Rate เท่ากัน",IF(IF(M452="high",2,IF(M452="medium",1,0))&gt;IF(Y452="high",2,IF(Y452="medium",1,0)),"SI","Rate"))</f>
        <v/>
      </c>
    </row>
    <row r="453">
      <c r="A453" t="inlineStr">
        <is>
          <t>zone_501</t>
        </is>
      </c>
      <c r="B453" t="inlineStr">
        <is>
          <t>ทางเข้าท่าอากาศยานสุวรรณภูมิ - บางวัว</t>
        </is>
      </c>
      <c r="C453" t="inlineStr">
        <is>
          <t>สมุทรปราการ</t>
        </is>
      </c>
      <c r="D453" t="inlineStr">
        <is>
          <t>34</t>
        </is>
      </c>
      <c r="E453" t="inlineStr">
        <is>
          <t>ทล.</t>
        </is>
      </c>
      <c r="F453" t="inlineStr">
        <is>
          <t>22.6–23</t>
        </is>
      </c>
      <c r="G453" t="inlineStr">
        <is>
          <t>station_id 95 (ทล.34 กม.15+100)</t>
        </is>
      </c>
      <c r="H453" t="inlineStr">
        <is>
          <t>ทล. สถานีตัวแทนตอนควบคุม</t>
        </is>
      </c>
      <c r="I453" t="n">
        <v>10</v>
      </c>
      <c r="J453" t="n">
        <v>1</v>
      </c>
      <c r="K453" t="n">
        <v>5</v>
      </c>
      <c r="L453" s="5" t="n">
        <v>0.6</v>
      </c>
      <c r="M453" t="inlineStr">
        <is>
          <t>low</t>
        </is>
      </c>
      <c r="N453" s="6" t="n">
        <v>226283</v>
      </c>
      <c r="O453" s="6" t="n">
        <v>252612</v>
      </c>
      <c r="P453" s="6" t="n">
        <v>250222</v>
      </c>
      <c r="Q453" s="6">
        <f>AVERAGE(N453:P453)</f>
        <v/>
      </c>
      <c r="R453" t="n">
        <v>3</v>
      </c>
      <c r="S453" t="n">
        <v>1</v>
      </c>
      <c r="T453" s="7">
        <f>365*R453*Q453*S453/1000000</f>
        <v/>
      </c>
      <c r="U453" s="8">
        <f>I453/T453</f>
        <v/>
      </c>
      <c r="V453" s="8">
        <f>SUMIF($E$2:$E$599,E453,$I$2:$I$599)/SUMIF($E$2:$E$599,E453,$T$2:$T$599)</f>
        <v/>
      </c>
      <c r="W453" s="8">
        <f>V453+1.645*SQRT(V453/T453)+1/(2*T453)</f>
        <v/>
      </c>
      <c r="X453" s="5">
        <f>U453/W453</f>
        <v/>
      </c>
      <c r="Y453">
        <f>IF(U453&gt;W453,"high",IF(U453&gt;V453,"medium","low"))</f>
        <v/>
      </c>
      <c r="Z453">
        <f>CHOOSE(MAX(IF(M453="high",2,IF(M453="medium",1,0)),IF(Y453="high",2,IF(Y453="medium",1,0)))+1,"low","medium","high")</f>
        <v/>
      </c>
      <c r="AA453">
        <f>IF(IF(M453="high",2,IF(M453="medium",1,0))=IF(Y453="high",2,IF(Y453="medium",1,0)),"SI และ Rate เท่ากัน",IF(IF(M453="high",2,IF(M453="medium",1,0))&gt;IF(Y453="high",2,IF(Y453="medium",1,0)),"SI","Rate"))</f>
        <v/>
      </c>
    </row>
    <row r="454">
      <c r="A454" t="inlineStr">
        <is>
          <t>zone_162</t>
        </is>
      </c>
      <c r="B454" t="inlineStr">
        <is>
          <t>ดินแดง - งามวงศ์วาน</t>
        </is>
      </c>
      <c r="C454" t="inlineStr">
        <is>
          <t>กรุงเทพมหานคร</t>
        </is>
      </c>
      <c r="D454" t="inlineStr">
        <is>
          <t>31</t>
        </is>
      </c>
      <c r="E454" t="inlineStr">
        <is>
          <t>ทล.</t>
        </is>
      </c>
      <c r="F454" t="inlineStr">
        <is>
          <t>8.385–13.347</t>
        </is>
      </c>
      <c r="G454" t="inlineStr">
        <is>
          <t>station_id 104 (ทล.302 กม.5+822)</t>
        </is>
      </c>
      <c r="H454" t="inlineStr">
        <is>
          <t>ทล. สถานีตัวแทนตอนควบคุม</t>
        </is>
      </c>
      <c r="I454" t="n">
        <v>5</v>
      </c>
      <c r="J454" t="n">
        <v>1</v>
      </c>
      <c r="K454" t="n">
        <v>3</v>
      </c>
      <c r="L454" s="5" t="n">
        <v>0.8</v>
      </c>
      <c r="M454" t="inlineStr">
        <is>
          <t>low</t>
        </is>
      </c>
      <c r="N454" s="6" t="n">
        <v>111493</v>
      </c>
      <c r="O454" s="6" t="n">
        <v>113776</v>
      </c>
      <c r="P454" s="6" t="n">
        <v>111297</v>
      </c>
      <c r="Q454" s="6">
        <f>AVERAGE(N454:P454)</f>
        <v/>
      </c>
      <c r="R454" t="n">
        <v>3</v>
      </c>
      <c r="S454" t="n">
        <v>1</v>
      </c>
      <c r="T454" s="7">
        <f>365*R454*Q454*S454/1000000</f>
        <v/>
      </c>
      <c r="U454" s="8">
        <f>I454/T454</f>
        <v/>
      </c>
      <c r="V454" s="8">
        <f>SUMIF($E$2:$E$599,E454,$I$2:$I$599)/SUMIF($E$2:$E$599,E454,$T$2:$T$599)</f>
        <v/>
      </c>
      <c r="W454" s="8">
        <f>V454+1.645*SQRT(V454/T454)+1/(2*T454)</f>
        <v/>
      </c>
      <c r="X454" s="5">
        <f>U454/W454</f>
        <v/>
      </c>
      <c r="Y454">
        <f>IF(U454&gt;W454,"high",IF(U454&gt;V454,"medium","low"))</f>
        <v/>
      </c>
      <c r="Z454">
        <f>CHOOSE(MAX(IF(M454="high",2,IF(M454="medium",1,0)),IF(Y454="high",2,IF(Y454="medium",1,0)))+1,"low","medium","high")</f>
        <v/>
      </c>
      <c r="AA454">
        <f>IF(IF(M454="high",2,IF(M454="medium",1,0))=IF(Y454="high",2,IF(Y454="medium",1,0)),"SI และ Rate เท่ากัน",IF(IF(M454="high",2,IF(M454="medium",1,0))&gt;IF(Y454="high",2,IF(Y454="medium",1,0)),"SI","Rate"))</f>
        <v/>
      </c>
    </row>
    <row r="455">
      <c r="A455" t="inlineStr">
        <is>
          <t>zone_269</t>
        </is>
      </c>
      <c r="B455" t="inlineStr">
        <is>
          <t>งามวงศ์วาน - ดอนเมือง</t>
        </is>
      </c>
      <c r="C455" t="inlineStr">
        <is>
          <t>กรุงเทพมหานคร</t>
        </is>
      </c>
      <c r="D455" t="inlineStr">
        <is>
          <t>31</t>
        </is>
      </c>
      <c r="E455" t="inlineStr">
        <is>
          <t>ทล.</t>
        </is>
      </c>
      <c r="F455" t="inlineStr">
        <is>
          <t>21.279–21.85</t>
        </is>
      </c>
      <c r="G455" t="inlineStr">
        <is>
          <t>station_id 104 (ทล.302 กม.5+822)</t>
        </is>
      </c>
      <c r="H455" t="inlineStr">
        <is>
          <t>ทล. สถานีตัวแทนตอนควบคุม</t>
        </is>
      </c>
      <c r="I455" t="n">
        <v>5</v>
      </c>
      <c r="J455" t="n">
        <v>1</v>
      </c>
      <c r="K455" t="n">
        <v>0</v>
      </c>
      <c r="L455" s="5" t="n">
        <v>0.2</v>
      </c>
      <c r="M455" t="inlineStr">
        <is>
          <t>low</t>
        </is>
      </c>
      <c r="N455" s="6" t="n">
        <v>111493</v>
      </c>
      <c r="O455" s="6" t="n">
        <v>113776</v>
      </c>
      <c r="P455" s="6" t="n">
        <v>111297</v>
      </c>
      <c r="Q455" s="6">
        <f>AVERAGE(N455:P455)</f>
        <v/>
      </c>
      <c r="R455" t="n">
        <v>3</v>
      </c>
      <c r="S455" t="n">
        <v>1</v>
      </c>
      <c r="T455" s="7">
        <f>365*R455*Q455*S455/1000000</f>
        <v/>
      </c>
      <c r="U455" s="8">
        <f>I455/T455</f>
        <v/>
      </c>
      <c r="V455" s="8">
        <f>SUMIF($E$2:$E$599,E455,$I$2:$I$599)/SUMIF($E$2:$E$599,E455,$T$2:$T$599)</f>
        <v/>
      </c>
      <c r="W455" s="8">
        <f>V455+1.645*SQRT(V455/T455)+1/(2*T455)</f>
        <v/>
      </c>
      <c r="X455" s="5">
        <f>U455/W455</f>
        <v/>
      </c>
      <c r="Y455">
        <f>IF(U455&gt;W455,"high",IF(U455&gt;V455,"medium","low"))</f>
        <v/>
      </c>
      <c r="Z455">
        <f>CHOOSE(MAX(IF(M455="high",2,IF(M455="medium",1,0)),IF(Y455="high",2,IF(Y455="medium",1,0)))+1,"low","medium","high")</f>
        <v/>
      </c>
      <c r="AA455">
        <f>IF(IF(M455="high",2,IF(M455="medium",1,0))=IF(Y455="high",2,IF(Y455="medium",1,0)),"SI และ Rate เท่ากัน",IF(IF(M455="high",2,IF(M455="medium",1,0))&gt;IF(Y455="high",2,IF(Y455="medium",1,0)),"SI","Rate"))</f>
        <v/>
      </c>
    </row>
    <row r="456">
      <c r="A456" t="inlineStr">
        <is>
          <t>zone_336</t>
        </is>
      </c>
      <c r="B456" t="inlineStr">
        <is>
          <t>แยกพงษ์เพชร - สะพานพระนั่งเกล้า</t>
        </is>
      </c>
      <c r="C456" t="inlineStr">
        <is>
          <t>นนทบุรี</t>
        </is>
      </c>
      <c r="D456" t="inlineStr">
        <is>
          <t>302</t>
        </is>
      </c>
      <c r="E456" t="inlineStr">
        <is>
          <t>ทล.</t>
        </is>
      </c>
      <c r="F456" t="inlineStr">
        <is>
          <t>6.725–7</t>
        </is>
      </c>
      <c r="G456" t="inlineStr">
        <is>
          <t>station_id 104 (ทล.302 กม.5+822)</t>
        </is>
      </c>
      <c r="H456" t="inlineStr">
        <is>
          <t>ทล. สถานีตัวแทนตอนควบคุม</t>
        </is>
      </c>
      <c r="I456" t="n">
        <v>5</v>
      </c>
      <c r="J456" t="n">
        <v>0</v>
      </c>
      <c r="K456" t="n">
        <v>0</v>
      </c>
      <c r="L456" s="5" t="n">
        <v>0</v>
      </c>
      <c r="M456" t="inlineStr">
        <is>
          <t>low</t>
        </is>
      </c>
      <c r="N456" s="6" t="n">
        <v>111493</v>
      </c>
      <c r="O456" s="6" t="n">
        <v>113776</v>
      </c>
      <c r="P456" s="6" t="n">
        <v>111297</v>
      </c>
      <c r="Q456" s="6">
        <f>AVERAGE(N456:P456)</f>
        <v/>
      </c>
      <c r="R456" t="n">
        <v>3</v>
      </c>
      <c r="S456" t="n">
        <v>1</v>
      </c>
      <c r="T456" s="7">
        <f>365*R456*Q456*S456/1000000</f>
        <v/>
      </c>
      <c r="U456" s="8">
        <f>I456/T456</f>
        <v/>
      </c>
      <c r="V456" s="8">
        <f>SUMIF($E$2:$E$599,E456,$I$2:$I$599)/SUMIF($E$2:$E$599,E456,$T$2:$T$599)</f>
        <v/>
      </c>
      <c r="W456" s="8">
        <f>V456+1.645*SQRT(V456/T456)+1/(2*T456)</f>
        <v/>
      </c>
      <c r="X456" s="5">
        <f>U456/W456</f>
        <v/>
      </c>
      <c r="Y456">
        <f>IF(U456&gt;W456,"high",IF(U456&gt;V456,"medium","low"))</f>
        <v/>
      </c>
      <c r="Z456">
        <f>CHOOSE(MAX(IF(M456="high",2,IF(M456="medium",1,0)),IF(Y456="high",2,IF(Y456="medium",1,0)))+1,"low","medium","high")</f>
        <v/>
      </c>
      <c r="AA456">
        <f>IF(IF(M456="high",2,IF(M456="medium",1,0))=IF(Y456="high",2,IF(Y456="medium",1,0)),"SI และ Rate เท่ากัน",IF(IF(M456="high",2,IF(M456="medium",1,0))&gt;IF(Y456="high",2,IF(Y456="medium",1,0)),"SI","Rate"))</f>
        <v/>
      </c>
    </row>
    <row r="457">
      <c r="A457" t="inlineStr">
        <is>
          <t>zone_227</t>
        </is>
      </c>
      <c r="B457" t="inlineStr">
        <is>
          <t>แยกเข้ามีนบุรี - คลองหลวงแพ่ง</t>
        </is>
      </c>
      <c r="C457" t="inlineStr">
        <is>
          <t>กรุงเทพมหานคร</t>
        </is>
      </c>
      <c r="D457" t="inlineStr">
        <is>
          <t>304</t>
        </is>
      </c>
      <c r="E457" t="inlineStr">
        <is>
          <t>ทล.</t>
        </is>
      </c>
      <c r="F457" t="inlineStr">
        <is>
          <t>38.39–38.5</t>
        </is>
      </c>
      <c r="G457" t="inlineStr">
        <is>
          <t>station_id 2 (ทล.304 กม.28+250)</t>
        </is>
      </c>
      <c r="H457" t="inlineStr">
        <is>
          <t>ทล. สถานีตัวแทนตอนควบคุม</t>
        </is>
      </c>
      <c r="I457" t="n">
        <v>3</v>
      </c>
      <c r="J457" t="n">
        <v>0</v>
      </c>
      <c r="K457" t="n">
        <v>2</v>
      </c>
      <c r="L457" s="5" t="n">
        <v>0.6667</v>
      </c>
      <c r="M457" t="inlineStr">
        <is>
          <t>low</t>
        </is>
      </c>
      <c r="N457" s="6" t="n">
        <v>51653</v>
      </c>
      <c r="O457" s="6" t="n">
        <v>53216</v>
      </c>
      <c r="P457" s="6" t="n">
        <v>78286</v>
      </c>
      <c r="Q457" s="6">
        <f>AVERAGE(N457:P457)</f>
        <v/>
      </c>
      <c r="R457" t="n">
        <v>3</v>
      </c>
      <c r="S457" t="n">
        <v>1</v>
      </c>
      <c r="T457" s="7">
        <f>365*R457*Q457*S457/1000000</f>
        <v/>
      </c>
      <c r="U457" s="8">
        <f>I457/T457</f>
        <v/>
      </c>
      <c r="V457" s="8">
        <f>SUMIF($E$2:$E$599,E457,$I$2:$I$599)/SUMIF($E$2:$E$599,E457,$T$2:$T$599)</f>
        <v/>
      </c>
      <c r="W457" s="8">
        <f>V457+1.645*SQRT(V457/T457)+1/(2*T457)</f>
        <v/>
      </c>
      <c r="X457" s="5">
        <f>U457/W457</f>
        <v/>
      </c>
      <c r="Y457">
        <f>IF(U457&gt;W457,"high",IF(U457&gt;V457,"medium","low"))</f>
        <v/>
      </c>
      <c r="Z457">
        <f>CHOOSE(MAX(IF(M457="high",2,IF(M457="medium",1,0)),IF(Y457="high",2,IF(Y457="medium",1,0)))+1,"low","medium","high")</f>
        <v/>
      </c>
      <c r="AA457">
        <f>IF(IF(M457="high",2,IF(M457="medium",1,0))=IF(Y457="high",2,IF(Y457="medium",1,0)),"SI และ Rate เท่ากัน",IF(IF(M457="high",2,IF(M457="medium",1,0))&gt;IF(Y457="high",2,IF(Y457="medium",1,0)),"SI","Rate"))</f>
        <v/>
      </c>
    </row>
    <row r="458">
      <c r="A458" t="inlineStr">
        <is>
          <t>zone_256</t>
        </is>
      </c>
      <c r="B458" t="inlineStr">
        <is>
          <t>แยกเข้ามีนบุรี - คลองหลวงแพ่ง</t>
        </is>
      </c>
      <c r="C458" t="inlineStr">
        <is>
          <t>กรุงเทพมหานคร</t>
        </is>
      </c>
      <c r="D458" t="inlineStr">
        <is>
          <t>304</t>
        </is>
      </c>
      <c r="E458" t="inlineStr">
        <is>
          <t>ทล.</t>
        </is>
      </c>
      <c r="F458" t="inlineStr">
        <is>
          <t>40.54–40.65</t>
        </is>
      </c>
      <c r="G458" t="inlineStr">
        <is>
          <t>station_id 2 (ทล.304 กม.28+250)</t>
        </is>
      </c>
      <c r="H458" t="inlineStr">
        <is>
          <t>ทล. สถานีตัวแทนตอนควบคุม</t>
        </is>
      </c>
      <c r="I458" t="n">
        <v>3</v>
      </c>
      <c r="J458" t="n">
        <v>0</v>
      </c>
      <c r="K458" t="n">
        <v>1</v>
      </c>
      <c r="L458" s="5" t="n">
        <v>0.3333</v>
      </c>
      <c r="M458" t="inlineStr">
        <is>
          <t>low</t>
        </is>
      </c>
      <c r="N458" s="6" t="n">
        <v>51653</v>
      </c>
      <c r="O458" s="6" t="n">
        <v>53216</v>
      </c>
      <c r="P458" s="6" t="n">
        <v>78286</v>
      </c>
      <c r="Q458" s="6">
        <f>AVERAGE(N458:P458)</f>
        <v/>
      </c>
      <c r="R458" t="n">
        <v>3</v>
      </c>
      <c r="S458" t="n">
        <v>1</v>
      </c>
      <c r="T458" s="7">
        <f>365*R458*Q458*S458/1000000</f>
        <v/>
      </c>
      <c r="U458" s="8">
        <f>I458/T458</f>
        <v/>
      </c>
      <c r="V458" s="8">
        <f>SUMIF($E$2:$E$599,E458,$I$2:$I$599)/SUMIF($E$2:$E$599,E458,$T$2:$T$599)</f>
        <v/>
      </c>
      <c r="W458" s="8">
        <f>V458+1.645*SQRT(V458/T458)+1/(2*T458)</f>
        <v/>
      </c>
      <c r="X458" s="5">
        <f>U458/W458</f>
        <v/>
      </c>
      <c r="Y458">
        <f>IF(U458&gt;W458,"high",IF(U458&gt;V458,"medium","low"))</f>
        <v/>
      </c>
      <c r="Z458">
        <f>CHOOSE(MAX(IF(M458="high",2,IF(M458="medium",1,0)),IF(Y458="high",2,IF(Y458="medium",1,0)))+1,"low","medium","high")</f>
        <v/>
      </c>
      <c r="AA458">
        <f>IF(IF(M458="high",2,IF(M458="medium",1,0))=IF(Y458="high",2,IF(Y458="medium",1,0)),"SI และ Rate เท่ากัน",IF(IF(M458="high",2,IF(M458="medium",1,0))&gt;IF(Y458="high",2,IF(Y458="medium",1,0)),"SI","Rate"))</f>
        <v/>
      </c>
    </row>
    <row r="459">
      <c r="A459" t="inlineStr">
        <is>
          <t>zone_268</t>
        </is>
      </c>
      <c r="B459" t="inlineStr">
        <is>
          <t>คันนายาว - แยกเข้ามีนบุรี</t>
        </is>
      </c>
      <c r="C459" t="inlineStr">
        <is>
          <t>กรุงเทพมหานคร</t>
        </is>
      </c>
      <c r="D459" t="inlineStr">
        <is>
          <t>304</t>
        </is>
      </c>
      <c r="E459" t="inlineStr">
        <is>
          <t>ทล.</t>
        </is>
      </c>
      <c r="F459" t="inlineStr">
        <is>
          <t>25.912–26.12</t>
        </is>
      </c>
      <c r="G459" t="inlineStr">
        <is>
          <t>station_id 2 (ทล.304 กม.28+250)</t>
        </is>
      </c>
      <c r="H459" t="inlineStr">
        <is>
          <t>ทล. สถานีตัวแทนตอนควบคุม</t>
        </is>
      </c>
      <c r="I459" t="n">
        <v>3</v>
      </c>
      <c r="J459" t="n">
        <v>0</v>
      </c>
      <c r="K459" t="n">
        <v>1</v>
      </c>
      <c r="L459" s="5" t="n">
        <v>0.3333</v>
      </c>
      <c r="M459" t="inlineStr">
        <is>
          <t>low</t>
        </is>
      </c>
      <c r="N459" s="6" t="n">
        <v>51653</v>
      </c>
      <c r="O459" s="6" t="n">
        <v>53216</v>
      </c>
      <c r="P459" s="6" t="n">
        <v>78286</v>
      </c>
      <c r="Q459" s="6">
        <f>AVERAGE(N459:P459)</f>
        <v/>
      </c>
      <c r="R459" t="n">
        <v>3</v>
      </c>
      <c r="S459" t="n">
        <v>1</v>
      </c>
      <c r="T459" s="7">
        <f>365*R459*Q459*S459/1000000</f>
        <v/>
      </c>
      <c r="U459" s="8">
        <f>I459/T459</f>
        <v/>
      </c>
      <c r="V459" s="8">
        <f>SUMIF($E$2:$E$599,E459,$I$2:$I$599)/SUMIF($E$2:$E$599,E459,$T$2:$T$599)</f>
        <v/>
      </c>
      <c r="W459" s="8">
        <f>V459+1.645*SQRT(V459/T459)+1/(2*T459)</f>
        <v/>
      </c>
      <c r="X459" s="5">
        <f>U459/W459</f>
        <v/>
      </c>
      <c r="Y459">
        <f>IF(U459&gt;W459,"high",IF(U459&gt;V459,"medium","low"))</f>
        <v/>
      </c>
      <c r="Z459">
        <f>CHOOSE(MAX(IF(M459="high",2,IF(M459="medium",1,0)),IF(Y459="high",2,IF(Y459="medium",1,0)))+1,"low","medium","high")</f>
        <v/>
      </c>
      <c r="AA459">
        <f>IF(IF(M459="high",2,IF(M459="medium",1,0))=IF(Y459="high",2,IF(Y459="medium",1,0)),"SI และ Rate เท่ากัน",IF(IF(M459="high",2,IF(M459="medium",1,0))&gt;IF(Y459="high",2,IF(Y459="medium",1,0)),"SI","Rate"))</f>
        <v/>
      </c>
    </row>
    <row r="460">
      <c r="A460" t="inlineStr">
        <is>
          <t>zone_276</t>
        </is>
      </c>
      <c r="B460" t="inlineStr">
        <is>
          <t>แยกเข้ามีนบุรี - คลองหลวงแพ่ง</t>
        </is>
      </c>
      <c r="C460" t="inlineStr">
        <is>
          <t>กรุงเทพมหานคร</t>
        </is>
      </c>
      <c r="D460" t="inlineStr">
        <is>
          <t>304</t>
        </is>
      </c>
      <c r="E460" t="inlineStr">
        <is>
          <t>ทล.</t>
        </is>
      </c>
      <c r="F460" t="inlineStr">
        <is>
          <t>39.08–39.24</t>
        </is>
      </c>
      <c r="G460" t="inlineStr">
        <is>
          <t>station_id 2 (ทล.304 กม.28+250)</t>
        </is>
      </c>
      <c r="H460" t="inlineStr">
        <is>
          <t>ทล. สถานีตัวแทนตอนควบคุม</t>
        </is>
      </c>
      <c r="I460" t="n">
        <v>3</v>
      </c>
      <c r="J460" t="n">
        <v>0</v>
      </c>
      <c r="K460" t="n">
        <v>1</v>
      </c>
      <c r="L460" s="5" t="n">
        <v>0.3333</v>
      </c>
      <c r="M460" t="inlineStr">
        <is>
          <t>low</t>
        </is>
      </c>
      <c r="N460" s="6" t="n">
        <v>51653</v>
      </c>
      <c r="O460" s="6" t="n">
        <v>53216</v>
      </c>
      <c r="P460" s="6" t="n">
        <v>78286</v>
      </c>
      <c r="Q460" s="6">
        <f>AVERAGE(N460:P460)</f>
        <v/>
      </c>
      <c r="R460" t="n">
        <v>3</v>
      </c>
      <c r="S460" t="n">
        <v>1</v>
      </c>
      <c r="T460" s="7">
        <f>365*R460*Q460*S460/1000000</f>
        <v/>
      </c>
      <c r="U460" s="8">
        <f>I460/T460</f>
        <v/>
      </c>
      <c r="V460" s="8">
        <f>SUMIF($E$2:$E$599,E460,$I$2:$I$599)/SUMIF($E$2:$E$599,E460,$T$2:$T$599)</f>
        <v/>
      </c>
      <c r="W460" s="8">
        <f>V460+1.645*SQRT(V460/T460)+1/(2*T460)</f>
        <v/>
      </c>
      <c r="X460" s="5">
        <f>U460/W460</f>
        <v/>
      </c>
      <c r="Y460">
        <f>IF(U460&gt;W460,"high",IF(U460&gt;V460,"medium","low"))</f>
        <v/>
      </c>
      <c r="Z460">
        <f>CHOOSE(MAX(IF(M460="high",2,IF(M460="medium",1,0)),IF(Y460="high",2,IF(Y460="medium",1,0)))+1,"low","medium","high")</f>
        <v/>
      </c>
      <c r="AA460">
        <f>IF(IF(M460="high",2,IF(M460="medium",1,0))=IF(Y460="high",2,IF(Y460="medium",1,0)),"SI และ Rate เท่ากัน",IF(IF(M460="high",2,IF(M460="medium",1,0))&gt;IF(Y460="high",2,IF(Y460="medium",1,0)),"SI","Rate"))</f>
        <v/>
      </c>
    </row>
    <row r="461">
      <c r="A461" t="inlineStr">
        <is>
          <t>zone_293</t>
        </is>
      </c>
      <c r="B461" t="inlineStr">
        <is>
          <t>แยกเข้ามีนบุรี - คลองหลวงแพ่ง</t>
        </is>
      </c>
      <c r="C461" t="inlineStr">
        <is>
          <t>กรุงเทพมหานคร</t>
        </is>
      </c>
      <c r="D461" t="inlineStr">
        <is>
          <t>304</t>
        </is>
      </c>
      <c r="E461" t="inlineStr">
        <is>
          <t>ทล.</t>
        </is>
      </c>
      <c r="F461" t="inlineStr">
        <is>
          <t>48.83–49.25</t>
        </is>
      </c>
      <c r="G461" t="inlineStr">
        <is>
          <t>station_id 2 (ทล.304 กม.28+250)</t>
        </is>
      </c>
      <c r="H461" t="inlineStr">
        <is>
          <t>ทล. สถานีตัวแทนตอนควบคุม</t>
        </is>
      </c>
      <c r="I461" t="n">
        <v>3</v>
      </c>
      <c r="J461" t="n">
        <v>0</v>
      </c>
      <c r="K461" t="n">
        <v>0</v>
      </c>
      <c r="L461" s="5" t="n">
        <v>0</v>
      </c>
      <c r="M461" t="inlineStr">
        <is>
          <t>low</t>
        </is>
      </c>
      <c r="N461" s="6" t="n">
        <v>51653</v>
      </c>
      <c r="O461" s="6" t="n">
        <v>53216</v>
      </c>
      <c r="P461" s="6" t="n">
        <v>78286</v>
      </c>
      <c r="Q461" s="6">
        <f>AVERAGE(N461:P461)</f>
        <v/>
      </c>
      <c r="R461" t="n">
        <v>3</v>
      </c>
      <c r="S461" t="n">
        <v>1</v>
      </c>
      <c r="T461" s="7">
        <f>365*R461*Q461*S461/1000000</f>
        <v/>
      </c>
      <c r="U461" s="8">
        <f>I461/T461</f>
        <v/>
      </c>
      <c r="V461" s="8">
        <f>SUMIF($E$2:$E$599,E461,$I$2:$I$599)/SUMIF($E$2:$E$599,E461,$T$2:$T$599)</f>
        <v/>
      </c>
      <c r="W461" s="8">
        <f>V461+1.645*SQRT(V461/T461)+1/(2*T461)</f>
        <v/>
      </c>
      <c r="X461" s="5">
        <f>U461/W461</f>
        <v/>
      </c>
      <c r="Y461">
        <f>IF(U461&gt;W461,"high",IF(U461&gt;V461,"medium","low"))</f>
        <v/>
      </c>
      <c r="Z461">
        <f>CHOOSE(MAX(IF(M461="high",2,IF(M461="medium",1,0)),IF(Y461="high",2,IF(Y461="medium",1,0)))+1,"low","medium","high")</f>
        <v/>
      </c>
      <c r="AA461">
        <f>IF(IF(M461="high",2,IF(M461="medium",1,0))=IF(Y461="high",2,IF(Y461="medium",1,0)),"SI และ Rate เท่ากัน",IF(IF(M461="high",2,IF(M461="medium",1,0))&gt;IF(Y461="high",2,IF(Y461="medium",1,0)),"SI","Rate"))</f>
        <v/>
      </c>
    </row>
    <row r="462">
      <c r="A462" t="inlineStr">
        <is>
          <t>zone_226</t>
        </is>
      </c>
      <c r="B462" t="inlineStr">
        <is>
          <t>พญาไท-บางโคล่</t>
        </is>
      </c>
      <c r="C462" t="inlineStr">
        <is>
          <t>กรุงเทพมหานคร</t>
        </is>
      </c>
      <c r="D462" t="inlineStr">
        <is>
          <t>E002S007|U</t>
        </is>
      </c>
      <c r="E462" t="inlineStr">
        <is>
          <t>กทพ.</t>
        </is>
      </c>
      <c r="F462" t="inlineStr">
        <is>
          <t>7.7–7.8</t>
        </is>
      </c>
      <c r="G462" t="inlineStr">
        <is>
          <t>ศรีรัช</t>
        </is>
      </c>
      <c r="H462" t="inlineStr">
        <is>
          <t>กทพ. ยอดผ่านด่านทั้งสาย ÷ 365</t>
        </is>
      </c>
      <c r="I462" t="n">
        <v>4</v>
      </c>
      <c r="J462" t="n">
        <v>0</v>
      </c>
      <c r="K462" t="n">
        <v>0</v>
      </c>
      <c r="L462" s="5" t="n">
        <v>0</v>
      </c>
      <c r="M462" t="inlineStr">
        <is>
          <t>low</t>
        </is>
      </c>
      <c r="N462" s="6" t="n">
        <v>613083.1506849315</v>
      </c>
      <c r="O462" s="6" t="n">
        <v>601127.7068493151</v>
      </c>
      <c r="P462" s="6" t="n">
        <v>607857.5287671232</v>
      </c>
      <c r="Q462" s="6">
        <f>AVERAGE(N462:P462)</f>
        <v/>
      </c>
      <c r="R462" t="n">
        <v>3</v>
      </c>
      <c r="S462" t="n">
        <v>1</v>
      </c>
      <c r="T462" s="7">
        <f>365*R462*Q462*S462/1000000</f>
        <v/>
      </c>
      <c r="U462" s="8">
        <f>I462/T462</f>
        <v/>
      </c>
      <c r="V462" s="8">
        <f>SUMIF($E$2:$E$599,E462,$I$2:$I$599)/SUMIF($E$2:$E$599,E462,$T$2:$T$599)</f>
        <v/>
      </c>
      <c r="W462" s="8">
        <f>V462+1.645*SQRT(V462/T462)+1/(2*T462)</f>
        <v/>
      </c>
      <c r="X462" s="5">
        <f>U462/W462</f>
        <v/>
      </c>
      <c r="Y462">
        <f>IF(U462&gt;W462,"high",IF(U462&gt;V462,"medium","low"))</f>
        <v/>
      </c>
      <c r="Z462">
        <f>CHOOSE(MAX(IF(M462="high",2,IF(M462="medium",1,0)),IF(Y462="high",2,IF(Y462="medium",1,0)))+1,"low","medium","high")</f>
        <v/>
      </c>
      <c r="AA462">
        <f>IF(IF(M462="high",2,IF(M462="medium",1,0))=IF(Y462="high",2,IF(Y462="medium",1,0)),"SI และ Rate เท่ากัน",IF(IF(M462="high",2,IF(M462="medium",1,0))&gt;IF(Y462="high",2,IF(Y462="medium",1,0)),"SI","Rate"))</f>
        <v/>
      </c>
    </row>
    <row r="463">
      <c r="A463" t="inlineStr">
        <is>
          <t>zone_270</t>
        </is>
      </c>
      <c r="B463" t="inlineStr">
        <is>
          <t>พญาไท-บางโคล่</t>
        </is>
      </c>
      <c r="C463" t="inlineStr">
        <is>
          <t>กรุงเทพมหานคร</t>
        </is>
      </c>
      <c r="D463" t="inlineStr">
        <is>
          <t>E002S007|U</t>
        </is>
      </c>
      <c r="E463" t="inlineStr">
        <is>
          <t>กทพ.</t>
        </is>
      </c>
      <c r="F463" t="inlineStr">
        <is>
          <t>4.7–4.8</t>
        </is>
      </c>
      <c r="G463" t="inlineStr">
        <is>
          <t>ศรีรัช</t>
        </is>
      </c>
      <c r="H463" t="inlineStr">
        <is>
          <t>กทพ. ยอดผ่านด่านทั้งสาย ÷ 365</t>
        </is>
      </c>
      <c r="I463" t="n">
        <v>4</v>
      </c>
      <c r="J463" t="n">
        <v>0</v>
      </c>
      <c r="K463" t="n">
        <v>0</v>
      </c>
      <c r="L463" s="5" t="n">
        <v>0</v>
      </c>
      <c r="M463" t="inlineStr">
        <is>
          <t>low</t>
        </is>
      </c>
      <c r="N463" s="6" t="n">
        <v>613083.1506849315</v>
      </c>
      <c r="O463" s="6" t="n">
        <v>601127.7068493151</v>
      </c>
      <c r="P463" s="6" t="n">
        <v>607857.5287671232</v>
      </c>
      <c r="Q463" s="6">
        <f>AVERAGE(N463:P463)</f>
        <v/>
      </c>
      <c r="R463" t="n">
        <v>3</v>
      </c>
      <c r="S463" t="n">
        <v>1</v>
      </c>
      <c r="T463" s="7">
        <f>365*R463*Q463*S463/1000000</f>
        <v/>
      </c>
      <c r="U463" s="8">
        <f>I463/T463</f>
        <v/>
      </c>
      <c r="V463" s="8">
        <f>SUMIF($E$2:$E$599,E463,$I$2:$I$599)/SUMIF($E$2:$E$599,E463,$T$2:$T$599)</f>
        <v/>
      </c>
      <c r="W463" s="8">
        <f>V463+1.645*SQRT(V463/T463)+1/(2*T463)</f>
        <v/>
      </c>
      <c r="X463" s="5">
        <f>U463/W463</f>
        <v/>
      </c>
      <c r="Y463">
        <f>IF(U463&gt;W463,"high",IF(U463&gt;V463,"medium","low"))</f>
        <v/>
      </c>
      <c r="Z463">
        <f>CHOOSE(MAX(IF(M463="high",2,IF(M463="medium",1,0)),IF(Y463="high",2,IF(Y463="medium",1,0)))+1,"low","medium","high")</f>
        <v/>
      </c>
      <c r="AA463">
        <f>IF(IF(M463="high",2,IF(M463="medium",1,0))=IF(Y463="high",2,IF(Y463="medium",1,0)),"SI และ Rate เท่ากัน",IF(IF(M463="high",2,IF(M463="medium",1,0))&gt;IF(Y463="high",2,IF(Y463="medium",1,0)),"SI","Rate"))</f>
        <v/>
      </c>
    </row>
    <row r="464">
      <c r="A464" t="inlineStr">
        <is>
          <t>zone_349</t>
        </is>
      </c>
      <c r="B464" t="inlineStr">
        <is>
          <t>แจ้งวัฒนะ-พญาไท</t>
        </is>
      </c>
      <c r="C464" t="inlineStr">
        <is>
          <t>นนทบุรี</t>
        </is>
      </c>
      <c r="D464" t="inlineStr">
        <is>
          <t>E002S014|I</t>
        </is>
      </c>
      <c r="E464" t="inlineStr">
        <is>
          <t>กทพ.</t>
        </is>
      </c>
      <c r="F464" t="inlineStr">
        <is>
          <t>19.3–19.5</t>
        </is>
      </c>
      <c r="G464" t="inlineStr">
        <is>
          <t>ศรีรัช</t>
        </is>
      </c>
      <c r="H464" t="inlineStr">
        <is>
          <t>กทพ. ยอดผ่านด่านทั้งสาย ÷ 365</t>
        </is>
      </c>
      <c r="I464" t="n">
        <v>4</v>
      </c>
      <c r="J464" t="n">
        <v>0</v>
      </c>
      <c r="K464" t="n">
        <v>2</v>
      </c>
      <c r="L464" s="5" t="n">
        <v>0.5</v>
      </c>
      <c r="M464" t="inlineStr">
        <is>
          <t>low</t>
        </is>
      </c>
      <c r="N464" s="6" t="n">
        <v>613083.1506849315</v>
      </c>
      <c r="O464" s="6" t="n">
        <v>601127.7068493151</v>
      </c>
      <c r="P464" s="6" t="n">
        <v>607857.5287671232</v>
      </c>
      <c r="Q464" s="6">
        <f>AVERAGE(N464:P464)</f>
        <v/>
      </c>
      <c r="R464" t="n">
        <v>3</v>
      </c>
      <c r="S464" t="n">
        <v>1</v>
      </c>
      <c r="T464" s="7">
        <f>365*R464*Q464*S464/1000000</f>
        <v/>
      </c>
      <c r="U464" s="8">
        <f>I464/T464</f>
        <v/>
      </c>
      <c r="V464" s="8">
        <f>SUMIF($E$2:$E$599,E464,$I$2:$I$599)/SUMIF($E$2:$E$599,E464,$T$2:$T$599)</f>
        <v/>
      </c>
      <c r="W464" s="8">
        <f>V464+1.645*SQRT(V464/T464)+1/(2*T464)</f>
        <v/>
      </c>
      <c r="X464" s="5">
        <f>U464/W464</f>
        <v/>
      </c>
      <c r="Y464">
        <f>IF(U464&gt;W464,"high",IF(U464&gt;V464,"medium","low"))</f>
        <v/>
      </c>
      <c r="Z464">
        <f>CHOOSE(MAX(IF(M464="high",2,IF(M464="medium",1,0)),IF(Y464="high",2,IF(Y464="medium",1,0)))+1,"low","medium","high")</f>
        <v/>
      </c>
      <c r="AA464">
        <f>IF(IF(M464="high",2,IF(M464="medium",1,0))=IF(Y464="high",2,IF(Y464="medium",1,0)),"SI และ Rate เท่ากัน",IF(IF(M464="high",2,IF(M464="medium",1,0))&gt;IF(Y464="high",2,IF(Y464="medium",1,0)),"SI","Rate"))</f>
        <v/>
      </c>
    </row>
    <row r="465">
      <c r="A465" t="inlineStr">
        <is>
          <t>zone_350</t>
        </is>
      </c>
      <c r="B465" t="inlineStr">
        <is>
          <t>แจ้งวัฒนะ-พญาไท</t>
        </is>
      </c>
      <c r="C465" t="inlineStr">
        <is>
          <t>นนทบุรี</t>
        </is>
      </c>
      <c r="D465" t="inlineStr">
        <is>
          <t>E002S014|U</t>
        </is>
      </c>
      <c r="E465" t="inlineStr">
        <is>
          <t>กทพ.</t>
        </is>
      </c>
      <c r="F465" t="inlineStr">
        <is>
          <t>23.8–24.1</t>
        </is>
      </c>
      <c r="G465" t="inlineStr">
        <is>
          <t>ศรีรัช</t>
        </is>
      </c>
      <c r="H465" t="inlineStr">
        <is>
          <t>กทพ. ยอดผ่านด่านทั้งสาย ÷ 365</t>
        </is>
      </c>
      <c r="I465" t="n">
        <v>4</v>
      </c>
      <c r="J465" t="n">
        <v>0</v>
      </c>
      <c r="K465" t="n">
        <v>0</v>
      </c>
      <c r="L465" s="5" t="n">
        <v>0</v>
      </c>
      <c r="M465" t="inlineStr">
        <is>
          <t>low</t>
        </is>
      </c>
      <c r="N465" s="6" t="n">
        <v>613083.1506849315</v>
      </c>
      <c r="O465" s="6" t="n">
        <v>601127.7068493151</v>
      </c>
      <c r="P465" s="6" t="n">
        <v>607857.5287671232</v>
      </c>
      <c r="Q465" s="6">
        <f>AVERAGE(N465:P465)</f>
        <v/>
      </c>
      <c r="R465" t="n">
        <v>3</v>
      </c>
      <c r="S465" t="n">
        <v>1</v>
      </c>
      <c r="T465" s="7">
        <f>365*R465*Q465*S465/1000000</f>
        <v/>
      </c>
      <c r="U465" s="8">
        <f>I465/T465</f>
        <v/>
      </c>
      <c r="V465" s="8">
        <f>SUMIF($E$2:$E$599,E465,$I$2:$I$599)/SUMIF($E$2:$E$599,E465,$T$2:$T$599)</f>
        <v/>
      </c>
      <c r="W465" s="8">
        <f>V465+1.645*SQRT(V465/T465)+1/(2*T465)</f>
        <v/>
      </c>
      <c r="X465" s="5">
        <f>U465/W465</f>
        <v/>
      </c>
      <c r="Y465">
        <f>IF(U465&gt;W465,"high",IF(U465&gt;V465,"medium","low"))</f>
        <v/>
      </c>
      <c r="Z465">
        <f>CHOOSE(MAX(IF(M465="high",2,IF(M465="medium",1,0)),IF(Y465="high",2,IF(Y465="medium",1,0)))+1,"low","medium","high")</f>
        <v/>
      </c>
      <c r="AA465">
        <f>IF(IF(M465="high",2,IF(M465="medium",1,0))=IF(Y465="high",2,IF(Y465="medium",1,0)),"SI และ Rate เท่ากัน",IF(IF(M465="high",2,IF(M465="medium",1,0))&gt;IF(Y465="high",2,IF(Y465="medium",1,0)),"SI","Rate"))</f>
        <v/>
      </c>
    </row>
    <row r="466">
      <c r="A466" t="inlineStr">
        <is>
          <t>zone_152</t>
        </is>
      </c>
      <c r="B466" t="inlineStr">
        <is>
          <t>แขวงรามอินทรา - บางพลี</t>
        </is>
      </c>
      <c r="C466" t="inlineStr">
        <is>
          <t>กรุงเทพมหานคร</t>
        </is>
      </c>
      <c r="D466" t="inlineStr">
        <is>
          <t>9</t>
        </is>
      </c>
      <c r="E466" t="inlineStr">
        <is>
          <t>ทล.</t>
        </is>
      </c>
      <c r="F466" t="inlineStr">
        <is>
          <t>61.2–61.6</t>
        </is>
      </c>
      <c r="G466" t="inlineStr">
        <is>
          <t>station_id 348 (ทล.9 กม.59+500)</t>
        </is>
      </c>
      <c r="H466" t="inlineStr">
        <is>
          <t>ทล. สถานีตัวแทนตอนควบคุม</t>
        </is>
      </c>
      <c r="I466" t="n">
        <v>5</v>
      </c>
      <c r="J466" t="n">
        <v>0</v>
      </c>
      <c r="K466" t="n">
        <v>2</v>
      </c>
      <c r="L466" s="5" t="n">
        <v>0.4</v>
      </c>
      <c r="M466" t="inlineStr">
        <is>
          <t>low</t>
        </is>
      </c>
      <c r="N466" s="6" t="n">
        <v>110915</v>
      </c>
      <c r="O466" s="6" t="n">
        <v>117953</v>
      </c>
      <c r="P466" s="6" t="n">
        <v>117813</v>
      </c>
      <c r="Q466" s="6">
        <f>AVERAGE(N466:P466)</f>
        <v/>
      </c>
      <c r="R466" t="n">
        <v>3</v>
      </c>
      <c r="S466" t="n">
        <v>1</v>
      </c>
      <c r="T466" s="7">
        <f>365*R466*Q466*S466/1000000</f>
        <v/>
      </c>
      <c r="U466" s="8">
        <f>I466/T466</f>
        <v/>
      </c>
      <c r="V466" s="8">
        <f>SUMIF($E$2:$E$599,E466,$I$2:$I$599)/SUMIF($E$2:$E$599,E466,$T$2:$T$599)</f>
        <v/>
      </c>
      <c r="W466" s="8">
        <f>V466+1.645*SQRT(V466/T466)+1/(2*T466)</f>
        <v/>
      </c>
      <c r="X466" s="5">
        <f>U466/W466</f>
        <v/>
      </c>
      <c r="Y466">
        <f>IF(U466&gt;W466,"high",IF(U466&gt;V466,"medium","low"))</f>
        <v/>
      </c>
      <c r="Z466">
        <f>CHOOSE(MAX(IF(M466="high",2,IF(M466="medium",1,0)),IF(Y466="high",2,IF(Y466="medium",1,0)))+1,"low","medium","high")</f>
        <v/>
      </c>
      <c r="AA466">
        <f>IF(IF(M466="high",2,IF(M466="medium",1,0))=IF(Y466="high",2,IF(Y466="medium",1,0)),"SI และ Rate เท่ากัน",IF(IF(M466="high",2,IF(M466="medium",1,0))&gt;IF(Y466="high",2,IF(Y466="medium",1,0)),"SI","Rate"))</f>
        <v/>
      </c>
    </row>
    <row r="467">
      <c r="A467" t="inlineStr">
        <is>
          <t>zone_211</t>
        </is>
      </c>
      <c r="B467" t="inlineStr">
        <is>
          <t>แขวงรามอินทรา - บางพลี</t>
        </is>
      </c>
      <c r="C467" t="inlineStr">
        <is>
          <t>กรุงเทพมหานคร</t>
        </is>
      </c>
      <c r="D467" t="inlineStr">
        <is>
          <t>9</t>
        </is>
      </c>
      <c r="E467" t="inlineStr">
        <is>
          <t>ทล.</t>
        </is>
      </c>
      <c r="F467" t="inlineStr">
        <is>
          <t>60.2–60.6</t>
        </is>
      </c>
      <c r="G467" t="inlineStr">
        <is>
          <t>station_id 348 (ทล.9 กม.59+500)</t>
        </is>
      </c>
      <c r="H467" t="inlineStr">
        <is>
          <t>ทล. สถานีตัวแทนตอนควบคุม</t>
        </is>
      </c>
      <c r="I467" t="n">
        <v>5</v>
      </c>
      <c r="J467" t="n">
        <v>0</v>
      </c>
      <c r="K467" t="n">
        <v>2</v>
      </c>
      <c r="L467" s="5" t="n">
        <v>0.4</v>
      </c>
      <c r="M467" t="inlineStr">
        <is>
          <t>low</t>
        </is>
      </c>
      <c r="N467" s="6" t="n">
        <v>110915</v>
      </c>
      <c r="O467" s="6" t="n">
        <v>117953</v>
      </c>
      <c r="P467" s="6" t="n">
        <v>117813</v>
      </c>
      <c r="Q467" s="6">
        <f>AVERAGE(N467:P467)</f>
        <v/>
      </c>
      <c r="R467" t="n">
        <v>3</v>
      </c>
      <c r="S467" t="n">
        <v>1</v>
      </c>
      <c r="T467" s="7">
        <f>365*R467*Q467*S467/1000000</f>
        <v/>
      </c>
      <c r="U467" s="8">
        <f>I467/T467</f>
        <v/>
      </c>
      <c r="V467" s="8">
        <f>SUMIF($E$2:$E$599,E467,$I$2:$I$599)/SUMIF($E$2:$E$599,E467,$T$2:$T$599)</f>
        <v/>
      </c>
      <c r="W467" s="8">
        <f>V467+1.645*SQRT(V467/T467)+1/(2*T467)</f>
        <v/>
      </c>
      <c r="X467" s="5">
        <f>U467/W467</f>
        <v/>
      </c>
      <c r="Y467">
        <f>IF(U467&gt;W467,"high",IF(U467&gt;V467,"medium","low"))</f>
        <v/>
      </c>
      <c r="Z467">
        <f>CHOOSE(MAX(IF(M467="high",2,IF(M467="medium",1,0)),IF(Y467="high",2,IF(Y467="medium",1,0)))+1,"low","medium","high")</f>
        <v/>
      </c>
      <c r="AA467">
        <f>IF(IF(M467="high",2,IF(M467="medium",1,0))=IF(Y467="high",2,IF(Y467="medium",1,0)),"SI และ Rate เท่ากัน",IF(IF(M467="high",2,IF(M467="medium",1,0))&gt;IF(Y467="high",2,IF(Y467="medium",1,0)),"SI","Rate"))</f>
        <v/>
      </c>
    </row>
    <row r="468">
      <c r="A468" t="inlineStr">
        <is>
          <t>zone_212</t>
        </is>
      </c>
      <c r="B468" t="inlineStr">
        <is>
          <t>แขวงรามอินทรา - บางพลี</t>
        </is>
      </c>
      <c r="C468" t="inlineStr">
        <is>
          <t>กรุงเทพมหานคร</t>
        </is>
      </c>
      <c r="D468" t="inlineStr">
        <is>
          <t>9</t>
        </is>
      </c>
      <c r="E468" t="inlineStr">
        <is>
          <t>ทล.</t>
        </is>
      </c>
      <c r="F468" t="inlineStr">
        <is>
          <t>59.8–60.6</t>
        </is>
      </c>
      <c r="G468" t="inlineStr">
        <is>
          <t>station_id 348 (ทล.9 กม.59+500)</t>
        </is>
      </c>
      <c r="H468" t="inlineStr">
        <is>
          <t>ทล. สถานีตัวแทนตอนควบคุม</t>
        </is>
      </c>
      <c r="I468" t="n">
        <v>5</v>
      </c>
      <c r="J468" t="n">
        <v>0</v>
      </c>
      <c r="K468" t="n">
        <v>1</v>
      </c>
      <c r="L468" s="5" t="n">
        <v>0.2</v>
      </c>
      <c r="M468" t="inlineStr">
        <is>
          <t>low</t>
        </is>
      </c>
      <c r="N468" s="6" t="n">
        <v>110915</v>
      </c>
      <c r="O468" s="6" t="n">
        <v>117953</v>
      </c>
      <c r="P468" s="6" t="n">
        <v>117813</v>
      </c>
      <c r="Q468" s="6">
        <f>AVERAGE(N468:P468)</f>
        <v/>
      </c>
      <c r="R468" t="n">
        <v>3</v>
      </c>
      <c r="S468" t="n">
        <v>1</v>
      </c>
      <c r="T468" s="7">
        <f>365*R468*Q468*S468/1000000</f>
        <v/>
      </c>
      <c r="U468" s="8">
        <f>I468/T468</f>
        <v/>
      </c>
      <c r="V468" s="8">
        <f>SUMIF($E$2:$E$599,E468,$I$2:$I$599)/SUMIF($E$2:$E$599,E468,$T$2:$T$599)</f>
        <v/>
      </c>
      <c r="W468" s="8">
        <f>V468+1.645*SQRT(V468/T468)+1/(2*T468)</f>
        <v/>
      </c>
      <c r="X468" s="5">
        <f>U468/W468</f>
        <v/>
      </c>
      <c r="Y468">
        <f>IF(U468&gt;W468,"high",IF(U468&gt;V468,"medium","low"))</f>
        <v/>
      </c>
      <c r="Z468">
        <f>CHOOSE(MAX(IF(M468="high",2,IF(M468="medium",1,0)),IF(Y468="high",2,IF(Y468="medium",1,0)))+1,"low","medium","high")</f>
        <v/>
      </c>
      <c r="AA468">
        <f>IF(IF(M468="high",2,IF(M468="medium",1,0))=IF(Y468="high",2,IF(Y468="medium",1,0)),"SI และ Rate เท่ากัน",IF(IF(M468="high",2,IF(M468="medium",1,0))&gt;IF(Y468="high",2,IF(Y468="medium",1,0)),"SI","Rate"))</f>
        <v/>
      </c>
    </row>
    <row r="469">
      <c r="A469" t="inlineStr">
        <is>
          <t>zone_51</t>
        </is>
      </c>
      <c r="B469" t="inlineStr">
        <is>
          <t>ดาวคะนอง - แสมดำ</t>
        </is>
      </c>
      <c r="C469" t="inlineStr">
        <is>
          <t>กรุงเทพมหานคร</t>
        </is>
      </c>
      <c r="D469" t="inlineStr">
        <is>
          <t>35</t>
        </is>
      </c>
      <c r="E469" t="inlineStr">
        <is>
          <t>ทล.</t>
        </is>
      </c>
      <c r="F469" t="inlineStr">
        <is>
          <t>4.2–4.4</t>
        </is>
      </c>
      <c r="G469" t="inlineStr">
        <is>
          <t>station_id 127 (ทล.35 กม.6+500)</t>
        </is>
      </c>
      <c r="H469" t="inlineStr">
        <is>
          <t>ทล. สถานีตัวแทนตอนควบคุม</t>
        </is>
      </c>
      <c r="I469" t="n">
        <v>10</v>
      </c>
      <c r="J469" t="n">
        <v>0</v>
      </c>
      <c r="K469" t="n">
        <v>9</v>
      </c>
      <c r="L469" s="5" t="n">
        <v>0.9</v>
      </c>
      <c r="M469" t="inlineStr">
        <is>
          <t>low</t>
        </is>
      </c>
      <c r="N469" s="6" t="n">
        <v>256167</v>
      </c>
      <c r="O469" s="6" t="n">
        <v>260090</v>
      </c>
      <c r="P469" s="6" t="n">
        <v>259277</v>
      </c>
      <c r="Q469" s="6">
        <f>AVERAGE(N469:P469)</f>
        <v/>
      </c>
      <c r="R469" t="n">
        <v>3</v>
      </c>
      <c r="S469" t="n">
        <v>1</v>
      </c>
      <c r="T469" s="7">
        <f>365*R469*Q469*S469/1000000</f>
        <v/>
      </c>
      <c r="U469" s="8">
        <f>I469/T469</f>
        <v/>
      </c>
      <c r="V469" s="8">
        <f>SUMIF($E$2:$E$599,E469,$I$2:$I$599)/SUMIF($E$2:$E$599,E469,$T$2:$T$599)</f>
        <v/>
      </c>
      <c r="W469" s="8">
        <f>V469+1.645*SQRT(V469/T469)+1/(2*T469)</f>
        <v/>
      </c>
      <c r="X469" s="5">
        <f>U469/W469</f>
        <v/>
      </c>
      <c r="Y469">
        <f>IF(U469&gt;W469,"high",IF(U469&gt;V469,"medium","low"))</f>
        <v/>
      </c>
      <c r="Z469">
        <f>CHOOSE(MAX(IF(M469="high",2,IF(M469="medium",1,0)),IF(Y469="high",2,IF(Y469="medium",1,0)))+1,"low","medium","high")</f>
        <v/>
      </c>
      <c r="AA469">
        <f>IF(IF(M469="high",2,IF(M469="medium",1,0))=IF(Y469="high",2,IF(Y469="medium",1,0)),"SI และ Rate เท่ากัน",IF(IF(M469="high",2,IF(M469="medium",1,0))&gt;IF(Y469="high",2,IF(Y469="medium",1,0)),"SI","Rate"))</f>
        <v/>
      </c>
    </row>
    <row r="470">
      <c r="A470" t="inlineStr">
        <is>
          <t>zone_340</t>
        </is>
      </c>
      <c r="B470" t="inlineStr">
        <is>
          <t>คลองมหาสวัสดิ์ - คลองบางไผ่</t>
        </is>
      </c>
      <c r="C470" t="inlineStr">
        <is>
          <t>นนทบุรี</t>
        </is>
      </c>
      <c r="D470" t="inlineStr">
        <is>
          <t>3902</t>
        </is>
      </c>
      <c r="E470" t="inlineStr">
        <is>
          <t>ทล.</t>
        </is>
      </c>
      <c r="F470" t="inlineStr">
        <is>
          <t>40.3–40.9</t>
        </is>
      </c>
      <c r="G470" t="inlineStr">
        <is>
          <t>station_id 120 (ทล.3902 กม.39+528)</t>
        </is>
      </c>
      <c r="H470" t="inlineStr">
        <is>
          <t>ทล. สถานีตัวแทนตอนควบคุม</t>
        </is>
      </c>
      <c r="I470" t="n">
        <v>4</v>
      </c>
      <c r="J470" t="n">
        <v>0</v>
      </c>
      <c r="K470" t="n">
        <v>3</v>
      </c>
      <c r="L470" s="5" t="n">
        <v>0.75</v>
      </c>
      <c r="M470" t="inlineStr">
        <is>
          <t>low</t>
        </is>
      </c>
      <c r="N470" s="6" t="n">
        <v>94078</v>
      </c>
      <c r="O470" s="6" t="n">
        <v>88274</v>
      </c>
      <c r="P470" s="6" t="n">
        <v>83819</v>
      </c>
      <c r="Q470" s="6">
        <f>AVERAGE(N470:P470)</f>
        <v/>
      </c>
      <c r="R470" t="n">
        <v>3</v>
      </c>
      <c r="S470" t="n">
        <v>1</v>
      </c>
      <c r="T470" s="7">
        <f>365*R470*Q470*S470/1000000</f>
        <v/>
      </c>
      <c r="U470" s="8">
        <f>I470/T470</f>
        <v/>
      </c>
      <c r="V470" s="8">
        <f>SUMIF($E$2:$E$599,E470,$I$2:$I$599)/SUMIF($E$2:$E$599,E470,$T$2:$T$599)</f>
        <v/>
      </c>
      <c r="W470" s="8">
        <f>V470+1.645*SQRT(V470/T470)+1/(2*T470)</f>
        <v/>
      </c>
      <c r="X470" s="5">
        <f>U470/W470</f>
        <v/>
      </c>
      <c r="Y470">
        <f>IF(U470&gt;W470,"high",IF(U470&gt;V470,"medium","low"))</f>
        <v/>
      </c>
      <c r="Z470">
        <f>CHOOSE(MAX(IF(M470="high",2,IF(M470="medium",1,0)),IF(Y470="high",2,IF(Y470="medium",1,0)))+1,"low","medium","high")</f>
        <v/>
      </c>
      <c r="AA470">
        <f>IF(IF(M470="high",2,IF(M470="medium",1,0))=IF(Y470="high",2,IF(Y470="medium",1,0)),"SI และ Rate เท่ากัน",IF(IF(M470="high",2,IF(M470="medium",1,0))&gt;IF(Y470="high",2,IF(Y470="medium",1,0)),"SI","Rate"))</f>
        <v/>
      </c>
    </row>
    <row r="471">
      <c r="A471" t="inlineStr">
        <is>
          <t>zone_596</t>
        </is>
      </c>
      <c r="B471" t="inlineStr">
        <is>
          <t>สะพานข้ามแม่น้ำท่าจีนฝั่งตะวันตก - นาโคก</t>
        </is>
      </c>
      <c r="C471" t="inlineStr">
        <is>
          <t>สมุทรสาคร</t>
        </is>
      </c>
      <c r="D471" t="inlineStr">
        <is>
          <t>35</t>
        </is>
      </c>
      <c r="E471" t="inlineStr">
        <is>
          <t>ทล.</t>
        </is>
      </c>
      <c r="F471" t="inlineStr">
        <is>
          <t>50.9–51.4</t>
        </is>
      </c>
      <c r="G471" t="inlineStr">
        <is>
          <t>station_id 59 (ทล.35 กม.30+700)</t>
        </is>
      </c>
      <c r="H471" t="inlineStr">
        <is>
          <t>ทล. สถานีตัวแทนตอนควบคุม</t>
        </is>
      </c>
      <c r="I471" t="n">
        <v>6</v>
      </c>
      <c r="J471" t="n">
        <v>1</v>
      </c>
      <c r="K471" t="n">
        <v>4</v>
      </c>
      <c r="L471" s="5" t="n">
        <v>0.8333</v>
      </c>
      <c r="M471" t="inlineStr">
        <is>
          <t>low</t>
        </is>
      </c>
      <c r="N471" s="6" t="n">
        <v>134343</v>
      </c>
      <c r="O471" s="6" t="n">
        <v>149180</v>
      </c>
      <c r="P471" s="6" t="n">
        <v>149785</v>
      </c>
      <c r="Q471" s="6">
        <f>AVERAGE(N471:P471)</f>
        <v/>
      </c>
      <c r="R471" t="n">
        <v>3</v>
      </c>
      <c r="S471" t="n">
        <v>1</v>
      </c>
      <c r="T471" s="7">
        <f>365*R471*Q471*S471/1000000</f>
        <v/>
      </c>
      <c r="U471" s="8">
        <f>I471/T471</f>
        <v/>
      </c>
      <c r="V471" s="8">
        <f>SUMIF($E$2:$E$599,E471,$I$2:$I$599)/SUMIF($E$2:$E$599,E471,$T$2:$T$599)</f>
        <v/>
      </c>
      <c r="W471" s="8">
        <f>V471+1.645*SQRT(V471/T471)+1/(2*T471)</f>
        <v/>
      </c>
      <c r="X471" s="5">
        <f>U471/W471</f>
        <v/>
      </c>
      <c r="Y471">
        <f>IF(U471&gt;W471,"high",IF(U471&gt;V471,"medium","low"))</f>
        <v/>
      </c>
      <c r="Z471">
        <f>CHOOSE(MAX(IF(M471="high",2,IF(M471="medium",1,0)),IF(Y471="high",2,IF(Y471="medium",1,0)))+1,"low","medium","high")</f>
        <v/>
      </c>
      <c r="AA471">
        <f>IF(IF(M471="high",2,IF(M471="medium",1,0))=IF(Y471="high",2,IF(Y471="medium",1,0)),"SI และ Rate เท่ากัน",IF(IF(M471="high",2,IF(M471="medium",1,0))&gt;IF(Y471="high",2,IF(Y471="medium",1,0)),"SI","Rate"))</f>
        <v/>
      </c>
    </row>
    <row r="472">
      <c r="A472" t="inlineStr">
        <is>
          <t>zone_597</t>
        </is>
      </c>
      <c r="B472" t="inlineStr">
        <is>
          <t>สะพานข้ามแม่น้ำท่าจีนฝั่งตะวันตก - นาโคก</t>
        </is>
      </c>
      <c r="C472" t="inlineStr">
        <is>
          <t>สมุทรสาคร</t>
        </is>
      </c>
      <c r="D472" t="inlineStr">
        <is>
          <t>35</t>
        </is>
      </c>
      <c r="E472" t="inlineStr">
        <is>
          <t>ทล.</t>
        </is>
      </c>
      <c r="F472" t="inlineStr">
        <is>
          <t>44.915–45.432</t>
        </is>
      </c>
      <c r="G472" t="inlineStr">
        <is>
          <t>station_id 59 (ทล.35 กม.30+700)</t>
        </is>
      </c>
      <c r="H472" t="inlineStr">
        <is>
          <t>ทล. สถานีตัวแทนตอนควบคุม</t>
        </is>
      </c>
      <c r="I472" t="n">
        <v>6</v>
      </c>
      <c r="J472" t="n">
        <v>0</v>
      </c>
      <c r="K472" t="n">
        <v>2</v>
      </c>
      <c r="L472" s="5" t="n">
        <v>0.3333</v>
      </c>
      <c r="M472" t="inlineStr">
        <is>
          <t>low</t>
        </is>
      </c>
      <c r="N472" s="6" t="n">
        <v>134343</v>
      </c>
      <c r="O472" s="6" t="n">
        <v>149180</v>
      </c>
      <c r="P472" s="6" t="n">
        <v>149785</v>
      </c>
      <c r="Q472" s="6">
        <f>AVERAGE(N472:P472)</f>
        <v/>
      </c>
      <c r="R472" t="n">
        <v>3</v>
      </c>
      <c r="S472" t="n">
        <v>1</v>
      </c>
      <c r="T472" s="7">
        <f>365*R472*Q472*S472/1000000</f>
        <v/>
      </c>
      <c r="U472" s="8">
        <f>I472/T472</f>
        <v/>
      </c>
      <c r="V472" s="8">
        <f>SUMIF($E$2:$E$599,E472,$I$2:$I$599)/SUMIF($E$2:$E$599,E472,$T$2:$T$599)</f>
        <v/>
      </c>
      <c r="W472" s="8">
        <f>V472+1.645*SQRT(V472/T472)+1/(2*T472)</f>
        <v/>
      </c>
      <c r="X472" s="5">
        <f>U472/W472</f>
        <v/>
      </c>
      <c r="Y472">
        <f>IF(U472&gt;W472,"high",IF(U472&gt;V472,"medium","low"))</f>
        <v/>
      </c>
      <c r="Z472">
        <f>CHOOSE(MAX(IF(M472="high",2,IF(M472="medium",1,0)),IF(Y472="high",2,IF(Y472="medium",1,0)))+1,"low","medium","high")</f>
        <v/>
      </c>
      <c r="AA472">
        <f>IF(IF(M472="high",2,IF(M472="medium",1,0))=IF(Y472="high",2,IF(Y472="medium",1,0)),"SI และ Rate เท่ากัน",IF(IF(M472="high",2,IF(M472="medium",1,0))&gt;IF(Y472="high",2,IF(Y472="medium",1,0)),"SI","Rate"))</f>
        <v/>
      </c>
    </row>
    <row r="473">
      <c r="A473" t="inlineStr">
        <is>
          <t>zone_68</t>
        </is>
      </c>
      <c r="B473" t="inlineStr">
        <is>
          <t>คลองพระยาสุเรนทร์ - ประเวศ</t>
        </is>
      </c>
      <c r="C473" t="inlineStr">
        <is>
          <t>กรุงเทพมหานคร</t>
        </is>
      </c>
      <c r="D473" t="inlineStr">
        <is>
          <t>3901</t>
        </is>
      </c>
      <c r="E473" t="inlineStr">
        <is>
          <t>ทล.</t>
        </is>
      </c>
      <c r="F473" t="inlineStr">
        <is>
          <t>39.2–49.7</t>
        </is>
      </c>
      <c r="G473" t="inlineStr">
        <is>
          <t>station_id 121 (ทล.3901 กม.46+472)</t>
        </is>
      </c>
      <c r="H473" t="inlineStr">
        <is>
          <t>ทล. สถานีตัวแทนตอนควบคุม</t>
        </is>
      </c>
      <c r="I473" t="n">
        <v>3</v>
      </c>
      <c r="J473" t="n">
        <v>0</v>
      </c>
      <c r="K473" t="n">
        <v>0</v>
      </c>
      <c r="L473" s="5" t="n">
        <v>0</v>
      </c>
      <c r="M473" t="inlineStr">
        <is>
          <t>low</t>
        </is>
      </c>
      <c r="N473" s="6" t="n">
        <v>59239</v>
      </c>
      <c r="O473" s="6" t="n">
        <v>66002</v>
      </c>
      <c r="P473" s="6" t="n">
        <v>69929</v>
      </c>
      <c r="Q473" s="6">
        <f>AVERAGE(N473:P473)</f>
        <v/>
      </c>
      <c r="R473" t="n">
        <v>3</v>
      </c>
      <c r="S473" t="n">
        <v>1</v>
      </c>
      <c r="T473" s="7">
        <f>365*R473*Q473*S473/1000000</f>
        <v/>
      </c>
      <c r="U473" s="8">
        <f>I473/T473</f>
        <v/>
      </c>
      <c r="V473" s="8">
        <f>SUMIF($E$2:$E$599,E473,$I$2:$I$599)/SUMIF($E$2:$E$599,E473,$T$2:$T$599)</f>
        <v/>
      </c>
      <c r="W473" s="8">
        <f>V473+1.645*SQRT(V473/T473)+1/(2*T473)</f>
        <v/>
      </c>
      <c r="X473" s="5">
        <f>U473/W473</f>
        <v/>
      </c>
      <c r="Y473">
        <f>IF(U473&gt;W473,"high",IF(U473&gt;V473,"medium","low"))</f>
        <v/>
      </c>
      <c r="Z473">
        <f>CHOOSE(MAX(IF(M473="high",2,IF(M473="medium",1,0)),IF(Y473="high",2,IF(Y473="medium",1,0)))+1,"low","medium","high")</f>
        <v/>
      </c>
      <c r="AA473">
        <f>IF(IF(M473="high",2,IF(M473="medium",1,0))=IF(Y473="high",2,IF(Y473="medium",1,0)),"SI และ Rate เท่ากัน",IF(IF(M473="high",2,IF(M473="medium",1,0))&gt;IF(Y473="high",2,IF(Y473="medium",1,0)),"SI","Rate"))</f>
        <v/>
      </c>
    </row>
    <row r="474">
      <c r="A474" t="inlineStr">
        <is>
          <t>zone_356</t>
        </is>
      </c>
      <c r="B474" t="inlineStr">
        <is>
          <t>ลำลูกบัว - หนองกระทุ่ม</t>
        </is>
      </c>
      <c r="C474" t="inlineStr">
        <is>
          <t>นครปฐม</t>
        </is>
      </c>
      <c r="D474" t="inlineStr">
        <is>
          <t>346</t>
        </is>
      </c>
      <c r="E474" t="inlineStr">
        <is>
          <t>ทล.</t>
        </is>
      </c>
      <c r="F474" t="inlineStr">
        <is>
          <t>64.7–64.738</t>
        </is>
      </c>
      <c r="G474" t="inlineStr">
        <is>
          <t>station_id 3042 (ทล.346 กม.78+000)</t>
        </is>
      </c>
      <c r="H474" t="inlineStr">
        <is>
          <t>ทล. สถานีตัวแทนตอนควบคุม</t>
        </is>
      </c>
      <c r="I474" t="n">
        <v>3</v>
      </c>
      <c r="J474" t="n">
        <v>0</v>
      </c>
      <c r="K474" t="n">
        <v>1</v>
      </c>
      <c r="L474" s="5" t="n">
        <v>0.3333</v>
      </c>
      <c r="M474" t="inlineStr">
        <is>
          <t>low</t>
        </is>
      </c>
      <c r="N474" s="6" t="n">
        <v>62195</v>
      </c>
      <c r="O474" s="6" t="n">
        <v>66751</v>
      </c>
      <c r="P474" s="6" t="n">
        <v>68501</v>
      </c>
      <c r="Q474" s="6">
        <f>AVERAGE(N474:P474)</f>
        <v/>
      </c>
      <c r="R474" t="n">
        <v>3</v>
      </c>
      <c r="S474" t="n">
        <v>1</v>
      </c>
      <c r="T474" s="7">
        <f>365*R474*Q474*S474/1000000</f>
        <v/>
      </c>
      <c r="U474" s="8">
        <f>I474/T474</f>
        <v/>
      </c>
      <c r="V474" s="8">
        <f>SUMIF($E$2:$E$599,E474,$I$2:$I$599)/SUMIF($E$2:$E$599,E474,$T$2:$T$599)</f>
        <v/>
      </c>
      <c r="W474" s="8">
        <f>V474+1.645*SQRT(V474/T474)+1/(2*T474)</f>
        <v/>
      </c>
      <c r="X474" s="5">
        <f>U474/W474</f>
        <v/>
      </c>
      <c r="Y474">
        <f>IF(U474&gt;W474,"high",IF(U474&gt;V474,"medium","low"))</f>
        <v/>
      </c>
      <c r="Z474">
        <f>CHOOSE(MAX(IF(M474="high",2,IF(M474="medium",1,0)),IF(Y474="high",2,IF(Y474="medium",1,0)))+1,"low","medium","high")</f>
        <v/>
      </c>
      <c r="AA474">
        <f>IF(IF(M474="high",2,IF(M474="medium",1,0))=IF(Y474="high",2,IF(Y474="medium",1,0)),"SI และ Rate เท่ากัน",IF(IF(M474="high",2,IF(M474="medium",1,0))&gt;IF(Y474="high",2,IF(Y474="medium",1,0)),"SI","Rate"))</f>
        <v/>
      </c>
    </row>
    <row r="475">
      <c r="A475" t="inlineStr">
        <is>
          <t>zone_478</t>
        </is>
      </c>
      <c r="B475" t="inlineStr">
        <is>
          <t>ทางเข้าท่าอากาศยานสุวรรณภูมิ - บางวัว</t>
        </is>
      </c>
      <c r="C475" t="inlineStr">
        <is>
          <t>สมุทรปราการ</t>
        </is>
      </c>
      <c r="D475" t="inlineStr">
        <is>
          <t>34</t>
        </is>
      </c>
      <c r="E475" t="inlineStr">
        <is>
          <t>ทล.</t>
        </is>
      </c>
      <c r="F475" t="inlineStr">
        <is>
          <t>18–18.7</t>
        </is>
      </c>
      <c r="G475" t="inlineStr">
        <is>
          <t>station_id 95 (ทล.34 กม.15+100)</t>
        </is>
      </c>
      <c r="H475" t="inlineStr">
        <is>
          <t>ทล. สถานีตัวแทนตอนควบคุม</t>
        </is>
      </c>
      <c r="I475" t="n">
        <v>9</v>
      </c>
      <c r="J475" t="n">
        <v>2</v>
      </c>
      <c r="K475" t="n">
        <v>0</v>
      </c>
      <c r="L475" s="5" t="n">
        <v>0.2222</v>
      </c>
      <c r="M475" t="inlineStr">
        <is>
          <t>low</t>
        </is>
      </c>
      <c r="N475" s="6" t="n">
        <v>226283</v>
      </c>
      <c r="O475" s="6" t="n">
        <v>252612</v>
      </c>
      <c r="P475" s="6" t="n">
        <v>250222</v>
      </c>
      <c r="Q475" s="6">
        <f>AVERAGE(N475:P475)</f>
        <v/>
      </c>
      <c r="R475" t="n">
        <v>3</v>
      </c>
      <c r="S475" t="n">
        <v>1</v>
      </c>
      <c r="T475" s="7">
        <f>365*R475*Q475*S475/1000000</f>
        <v/>
      </c>
      <c r="U475" s="8">
        <f>I475/T475</f>
        <v/>
      </c>
      <c r="V475" s="8">
        <f>SUMIF($E$2:$E$599,E475,$I$2:$I$599)/SUMIF($E$2:$E$599,E475,$T$2:$T$599)</f>
        <v/>
      </c>
      <c r="W475" s="8">
        <f>V475+1.645*SQRT(V475/T475)+1/(2*T475)</f>
        <v/>
      </c>
      <c r="X475" s="5">
        <f>U475/W475</f>
        <v/>
      </c>
      <c r="Y475">
        <f>IF(U475&gt;W475,"high",IF(U475&gt;V475,"medium","low"))</f>
        <v/>
      </c>
      <c r="Z475">
        <f>CHOOSE(MAX(IF(M475="high",2,IF(M475="medium",1,0)),IF(Y475="high",2,IF(Y475="medium",1,0)))+1,"low","medium","high")</f>
        <v/>
      </c>
      <c r="AA475">
        <f>IF(IF(M475="high",2,IF(M475="medium",1,0))=IF(Y475="high",2,IF(Y475="medium",1,0)),"SI และ Rate เท่ากัน",IF(IF(M475="high",2,IF(M475="medium",1,0))&gt;IF(Y475="high",2,IF(Y475="medium",1,0)),"SI","Rate"))</f>
        <v/>
      </c>
    </row>
    <row r="476">
      <c r="A476" t="inlineStr">
        <is>
          <t>zone_491</t>
        </is>
      </c>
      <c r="B476" t="inlineStr">
        <is>
          <t>ทางเข้าท่าอากาศยานสุวรรณภูมิ - บางวัว</t>
        </is>
      </c>
      <c r="C476" t="inlineStr">
        <is>
          <t>สมุทรปราการ</t>
        </is>
      </c>
      <c r="D476" t="inlineStr">
        <is>
          <t>34</t>
        </is>
      </c>
      <c r="E476" t="inlineStr">
        <is>
          <t>ทล.</t>
        </is>
      </c>
      <c r="F476" t="inlineStr">
        <is>
          <t>29–29.4</t>
        </is>
      </c>
      <c r="G476" t="inlineStr">
        <is>
          <t>station_id 95 (ทล.34 กม.15+100)</t>
        </is>
      </c>
      <c r="H476" t="inlineStr">
        <is>
          <t>ทล. สถานีตัวแทนตอนควบคุม</t>
        </is>
      </c>
      <c r="I476" t="n">
        <v>9</v>
      </c>
      <c r="J476" t="n">
        <v>1</v>
      </c>
      <c r="K476" t="n">
        <v>7</v>
      </c>
      <c r="L476" s="5" t="n">
        <v>0.8889</v>
      </c>
      <c r="M476" t="inlineStr">
        <is>
          <t>low</t>
        </is>
      </c>
      <c r="N476" s="6" t="n">
        <v>226283</v>
      </c>
      <c r="O476" s="6" t="n">
        <v>252612</v>
      </c>
      <c r="P476" s="6" t="n">
        <v>250222</v>
      </c>
      <c r="Q476" s="6">
        <f>AVERAGE(N476:P476)</f>
        <v/>
      </c>
      <c r="R476" t="n">
        <v>3</v>
      </c>
      <c r="S476" t="n">
        <v>1</v>
      </c>
      <c r="T476" s="7">
        <f>365*R476*Q476*S476/1000000</f>
        <v/>
      </c>
      <c r="U476" s="8">
        <f>I476/T476</f>
        <v/>
      </c>
      <c r="V476" s="8">
        <f>SUMIF($E$2:$E$599,E476,$I$2:$I$599)/SUMIF($E$2:$E$599,E476,$T$2:$T$599)</f>
        <v/>
      </c>
      <c r="W476" s="8">
        <f>V476+1.645*SQRT(V476/T476)+1/(2*T476)</f>
        <v/>
      </c>
      <c r="X476" s="5">
        <f>U476/W476</f>
        <v/>
      </c>
      <c r="Y476">
        <f>IF(U476&gt;W476,"high",IF(U476&gt;V476,"medium","low"))</f>
        <v/>
      </c>
      <c r="Z476">
        <f>CHOOSE(MAX(IF(M476="high",2,IF(M476="medium",1,0)),IF(Y476="high",2,IF(Y476="medium",1,0)))+1,"low","medium","high")</f>
        <v/>
      </c>
      <c r="AA476">
        <f>IF(IF(M476="high",2,IF(M476="medium",1,0))=IF(Y476="high",2,IF(Y476="medium",1,0)),"SI และ Rate เท่ากัน",IF(IF(M476="high",2,IF(M476="medium",1,0))&gt;IF(Y476="high",2,IF(Y476="medium",1,0)),"SI","Rate"))</f>
        <v/>
      </c>
    </row>
    <row r="477">
      <c r="A477" t="inlineStr">
        <is>
          <t>zone_110</t>
        </is>
      </c>
      <c r="B477" t="inlineStr">
        <is>
          <t>บางปะอิน - แขวงรามอินทรา</t>
        </is>
      </c>
      <c r="C477" t="inlineStr">
        <is>
          <t>กรุงเทพมหานคร</t>
        </is>
      </c>
      <c r="D477" t="inlineStr">
        <is>
          <t>9</t>
        </is>
      </c>
      <c r="E477" t="inlineStr">
        <is>
          <t>ทล.</t>
        </is>
      </c>
      <c r="F477" t="inlineStr">
        <is>
          <t>35.7–36.2</t>
        </is>
      </c>
      <c r="G477" t="inlineStr">
        <is>
          <t>station_id 347 (ทล.9 กม.1+500)</t>
        </is>
      </c>
      <c r="H477" t="inlineStr">
        <is>
          <t>ทล. สถานีตัวแทนตอนควบคุม</t>
        </is>
      </c>
      <c r="I477" t="n">
        <v>6</v>
      </c>
      <c r="J477" t="n">
        <v>0</v>
      </c>
      <c r="K477" t="n">
        <v>4</v>
      </c>
      <c r="L477" s="5" t="n">
        <v>0.6667</v>
      </c>
      <c r="M477" t="inlineStr">
        <is>
          <t>low</t>
        </is>
      </c>
      <c r="N477" s="6" t="n">
        <v>146870</v>
      </c>
      <c r="O477" s="6" t="n">
        <v>165212</v>
      </c>
      <c r="P477" s="6" t="n">
        <v>160792</v>
      </c>
      <c r="Q477" s="6">
        <f>AVERAGE(N477:P477)</f>
        <v/>
      </c>
      <c r="R477" t="n">
        <v>3</v>
      </c>
      <c r="S477" t="n">
        <v>1</v>
      </c>
      <c r="T477" s="7">
        <f>365*R477*Q477*S477/1000000</f>
        <v/>
      </c>
      <c r="U477" s="8">
        <f>I477/T477</f>
        <v/>
      </c>
      <c r="V477" s="8">
        <f>SUMIF($E$2:$E$599,E477,$I$2:$I$599)/SUMIF($E$2:$E$599,E477,$T$2:$T$599)</f>
        <v/>
      </c>
      <c r="W477" s="8">
        <f>V477+1.645*SQRT(V477/T477)+1/(2*T477)</f>
        <v/>
      </c>
      <c r="X477" s="5">
        <f>U477/W477</f>
        <v/>
      </c>
      <c r="Y477">
        <f>IF(U477&gt;W477,"high",IF(U477&gt;V477,"medium","low"))</f>
        <v/>
      </c>
      <c r="Z477">
        <f>CHOOSE(MAX(IF(M477="high",2,IF(M477="medium",1,0)),IF(Y477="high",2,IF(Y477="medium",1,0)))+1,"low","medium","high")</f>
        <v/>
      </c>
      <c r="AA477">
        <f>IF(IF(M477="high",2,IF(M477="medium",1,0))=IF(Y477="high",2,IF(Y477="medium",1,0)),"SI และ Rate เท่ากัน",IF(IF(M477="high",2,IF(M477="medium",1,0))&gt;IF(Y477="high",2,IF(Y477="medium",1,0)),"SI","Rate"))</f>
        <v/>
      </c>
    </row>
    <row r="478">
      <c r="A478" t="inlineStr">
        <is>
          <t>zone_383</t>
        </is>
      </c>
      <c r="B478" t="inlineStr">
        <is>
          <t>บางปะอิน - แขวงรามอินทรา</t>
        </is>
      </c>
      <c r="C478" t="inlineStr">
        <is>
          <t>ปทุมธานี</t>
        </is>
      </c>
      <c r="D478" t="inlineStr">
        <is>
          <t>9</t>
        </is>
      </c>
      <c r="E478" t="inlineStr">
        <is>
          <t>ทล.</t>
        </is>
      </c>
      <c r="F478" t="inlineStr">
        <is>
          <t>23.7–23.8</t>
        </is>
      </c>
      <c r="G478" t="inlineStr">
        <is>
          <t>station_id 347 (ทล.9 กม.1+500)</t>
        </is>
      </c>
      <c r="H478" t="inlineStr">
        <is>
          <t>ทล. สถานีตัวแทนตอนควบคุม</t>
        </is>
      </c>
      <c r="I478" t="n">
        <v>6</v>
      </c>
      <c r="J478" t="n">
        <v>0</v>
      </c>
      <c r="K478" t="n">
        <v>1</v>
      </c>
      <c r="L478" s="5" t="n">
        <v>0.1667</v>
      </c>
      <c r="M478" t="inlineStr">
        <is>
          <t>low</t>
        </is>
      </c>
      <c r="N478" s="6" t="n">
        <v>146870</v>
      </c>
      <c r="O478" s="6" t="n">
        <v>165212</v>
      </c>
      <c r="P478" s="6" t="n">
        <v>160792</v>
      </c>
      <c r="Q478" s="6">
        <f>AVERAGE(N478:P478)</f>
        <v/>
      </c>
      <c r="R478" t="n">
        <v>3</v>
      </c>
      <c r="S478" t="n">
        <v>1</v>
      </c>
      <c r="T478" s="7">
        <f>365*R478*Q478*S478/1000000</f>
        <v/>
      </c>
      <c r="U478" s="8">
        <f>I478/T478</f>
        <v/>
      </c>
      <c r="V478" s="8">
        <f>SUMIF($E$2:$E$599,E478,$I$2:$I$599)/SUMIF($E$2:$E$599,E478,$T$2:$T$599)</f>
        <v/>
      </c>
      <c r="W478" s="8">
        <f>V478+1.645*SQRT(V478/T478)+1/(2*T478)</f>
        <v/>
      </c>
      <c r="X478" s="5">
        <f>U478/W478</f>
        <v/>
      </c>
      <c r="Y478">
        <f>IF(U478&gt;W478,"high",IF(U478&gt;V478,"medium","low"))</f>
        <v/>
      </c>
      <c r="Z478">
        <f>CHOOSE(MAX(IF(M478="high",2,IF(M478="medium",1,0)),IF(Y478="high",2,IF(Y478="medium",1,0)))+1,"low","medium","high")</f>
        <v/>
      </c>
      <c r="AA478">
        <f>IF(IF(M478="high",2,IF(M478="medium",1,0))=IF(Y478="high",2,IF(Y478="medium",1,0)),"SI และ Rate เท่ากัน",IF(IF(M478="high",2,IF(M478="medium",1,0))&gt;IF(Y478="high",2,IF(Y478="medium",1,0)),"SI","Rate"))</f>
        <v/>
      </c>
    </row>
    <row r="479">
      <c r="A479" t="inlineStr">
        <is>
          <t>zone_403</t>
        </is>
      </c>
      <c r="B479" t="inlineStr">
        <is>
          <t>บางปะอิน - แขวงรามอินทรา</t>
        </is>
      </c>
      <c r="C479" t="inlineStr">
        <is>
          <t>ปทุมธานี</t>
        </is>
      </c>
      <c r="D479" t="inlineStr">
        <is>
          <t>9</t>
        </is>
      </c>
      <c r="E479" t="inlineStr">
        <is>
          <t>ทล.</t>
        </is>
      </c>
      <c r="F479" t="inlineStr">
        <is>
          <t>7.5–7.8</t>
        </is>
      </c>
      <c r="G479" t="inlineStr">
        <is>
          <t>station_id 347 (ทล.9 กม.1+500)</t>
        </is>
      </c>
      <c r="H479" t="inlineStr">
        <is>
          <t>ทล. สถานีตัวแทนตอนควบคุม</t>
        </is>
      </c>
      <c r="I479" t="n">
        <v>6</v>
      </c>
      <c r="J479" t="n">
        <v>3</v>
      </c>
      <c r="K479" t="n">
        <v>2</v>
      </c>
      <c r="L479" s="5" t="n">
        <v>0.5</v>
      </c>
      <c r="M479" t="inlineStr">
        <is>
          <t>low</t>
        </is>
      </c>
      <c r="N479" s="6" t="n">
        <v>146870</v>
      </c>
      <c r="O479" s="6" t="n">
        <v>165212</v>
      </c>
      <c r="P479" s="6" t="n">
        <v>160792</v>
      </c>
      <c r="Q479" s="6">
        <f>AVERAGE(N479:P479)</f>
        <v/>
      </c>
      <c r="R479" t="n">
        <v>3</v>
      </c>
      <c r="S479" t="n">
        <v>1</v>
      </c>
      <c r="T479" s="7">
        <f>365*R479*Q479*S479/1000000</f>
        <v/>
      </c>
      <c r="U479" s="8">
        <f>I479/T479</f>
        <v/>
      </c>
      <c r="V479" s="8">
        <f>SUMIF($E$2:$E$599,E479,$I$2:$I$599)/SUMIF($E$2:$E$599,E479,$T$2:$T$599)</f>
        <v/>
      </c>
      <c r="W479" s="8">
        <f>V479+1.645*SQRT(V479/T479)+1/(2*T479)</f>
        <v/>
      </c>
      <c r="X479" s="5">
        <f>U479/W479</f>
        <v/>
      </c>
      <c r="Y479">
        <f>IF(U479&gt;W479,"high",IF(U479&gt;V479,"medium","low"))</f>
        <v/>
      </c>
      <c r="Z479">
        <f>CHOOSE(MAX(IF(M479="high",2,IF(M479="medium",1,0)),IF(Y479="high",2,IF(Y479="medium",1,0)))+1,"low","medium","high")</f>
        <v/>
      </c>
      <c r="AA479">
        <f>IF(IF(M479="high",2,IF(M479="medium",1,0))=IF(Y479="high",2,IF(Y479="medium",1,0)),"SI และ Rate เท่ากัน",IF(IF(M479="high",2,IF(M479="medium",1,0))&gt;IF(Y479="high",2,IF(Y479="medium",1,0)),"SI","Rate"))</f>
        <v/>
      </c>
    </row>
    <row r="480">
      <c r="A480" t="inlineStr">
        <is>
          <t>zone_411</t>
        </is>
      </c>
      <c r="B480" t="inlineStr">
        <is>
          <t>บางปะอิน - แขวงรามอินทรา</t>
        </is>
      </c>
      <c r="C480" t="inlineStr">
        <is>
          <t>ปทุมธานี</t>
        </is>
      </c>
      <c r="D480" t="inlineStr">
        <is>
          <t>9</t>
        </is>
      </c>
      <c r="E480" t="inlineStr">
        <is>
          <t>ทล.</t>
        </is>
      </c>
      <c r="F480" t="inlineStr">
        <is>
          <t>4.3–4.65</t>
        </is>
      </c>
      <c r="G480" t="inlineStr">
        <is>
          <t>station_id 347 (ทล.9 กม.1+500)</t>
        </is>
      </c>
      <c r="H480" t="inlineStr">
        <is>
          <t>ทล. สถานีตัวแทนตอนควบคุม</t>
        </is>
      </c>
      <c r="I480" t="n">
        <v>6</v>
      </c>
      <c r="J480" t="n">
        <v>0</v>
      </c>
      <c r="K480" t="n">
        <v>3</v>
      </c>
      <c r="L480" s="5" t="n">
        <v>0.5</v>
      </c>
      <c r="M480" t="inlineStr">
        <is>
          <t>low</t>
        </is>
      </c>
      <c r="N480" s="6" t="n">
        <v>146870</v>
      </c>
      <c r="O480" s="6" t="n">
        <v>165212</v>
      </c>
      <c r="P480" s="6" t="n">
        <v>160792</v>
      </c>
      <c r="Q480" s="6">
        <f>AVERAGE(N480:P480)</f>
        <v/>
      </c>
      <c r="R480" t="n">
        <v>3</v>
      </c>
      <c r="S480" t="n">
        <v>1</v>
      </c>
      <c r="T480" s="7">
        <f>365*R480*Q480*S480/1000000</f>
        <v/>
      </c>
      <c r="U480" s="8">
        <f>I480/T480</f>
        <v/>
      </c>
      <c r="V480" s="8">
        <f>SUMIF($E$2:$E$599,E480,$I$2:$I$599)/SUMIF($E$2:$E$599,E480,$T$2:$T$599)</f>
        <v/>
      </c>
      <c r="W480" s="8">
        <f>V480+1.645*SQRT(V480/T480)+1/(2*T480)</f>
        <v/>
      </c>
      <c r="X480" s="5">
        <f>U480/W480</f>
        <v/>
      </c>
      <c r="Y480">
        <f>IF(U480&gt;W480,"high",IF(U480&gt;V480,"medium","low"))</f>
        <v/>
      </c>
      <c r="Z480">
        <f>CHOOSE(MAX(IF(M480="high",2,IF(M480="medium",1,0)),IF(Y480="high",2,IF(Y480="medium",1,0)))+1,"low","medium","high")</f>
        <v/>
      </c>
      <c r="AA480">
        <f>IF(IF(M480="high",2,IF(M480="medium",1,0))=IF(Y480="high",2,IF(Y480="medium",1,0)),"SI และ Rate เท่ากัน",IF(IF(M480="high",2,IF(M480="medium",1,0))&gt;IF(Y480="high",2,IF(Y480="medium",1,0)),"SI","Rate"))</f>
        <v/>
      </c>
    </row>
    <row r="481">
      <c r="A481" t="inlineStr">
        <is>
          <t>zone_412</t>
        </is>
      </c>
      <c r="B481" t="inlineStr">
        <is>
          <t>บางปะอิน - แขวงรามอินทรา</t>
        </is>
      </c>
      <c r="C481" t="inlineStr">
        <is>
          <t>ปทุมธานี</t>
        </is>
      </c>
      <c r="D481" t="inlineStr">
        <is>
          <t>9</t>
        </is>
      </c>
      <c r="E481" t="inlineStr">
        <is>
          <t>ทล.</t>
        </is>
      </c>
      <c r="F481" t="inlineStr">
        <is>
          <t>12.5–12.7</t>
        </is>
      </c>
      <c r="G481" t="inlineStr">
        <is>
          <t>station_id 347 (ทล.9 กม.1+500)</t>
        </is>
      </c>
      <c r="H481" t="inlineStr">
        <is>
          <t>ทล. สถานีตัวแทนตอนควบคุม</t>
        </is>
      </c>
      <c r="I481" t="n">
        <v>6</v>
      </c>
      <c r="J481" t="n">
        <v>0</v>
      </c>
      <c r="K481" t="n">
        <v>3</v>
      </c>
      <c r="L481" s="5" t="n">
        <v>0.5</v>
      </c>
      <c r="M481" t="inlineStr">
        <is>
          <t>low</t>
        </is>
      </c>
      <c r="N481" s="6" t="n">
        <v>146870</v>
      </c>
      <c r="O481" s="6" t="n">
        <v>165212</v>
      </c>
      <c r="P481" s="6" t="n">
        <v>160792</v>
      </c>
      <c r="Q481" s="6">
        <f>AVERAGE(N481:P481)</f>
        <v/>
      </c>
      <c r="R481" t="n">
        <v>3</v>
      </c>
      <c r="S481" t="n">
        <v>1</v>
      </c>
      <c r="T481" s="7">
        <f>365*R481*Q481*S481/1000000</f>
        <v/>
      </c>
      <c r="U481" s="8">
        <f>I481/T481</f>
        <v/>
      </c>
      <c r="V481" s="8">
        <f>SUMIF($E$2:$E$599,E481,$I$2:$I$599)/SUMIF($E$2:$E$599,E481,$T$2:$T$599)</f>
        <v/>
      </c>
      <c r="W481" s="8">
        <f>V481+1.645*SQRT(V481/T481)+1/(2*T481)</f>
        <v/>
      </c>
      <c r="X481" s="5">
        <f>U481/W481</f>
        <v/>
      </c>
      <c r="Y481">
        <f>IF(U481&gt;W481,"high",IF(U481&gt;V481,"medium","low"))</f>
        <v/>
      </c>
      <c r="Z481">
        <f>CHOOSE(MAX(IF(M481="high",2,IF(M481="medium",1,0)),IF(Y481="high",2,IF(Y481="medium",1,0)))+1,"low","medium","high")</f>
        <v/>
      </c>
      <c r="AA481">
        <f>IF(IF(M481="high",2,IF(M481="medium",1,0))=IF(Y481="high",2,IF(Y481="medium",1,0)),"SI และ Rate เท่ากัน",IF(IF(M481="high",2,IF(M481="medium",1,0))&gt;IF(Y481="high",2,IF(Y481="medium",1,0)),"SI","Rate"))</f>
        <v/>
      </c>
    </row>
    <row r="482">
      <c r="A482" t="inlineStr">
        <is>
          <t>zone_39</t>
        </is>
      </c>
      <c r="B482" t="inlineStr">
        <is>
          <t>ดาวคะนอง -  แสมดำ</t>
        </is>
      </c>
      <c r="C482" t="inlineStr">
        <is>
          <t>กรุงเทพมหานคร</t>
        </is>
      </c>
      <c r="D482" t="inlineStr">
        <is>
          <t>35</t>
        </is>
      </c>
      <c r="E482" t="inlineStr">
        <is>
          <t>ทล.</t>
        </is>
      </c>
      <c r="F482" t="inlineStr">
        <is>
          <t>13.1–13.5</t>
        </is>
      </c>
      <c r="G482" t="inlineStr">
        <is>
          <t>station_id 127 (ทล.35 กม.6+500)</t>
        </is>
      </c>
      <c r="H482" t="inlineStr">
        <is>
          <t>ทล. สถานีตัวแทนตอนควบคุม</t>
        </is>
      </c>
      <c r="I482" t="n">
        <v>9</v>
      </c>
      <c r="J482" t="n">
        <v>0</v>
      </c>
      <c r="K482" t="n">
        <v>3</v>
      </c>
      <c r="L482" s="5" t="n">
        <v>0.3333</v>
      </c>
      <c r="M482" t="inlineStr">
        <is>
          <t>low</t>
        </is>
      </c>
      <c r="N482" s="6" t="n">
        <v>256167</v>
      </c>
      <c r="O482" s="6" t="n">
        <v>260090</v>
      </c>
      <c r="P482" s="6" t="n">
        <v>259277</v>
      </c>
      <c r="Q482" s="6">
        <f>AVERAGE(N482:P482)</f>
        <v/>
      </c>
      <c r="R482" t="n">
        <v>3</v>
      </c>
      <c r="S482" t="n">
        <v>1</v>
      </c>
      <c r="T482" s="7">
        <f>365*R482*Q482*S482/1000000</f>
        <v/>
      </c>
      <c r="U482" s="8">
        <f>I482/T482</f>
        <v/>
      </c>
      <c r="V482" s="8">
        <f>SUMIF($E$2:$E$599,E482,$I$2:$I$599)/SUMIF($E$2:$E$599,E482,$T$2:$T$599)</f>
        <v/>
      </c>
      <c r="W482" s="8">
        <f>V482+1.645*SQRT(V482/T482)+1/(2*T482)</f>
        <v/>
      </c>
      <c r="X482" s="5">
        <f>U482/W482</f>
        <v/>
      </c>
      <c r="Y482">
        <f>IF(U482&gt;W482,"high",IF(U482&gt;V482,"medium","low"))</f>
        <v/>
      </c>
      <c r="Z482">
        <f>CHOOSE(MAX(IF(M482="high",2,IF(M482="medium",1,0)),IF(Y482="high",2,IF(Y482="medium",1,0)))+1,"low","medium","high")</f>
        <v/>
      </c>
      <c r="AA482">
        <f>IF(IF(M482="high",2,IF(M482="medium",1,0))=IF(Y482="high",2,IF(Y482="medium",1,0)),"SI และ Rate เท่ากัน",IF(IF(M482="high",2,IF(M482="medium",1,0))&gt;IF(Y482="high",2,IF(Y482="medium",1,0)),"SI","Rate"))</f>
        <v/>
      </c>
    </row>
    <row r="483">
      <c r="A483" t="inlineStr">
        <is>
          <t>zone_43</t>
        </is>
      </c>
      <c r="B483" t="inlineStr">
        <is>
          <t>ดาวคะนอง -  แสมดำ</t>
        </is>
      </c>
      <c r="C483" t="inlineStr">
        <is>
          <t>กรุงเทพมหานคร</t>
        </is>
      </c>
      <c r="D483" t="inlineStr">
        <is>
          <t>35</t>
        </is>
      </c>
      <c r="E483" t="inlineStr">
        <is>
          <t>ทล.</t>
        </is>
      </c>
      <c r="F483" t="inlineStr">
        <is>
          <t>6.3–6.7</t>
        </is>
      </c>
      <c r="G483" t="inlineStr">
        <is>
          <t>station_id 127 (ทล.35 กม.6+500)</t>
        </is>
      </c>
      <c r="H483" t="inlineStr">
        <is>
          <t>ทล. สถานีตัวแทนตอนควบคุม</t>
        </is>
      </c>
      <c r="I483" t="n">
        <v>9</v>
      </c>
      <c r="J483" t="n">
        <v>0</v>
      </c>
      <c r="K483" t="n">
        <v>7</v>
      </c>
      <c r="L483" s="5" t="n">
        <v>0.7778</v>
      </c>
      <c r="M483" t="inlineStr">
        <is>
          <t>low</t>
        </is>
      </c>
      <c r="N483" s="6" t="n">
        <v>256167</v>
      </c>
      <c r="O483" s="6" t="n">
        <v>260090</v>
      </c>
      <c r="P483" s="6" t="n">
        <v>259277</v>
      </c>
      <c r="Q483" s="6">
        <f>AVERAGE(N483:P483)</f>
        <v/>
      </c>
      <c r="R483" t="n">
        <v>3</v>
      </c>
      <c r="S483" t="n">
        <v>1</v>
      </c>
      <c r="T483" s="7">
        <f>365*R483*Q483*S483/1000000</f>
        <v/>
      </c>
      <c r="U483" s="8">
        <f>I483/T483</f>
        <v/>
      </c>
      <c r="V483" s="8">
        <f>SUMIF($E$2:$E$599,E483,$I$2:$I$599)/SUMIF($E$2:$E$599,E483,$T$2:$T$599)</f>
        <v/>
      </c>
      <c r="W483" s="8">
        <f>V483+1.645*SQRT(V483/T483)+1/(2*T483)</f>
        <v/>
      </c>
      <c r="X483" s="5">
        <f>U483/W483</f>
        <v/>
      </c>
      <c r="Y483">
        <f>IF(U483&gt;W483,"high",IF(U483&gt;V483,"medium","low"))</f>
        <v/>
      </c>
      <c r="Z483">
        <f>CHOOSE(MAX(IF(M483="high",2,IF(M483="medium",1,0)),IF(Y483="high",2,IF(Y483="medium",1,0)))+1,"low","medium","high")</f>
        <v/>
      </c>
      <c r="AA483">
        <f>IF(IF(M483="high",2,IF(M483="medium",1,0))=IF(Y483="high",2,IF(Y483="medium",1,0)),"SI และ Rate เท่ากัน",IF(IF(M483="high",2,IF(M483="medium",1,0))&gt;IF(Y483="high",2,IF(Y483="medium",1,0)),"SI","Rate"))</f>
        <v/>
      </c>
    </row>
    <row r="484">
      <c r="A484" t="inlineStr">
        <is>
          <t>zone_62</t>
        </is>
      </c>
      <c r="B484" t="inlineStr">
        <is>
          <t>ดาวคะนอง -  แสมดำ</t>
        </is>
      </c>
      <c r="C484" t="inlineStr">
        <is>
          <t>กรุงเทพมหานคร</t>
        </is>
      </c>
      <c r="D484" t="inlineStr">
        <is>
          <t>35</t>
        </is>
      </c>
      <c r="E484" t="inlineStr">
        <is>
          <t>ทล.</t>
        </is>
      </c>
      <c r="F484" t="inlineStr">
        <is>
          <t>1.8–2.3</t>
        </is>
      </c>
      <c r="G484" t="inlineStr">
        <is>
          <t>station_id 127 (ทล.35 กม.6+500)</t>
        </is>
      </c>
      <c r="H484" t="inlineStr">
        <is>
          <t>ทล. สถานีตัวแทนตอนควบคุม</t>
        </is>
      </c>
      <c r="I484" t="n">
        <v>9</v>
      </c>
      <c r="J484" t="n">
        <v>0</v>
      </c>
      <c r="K484" t="n">
        <v>5</v>
      </c>
      <c r="L484" s="5" t="n">
        <v>0.5556</v>
      </c>
      <c r="M484" t="inlineStr">
        <is>
          <t>low</t>
        </is>
      </c>
      <c r="N484" s="6" t="n">
        <v>256167</v>
      </c>
      <c r="O484" s="6" t="n">
        <v>260090</v>
      </c>
      <c r="P484" s="6" t="n">
        <v>259277</v>
      </c>
      <c r="Q484" s="6">
        <f>AVERAGE(N484:P484)</f>
        <v/>
      </c>
      <c r="R484" t="n">
        <v>3</v>
      </c>
      <c r="S484" t="n">
        <v>1</v>
      </c>
      <c r="T484" s="7">
        <f>365*R484*Q484*S484/1000000</f>
        <v/>
      </c>
      <c r="U484" s="8">
        <f>I484/T484</f>
        <v/>
      </c>
      <c r="V484" s="8">
        <f>SUMIF($E$2:$E$599,E484,$I$2:$I$599)/SUMIF($E$2:$E$599,E484,$T$2:$T$599)</f>
        <v/>
      </c>
      <c r="W484" s="8">
        <f>V484+1.645*SQRT(V484/T484)+1/(2*T484)</f>
        <v/>
      </c>
      <c r="X484" s="5">
        <f>U484/W484</f>
        <v/>
      </c>
      <c r="Y484">
        <f>IF(U484&gt;W484,"high",IF(U484&gt;V484,"medium","low"))</f>
        <v/>
      </c>
      <c r="Z484">
        <f>CHOOSE(MAX(IF(M484="high",2,IF(M484="medium",1,0)),IF(Y484="high",2,IF(Y484="medium",1,0)))+1,"low","medium","high")</f>
        <v/>
      </c>
      <c r="AA484">
        <f>IF(IF(M484="high",2,IF(M484="medium",1,0))=IF(Y484="high",2,IF(Y484="medium",1,0)),"SI และ Rate เท่ากัน",IF(IF(M484="high",2,IF(M484="medium",1,0))&gt;IF(Y484="high",2,IF(Y484="medium",1,0)),"SI","Rate"))</f>
        <v/>
      </c>
    </row>
    <row r="485">
      <c r="A485" t="inlineStr">
        <is>
          <t>zone_421</t>
        </is>
      </c>
      <c r="B485" t="inlineStr">
        <is>
          <t>ต่างระดับรังสิต - วัดนาบุญ</t>
        </is>
      </c>
      <c r="C485" t="inlineStr">
        <is>
          <t>ปทุมธานี</t>
        </is>
      </c>
      <c r="D485" t="inlineStr">
        <is>
          <t>305</t>
        </is>
      </c>
      <c r="E485" t="inlineStr">
        <is>
          <t>ทล.</t>
        </is>
      </c>
      <c r="F485" t="inlineStr">
        <is>
          <t>7.2–7.909</t>
        </is>
      </c>
      <c r="G485" t="inlineStr">
        <is>
          <t>station_id 78 (ทล.305 กม.4+550)</t>
        </is>
      </c>
      <c r="H485" t="inlineStr">
        <is>
          <t>ทล. สถานีตัวแทนตอนควบคุม</t>
        </is>
      </c>
      <c r="I485" t="n">
        <v>5</v>
      </c>
      <c r="J485" t="n">
        <v>0</v>
      </c>
      <c r="K485" t="n">
        <v>4</v>
      </c>
      <c r="L485" s="5" t="n">
        <v>0.8</v>
      </c>
      <c r="M485" t="inlineStr">
        <is>
          <t>low</t>
        </is>
      </c>
      <c r="N485" s="6" t="n">
        <v>133151</v>
      </c>
      <c r="O485" s="6" t="n">
        <v>135119</v>
      </c>
      <c r="P485" s="6" t="n">
        <v>127131</v>
      </c>
      <c r="Q485" s="6">
        <f>AVERAGE(N485:P485)</f>
        <v/>
      </c>
      <c r="R485" t="n">
        <v>3</v>
      </c>
      <c r="S485" t="n">
        <v>1</v>
      </c>
      <c r="T485" s="7">
        <f>365*R485*Q485*S485/1000000</f>
        <v/>
      </c>
      <c r="U485" s="8">
        <f>I485/T485</f>
        <v/>
      </c>
      <c r="V485" s="8">
        <f>SUMIF($E$2:$E$599,E485,$I$2:$I$599)/SUMIF($E$2:$E$599,E485,$T$2:$T$599)</f>
        <v/>
      </c>
      <c r="W485" s="8">
        <f>V485+1.645*SQRT(V485/T485)+1/(2*T485)</f>
        <v/>
      </c>
      <c r="X485" s="5">
        <f>U485/W485</f>
        <v/>
      </c>
      <c r="Y485">
        <f>IF(U485&gt;W485,"high",IF(U485&gt;V485,"medium","low"))</f>
        <v/>
      </c>
      <c r="Z485">
        <f>CHOOSE(MAX(IF(M485="high",2,IF(M485="medium",1,0)),IF(Y485="high",2,IF(Y485="medium",1,0)))+1,"low","medium","high")</f>
        <v/>
      </c>
      <c r="AA485">
        <f>IF(IF(M485="high",2,IF(M485="medium",1,0))=IF(Y485="high",2,IF(Y485="medium",1,0)),"SI และ Rate เท่ากัน",IF(IF(M485="high",2,IF(M485="medium",1,0))&gt;IF(Y485="high",2,IF(Y485="medium",1,0)),"SI","Rate"))</f>
        <v/>
      </c>
    </row>
    <row r="486">
      <c r="A486" t="inlineStr">
        <is>
          <t>zone_338</t>
        </is>
      </c>
      <c r="B486" t="inlineStr">
        <is>
          <t>คลองมหาสวัสดิ์ - คลองบางไผ่</t>
        </is>
      </c>
      <c r="C486" t="inlineStr">
        <is>
          <t>นนทบุรี</t>
        </is>
      </c>
      <c r="D486" t="inlineStr">
        <is>
          <t>3901</t>
        </is>
      </c>
      <c r="E486" t="inlineStr">
        <is>
          <t>ทล.</t>
        </is>
      </c>
      <c r="F486" t="inlineStr">
        <is>
          <t>40.9–41.503</t>
        </is>
      </c>
      <c r="G486" t="inlineStr">
        <is>
          <t>station_id 119 (ทล.3901 กม.39+528)</t>
        </is>
      </c>
      <c r="H486" t="inlineStr">
        <is>
          <t>ทล. สถานีตัวแทนตอนควบคุม</t>
        </is>
      </c>
      <c r="I486" t="n">
        <v>3</v>
      </c>
      <c r="J486" t="n">
        <v>0</v>
      </c>
      <c r="K486" t="n">
        <v>1</v>
      </c>
      <c r="L486" s="5" t="n">
        <v>0.3333</v>
      </c>
      <c r="M486" t="inlineStr">
        <is>
          <t>low</t>
        </is>
      </c>
      <c r="N486" s="6" t="n">
        <v>72993</v>
      </c>
      <c r="O486" s="6" t="n">
        <v>71802</v>
      </c>
      <c r="P486" s="6" t="n">
        <v>71243</v>
      </c>
      <c r="Q486" s="6">
        <f>AVERAGE(N486:P486)</f>
        <v/>
      </c>
      <c r="R486" t="n">
        <v>3</v>
      </c>
      <c r="S486" t="n">
        <v>1</v>
      </c>
      <c r="T486" s="7">
        <f>365*R486*Q486*S486/1000000</f>
        <v/>
      </c>
      <c r="U486" s="8">
        <f>I486/T486</f>
        <v/>
      </c>
      <c r="V486" s="8">
        <f>SUMIF($E$2:$E$599,E486,$I$2:$I$599)/SUMIF($E$2:$E$599,E486,$T$2:$T$599)</f>
        <v/>
      </c>
      <c r="W486" s="8">
        <f>V486+1.645*SQRT(V486/T486)+1/(2*T486)</f>
        <v/>
      </c>
      <c r="X486" s="5">
        <f>U486/W486</f>
        <v/>
      </c>
      <c r="Y486">
        <f>IF(U486&gt;W486,"high",IF(U486&gt;V486,"medium","low"))</f>
        <v/>
      </c>
      <c r="Z486">
        <f>CHOOSE(MAX(IF(M486="high",2,IF(M486="medium",1,0)),IF(Y486="high",2,IF(Y486="medium",1,0)))+1,"low","medium","high")</f>
        <v/>
      </c>
      <c r="AA486">
        <f>IF(IF(M486="high",2,IF(M486="medium",1,0))=IF(Y486="high",2,IF(Y486="medium",1,0)),"SI และ Rate เท่ากัน",IF(IF(M486="high",2,IF(M486="medium",1,0))&gt;IF(Y486="high",2,IF(Y486="medium",1,0)),"SI","Rate"))</f>
        <v/>
      </c>
    </row>
    <row r="487">
      <c r="A487" t="inlineStr">
        <is>
          <t>zone_554</t>
        </is>
      </c>
      <c r="B487" t="inlineStr">
        <is>
          <t>ราษฎร์บูรณะ - พระสมุทรเจดีย์</t>
        </is>
      </c>
      <c r="C487" t="inlineStr">
        <is>
          <t>สมุทรปราการ</t>
        </is>
      </c>
      <c r="D487" t="inlineStr">
        <is>
          <t>303</t>
        </is>
      </c>
      <c r="E487" t="inlineStr">
        <is>
          <t>ทล.</t>
        </is>
      </c>
      <c r="F487" t="inlineStr">
        <is>
          <t>16.258–16.6</t>
        </is>
      </c>
      <c r="G487" t="inlineStr">
        <is>
          <t>station_id 93 (ทล.303 กม.14+000)</t>
        </is>
      </c>
      <c r="H487" t="inlineStr">
        <is>
          <t>ทล. สถานีตัวแทนตอนควบคุม</t>
        </is>
      </c>
      <c r="I487" t="n">
        <v>3</v>
      </c>
      <c r="J487" t="n">
        <v>1</v>
      </c>
      <c r="K487" t="n">
        <v>1</v>
      </c>
      <c r="L487" s="5" t="n">
        <v>0.6667</v>
      </c>
      <c r="M487" t="inlineStr">
        <is>
          <t>low</t>
        </is>
      </c>
      <c r="N487" s="6" t="n">
        <v>72796</v>
      </c>
      <c r="O487" s="6" t="n">
        <v>74031</v>
      </c>
      <c r="P487" s="6" t="n">
        <v>76209</v>
      </c>
      <c r="Q487" s="6">
        <f>AVERAGE(N487:P487)</f>
        <v/>
      </c>
      <c r="R487" t="n">
        <v>3</v>
      </c>
      <c r="S487" t="n">
        <v>1</v>
      </c>
      <c r="T487" s="7">
        <f>365*R487*Q487*S487/1000000</f>
        <v/>
      </c>
      <c r="U487" s="8">
        <f>I487/T487</f>
        <v/>
      </c>
      <c r="V487" s="8">
        <f>SUMIF($E$2:$E$599,E487,$I$2:$I$599)/SUMIF($E$2:$E$599,E487,$T$2:$T$599)</f>
        <v/>
      </c>
      <c r="W487" s="8">
        <f>V487+1.645*SQRT(V487/T487)+1/(2*T487)</f>
        <v/>
      </c>
      <c r="X487" s="5">
        <f>U487/W487</f>
        <v/>
      </c>
      <c r="Y487">
        <f>IF(U487&gt;W487,"high",IF(U487&gt;V487,"medium","low"))</f>
        <v/>
      </c>
      <c r="Z487">
        <f>CHOOSE(MAX(IF(M487="high",2,IF(M487="medium",1,0)),IF(Y487="high",2,IF(Y487="medium",1,0)))+1,"low","medium","high")</f>
        <v/>
      </c>
      <c r="AA487">
        <f>IF(IF(M487="high",2,IF(M487="medium",1,0))=IF(Y487="high",2,IF(Y487="medium",1,0)),"SI และ Rate เท่ากัน",IF(IF(M487="high",2,IF(M487="medium",1,0))&gt;IF(Y487="high",2,IF(Y487="medium",1,0)),"SI","Rate"))</f>
        <v/>
      </c>
    </row>
    <row r="488">
      <c r="A488" t="inlineStr">
        <is>
          <t>zone_565</t>
        </is>
      </c>
      <c r="B488" t="inlineStr">
        <is>
          <t>ราษฎร์บูรณะ - พระสมุทรเจดีย์</t>
        </is>
      </c>
      <c r="C488" t="inlineStr">
        <is>
          <t>สมุทรปราการ</t>
        </is>
      </c>
      <c r="D488" t="inlineStr">
        <is>
          <t>303</t>
        </is>
      </c>
      <c r="E488" t="inlineStr">
        <is>
          <t>ทล.</t>
        </is>
      </c>
      <c r="F488" t="inlineStr">
        <is>
          <t>17.1–17.2</t>
        </is>
      </c>
      <c r="G488" t="inlineStr">
        <is>
          <t>station_id 93 (ทล.303 กม.14+000)</t>
        </is>
      </c>
      <c r="H488" t="inlineStr">
        <is>
          <t>ทล. สถานีตัวแทนตอนควบคุม</t>
        </is>
      </c>
      <c r="I488" t="n">
        <v>3</v>
      </c>
      <c r="J488" t="n">
        <v>0</v>
      </c>
      <c r="K488" t="n">
        <v>0</v>
      </c>
      <c r="L488" s="5" t="n">
        <v>0</v>
      </c>
      <c r="M488" t="inlineStr">
        <is>
          <t>low</t>
        </is>
      </c>
      <c r="N488" s="6" t="n">
        <v>72796</v>
      </c>
      <c r="O488" s="6" t="n">
        <v>74031</v>
      </c>
      <c r="P488" s="6" t="n">
        <v>76209</v>
      </c>
      <c r="Q488" s="6">
        <f>AVERAGE(N488:P488)</f>
        <v/>
      </c>
      <c r="R488" t="n">
        <v>3</v>
      </c>
      <c r="S488" t="n">
        <v>1</v>
      </c>
      <c r="T488" s="7">
        <f>365*R488*Q488*S488/1000000</f>
        <v/>
      </c>
      <c r="U488" s="8">
        <f>I488/T488</f>
        <v/>
      </c>
      <c r="V488" s="8">
        <f>SUMIF($E$2:$E$599,E488,$I$2:$I$599)/SUMIF($E$2:$E$599,E488,$T$2:$T$599)</f>
        <v/>
      </c>
      <c r="W488" s="8">
        <f>V488+1.645*SQRT(V488/T488)+1/(2*T488)</f>
        <v/>
      </c>
      <c r="X488" s="5">
        <f>U488/W488</f>
        <v/>
      </c>
      <c r="Y488">
        <f>IF(U488&gt;W488,"high",IF(U488&gt;V488,"medium","low"))</f>
        <v/>
      </c>
      <c r="Z488">
        <f>CHOOSE(MAX(IF(M488="high",2,IF(M488="medium",1,0)),IF(Y488="high",2,IF(Y488="medium",1,0)))+1,"low","medium","high")</f>
        <v/>
      </c>
      <c r="AA488">
        <f>IF(IF(M488="high",2,IF(M488="medium",1,0))=IF(Y488="high",2,IF(Y488="medium",1,0)),"SI และ Rate เท่ากัน",IF(IF(M488="high",2,IF(M488="medium",1,0))&gt;IF(Y488="high",2,IF(Y488="medium",1,0)),"SI","Rate"))</f>
        <v/>
      </c>
    </row>
    <row r="489">
      <c r="A489" t="inlineStr">
        <is>
          <t>zone_333</t>
        </is>
      </c>
      <c r="B489" t="inlineStr">
        <is>
          <t>สะพานพระนั่งเกล้า - ต่างระดับบางใหญ่</t>
        </is>
      </c>
      <c r="C489" t="inlineStr">
        <is>
          <t>นนทบุรี</t>
        </is>
      </c>
      <c r="D489" t="inlineStr">
        <is>
          <t>302</t>
        </is>
      </c>
      <c r="E489" t="inlineStr">
        <is>
          <t>ทล.</t>
        </is>
      </c>
      <c r="F489" t="inlineStr">
        <is>
          <t>18–18.5</t>
        </is>
      </c>
      <c r="G489" t="inlineStr">
        <is>
          <t>station_id 109 (ทล.302 กม.12+500)</t>
        </is>
      </c>
      <c r="H489" t="inlineStr">
        <is>
          <t>ทล. สถานีตัวแทนตอนควบคุม</t>
        </is>
      </c>
      <c r="I489" t="n">
        <v>4</v>
      </c>
      <c r="J489" t="n">
        <v>1</v>
      </c>
      <c r="K489" t="n">
        <v>1</v>
      </c>
      <c r="L489" s="5" t="n">
        <v>0.5</v>
      </c>
      <c r="M489" t="inlineStr">
        <is>
          <t>low</t>
        </is>
      </c>
      <c r="N489" s="6" t="n">
        <v>105878</v>
      </c>
      <c r="O489" s="6" t="n">
        <v>107062</v>
      </c>
      <c r="P489" s="6" t="n">
        <v>104815</v>
      </c>
      <c r="Q489" s="6">
        <f>AVERAGE(N489:P489)</f>
        <v/>
      </c>
      <c r="R489" t="n">
        <v>3</v>
      </c>
      <c r="S489" t="n">
        <v>1</v>
      </c>
      <c r="T489" s="7">
        <f>365*R489*Q489*S489/1000000</f>
        <v/>
      </c>
      <c r="U489" s="8">
        <f>I489/T489</f>
        <v/>
      </c>
      <c r="V489" s="8">
        <f>SUMIF($E$2:$E$599,E489,$I$2:$I$599)/SUMIF($E$2:$E$599,E489,$T$2:$T$599)</f>
        <v/>
      </c>
      <c r="W489" s="8">
        <f>V489+1.645*SQRT(V489/T489)+1/(2*T489)</f>
        <v/>
      </c>
      <c r="X489" s="5">
        <f>U489/W489</f>
        <v/>
      </c>
      <c r="Y489">
        <f>IF(U489&gt;W489,"high",IF(U489&gt;V489,"medium","low"))</f>
        <v/>
      </c>
      <c r="Z489">
        <f>CHOOSE(MAX(IF(M489="high",2,IF(M489="medium",1,0)),IF(Y489="high",2,IF(Y489="medium",1,0)))+1,"low","medium","high")</f>
        <v/>
      </c>
      <c r="AA489">
        <f>IF(IF(M489="high",2,IF(M489="medium",1,0))=IF(Y489="high",2,IF(Y489="medium",1,0)),"SI และ Rate เท่ากัน",IF(IF(M489="high",2,IF(M489="medium",1,0))&gt;IF(Y489="high",2,IF(Y489="medium",1,0)),"SI","Rate"))</f>
        <v/>
      </c>
    </row>
    <row r="490">
      <c r="A490" t="inlineStr">
        <is>
          <t>zone_583</t>
        </is>
      </c>
      <c r="B490" t="inlineStr">
        <is>
          <t>แสมดำ - สะพานข้ามแม่น้ำท่าจีนฝั่งตะวันตก</t>
        </is>
      </c>
      <c r="C490" t="inlineStr">
        <is>
          <t>สมุทรสาคร</t>
        </is>
      </c>
      <c r="D490" t="inlineStr">
        <is>
          <t>35</t>
        </is>
      </c>
      <c r="E490" t="inlineStr">
        <is>
          <t>ทล.</t>
        </is>
      </c>
      <c r="F490" t="inlineStr">
        <is>
          <t>22.785–23.5</t>
        </is>
      </c>
      <c r="G490" t="inlineStr">
        <is>
          <t>station_id 57 (ทล.35 กม.24+550)</t>
        </is>
      </c>
      <c r="H490" t="inlineStr">
        <is>
          <t>ทล. สถานีตัวแทนตอนควบคุม</t>
        </is>
      </c>
      <c r="I490" t="n">
        <v>5</v>
      </c>
      <c r="J490" t="n">
        <v>1</v>
      </c>
      <c r="K490" t="n">
        <v>1</v>
      </c>
      <c r="L490" s="5" t="n">
        <v>0.4</v>
      </c>
      <c r="M490" t="inlineStr">
        <is>
          <t>low</t>
        </is>
      </c>
      <c r="N490" s="6" t="n">
        <v>129063</v>
      </c>
      <c r="O490" s="6" t="n">
        <v>149020</v>
      </c>
      <c r="P490" s="6" t="n">
        <v>143116</v>
      </c>
      <c r="Q490" s="6">
        <f>AVERAGE(N490:P490)</f>
        <v/>
      </c>
      <c r="R490" t="n">
        <v>3</v>
      </c>
      <c r="S490" t="n">
        <v>1</v>
      </c>
      <c r="T490" s="7">
        <f>365*R490*Q490*S490/1000000</f>
        <v/>
      </c>
      <c r="U490" s="8">
        <f>I490/T490</f>
        <v/>
      </c>
      <c r="V490" s="8">
        <f>SUMIF($E$2:$E$599,E490,$I$2:$I$599)/SUMIF($E$2:$E$599,E490,$T$2:$T$599)</f>
        <v/>
      </c>
      <c r="W490" s="8">
        <f>V490+1.645*SQRT(V490/T490)+1/(2*T490)</f>
        <v/>
      </c>
      <c r="X490" s="5">
        <f>U490/W490</f>
        <v/>
      </c>
      <c r="Y490">
        <f>IF(U490&gt;W490,"high",IF(U490&gt;V490,"medium","low"))</f>
        <v/>
      </c>
      <c r="Z490">
        <f>CHOOSE(MAX(IF(M490="high",2,IF(M490="medium",1,0)),IF(Y490="high",2,IF(Y490="medium",1,0)))+1,"low","medium","high")</f>
        <v/>
      </c>
      <c r="AA490">
        <f>IF(IF(M490="high",2,IF(M490="medium",1,0))=IF(Y490="high",2,IF(Y490="medium",1,0)),"SI และ Rate เท่ากัน",IF(IF(M490="high",2,IF(M490="medium",1,0))&gt;IF(Y490="high",2,IF(Y490="medium",1,0)),"SI","Rate"))</f>
        <v/>
      </c>
    </row>
    <row r="491">
      <c r="A491" t="inlineStr">
        <is>
          <t>zone_595</t>
        </is>
      </c>
      <c r="B491" t="inlineStr">
        <is>
          <t>แสมดำ - สะพานข้ามแม่น้ำท่าจีนฝั่งตะวันตก</t>
        </is>
      </c>
      <c r="C491" t="inlineStr">
        <is>
          <t>สมุทรสาคร</t>
        </is>
      </c>
      <c r="D491" t="inlineStr">
        <is>
          <t>35</t>
        </is>
      </c>
      <c r="E491" t="inlineStr">
        <is>
          <t>ทล.</t>
        </is>
      </c>
      <c r="F491" t="inlineStr">
        <is>
          <t>16.7–18.5</t>
        </is>
      </c>
      <c r="G491" t="inlineStr">
        <is>
          <t>station_id 57 (ทล.35 กม.24+550)</t>
        </is>
      </c>
      <c r="H491" t="inlineStr">
        <is>
          <t>ทล. สถานีตัวแทนตอนควบคุม</t>
        </is>
      </c>
      <c r="I491" t="n">
        <v>5</v>
      </c>
      <c r="J491" t="n">
        <v>0</v>
      </c>
      <c r="K491" t="n">
        <v>3</v>
      </c>
      <c r="L491" s="5" t="n">
        <v>0.6</v>
      </c>
      <c r="M491" t="inlineStr">
        <is>
          <t>low</t>
        </is>
      </c>
      <c r="N491" s="6" t="n">
        <v>129063</v>
      </c>
      <c r="O491" s="6" t="n">
        <v>149020</v>
      </c>
      <c r="P491" s="6" t="n">
        <v>143116</v>
      </c>
      <c r="Q491" s="6">
        <f>AVERAGE(N491:P491)</f>
        <v/>
      </c>
      <c r="R491" t="n">
        <v>3</v>
      </c>
      <c r="S491" t="n">
        <v>1</v>
      </c>
      <c r="T491" s="7">
        <f>365*R491*Q491*S491/1000000</f>
        <v/>
      </c>
      <c r="U491" s="8">
        <f>I491/T491</f>
        <v/>
      </c>
      <c r="V491" s="8">
        <f>SUMIF($E$2:$E$599,E491,$I$2:$I$599)/SUMIF($E$2:$E$599,E491,$T$2:$T$599)</f>
        <v/>
      </c>
      <c r="W491" s="8">
        <f>V491+1.645*SQRT(V491/T491)+1/(2*T491)</f>
        <v/>
      </c>
      <c r="X491" s="5">
        <f>U491/W491</f>
        <v/>
      </c>
      <c r="Y491">
        <f>IF(U491&gt;W491,"high",IF(U491&gt;V491,"medium","low"))</f>
        <v/>
      </c>
      <c r="Z491">
        <f>CHOOSE(MAX(IF(M491="high",2,IF(M491="medium",1,0)),IF(Y491="high",2,IF(Y491="medium",1,0)))+1,"low","medium","high")</f>
        <v/>
      </c>
      <c r="AA491">
        <f>IF(IF(M491="high",2,IF(M491="medium",1,0))=IF(Y491="high",2,IF(Y491="medium",1,0)),"SI และ Rate เท่ากัน",IF(IF(M491="high",2,IF(M491="medium",1,0))&gt;IF(Y491="high",2,IF(Y491="medium",1,0)),"SI","Rate"))</f>
        <v/>
      </c>
    </row>
    <row r="492">
      <c r="A492" t="inlineStr">
        <is>
          <t>zone_606</t>
        </is>
      </c>
      <c r="B492" t="inlineStr">
        <is>
          <t>แสมดำ - สะพานข้ามแม่น้ำท่าจีนฝั่งตะวันตก</t>
        </is>
      </c>
      <c r="C492" t="inlineStr">
        <is>
          <t>สมุทรสาคร</t>
        </is>
      </c>
      <c r="D492" t="inlineStr">
        <is>
          <t>35</t>
        </is>
      </c>
      <c r="E492" t="inlineStr">
        <is>
          <t>ทล.</t>
        </is>
      </c>
      <c r="F492" t="inlineStr">
        <is>
          <t>18.1–18.5</t>
        </is>
      </c>
      <c r="G492" t="inlineStr">
        <is>
          <t>station_id 57 (ทล.35 กม.24+550)</t>
        </is>
      </c>
      <c r="H492" t="inlineStr">
        <is>
          <t>ทล. สถานีตัวแทนตอนควบคุม</t>
        </is>
      </c>
      <c r="I492" t="n">
        <v>5</v>
      </c>
      <c r="J492" t="n">
        <v>1</v>
      </c>
      <c r="K492" t="n">
        <v>2</v>
      </c>
      <c r="L492" s="5" t="n">
        <v>0.6</v>
      </c>
      <c r="M492" t="inlineStr">
        <is>
          <t>low</t>
        </is>
      </c>
      <c r="N492" s="6" t="n">
        <v>129063</v>
      </c>
      <c r="O492" s="6" t="n">
        <v>149020</v>
      </c>
      <c r="P492" s="6" t="n">
        <v>143116</v>
      </c>
      <c r="Q492" s="6">
        <f>AVERAGE(N492:P492)</f>
        <v/>
      </c>
      <c r="R492" t="n">
        <v>3</v>
      </c>
      <c r="S492" t="n">
        <v>1</v>
      </c>
      <c r="T492" s="7">
        <f>365*R492*Q492*S492/1000000</f>
        <v/>
      </c>
      <c r="U492" s="8">
        <f>I492/T492</f>
        <v/>
      </c>
      <c r="V492" s="8">
        <f>SUMIF($E$2:$E$599,E492,$I$2:$I$599)/SUMIF($E$2:$E$599,E492,$T$2:$T$599)</f>
        <v/>
      </c>
      <c r="W492" s="8">
        <f>V492+1.645*SQRT(V492/T492)+1/(2*T492)</f>
        <v/>
      </c>
      <c r="X492" s="5">
        <f>U492/W492</f>
        <v/>
      </c>
      <c r="Y492">
        <f>IF(U492&gt;W492,"high",IF(U492&gt;V492,"medium","low"))</f>
        <v/>
      </c>
      <c r="Z492">
        <f>CHOOSE(MAX(IF(M492="high",2,IF(M492="medium",1,0)),IF(Y492="high",2,IF(Y492="medium",1,0)))+1,"low","medium","high")</f>
        <v/>
      </c>
      <c r="AA492">
        <f>IF(IF(M492="high",2,IF(M492="medium",1,0))=IF(Y492="high",2,IF(Y492="medium",1,0)),"SI และ Rate เท่ากัน",IF(IF(M492="high",2,IF(M492="medium",1,0))&gt;IF(Y492="high",2,IF(Y492="medium",1,0)),"SI","Rate"))</f>
        <v/>
      </c>
    </row>
    <row r="493">
      <c r="A493" t="inlineStr">
        <is>
          <t>zone_102</t>
        </is>
      </c>
      <c r="B493" t="inlineStr">
        <is>
          <t>ถนนศรีนครินทร - แขวงคลองสองต้นนุ่น</t>
        </is>
      </c>
      <c r="C493" t="inlineStr">
        <is>
          <t>กรุงเทพมหานคร</t>
        </is>
      </c>
      <c r="D493" t="inlineStr">
        <is>
          <t>7</t>
        </is>
      </c>
      <c r="E493" t="inlineStr">
        <is>
          <t>ทล.</t>
        </is>
      </c>
      <c r="F493" t="inlineStr">
        <is>
          <t>4.1–4.5</t>
        </is>
      </c>
      <c r="G493" t="inlineStr">
        <is>
          <t>station_id 345 (ทล.7 กม.17+000)</t>
        </is>
      </c>
      <c r="H493" t="inlineStr">
        <is>
          <t>ทล. สถานีตัวแทนตอนควบคุม</t>
        </is>
      </c>
      <c r="I493" t="n">
        <v>8</v>
      </c>
      <c r="J493" t="n">
        <v>0</v>
      </c>
      <c r="K493" t="n">
        <v>1</v>
      </c>
      <c r="L493" s="5" t="n">
        <v>0.125</v>
      </c>
      <c r="M493" t="inlineStr">
        <is>
          <t>low</t>
        </is>
      </c>
      <c r="N493" s="6" t="n">
        <v>220901</v>
      </c>
      <c r="O493" s="6" t="n">
        <v>242192</v>
      </c>
      <c r="P493" s="6" t="n">
        <v>262343</v>
      </c>
      <c r="Q493" s="6">
        <f>AVERAGE(N493:P493)</f>
        <v/>
      </c>
      <c r="R493" t="n">
        <v>3</v>
      </c>
      <c r="S493" t="n">
        <v>1</v>
      </c>
      <c r="T493" s="7">
        <f>365*R493*Q493*S493/1000000</f>
        <v/>
      </c>
      <c r="U493" s="8">
        <f>I493/T493</f>
        <v/>
      </c>
      <c r="V493" s="8">
        <f>SUMIF($E$2:$E$599,E493,$I$2:$I$599)/SUMIF($E$2:$E$599,E493,$T$2:$T$599)</f>
        <v/>
      </c>
      <c r="W493" s="8">
        <f>V493+1.645*SQRT(V493/T493)+1/(2*T493)</f>
        <v/>
      </c>
      <c r="X493" s="5">
        <f>U493/W493</f>
        <v/>
      </c>
      <c r="Y493">
        <f>IF(U493&gt;W493,"high",IF(U493&gt;V493,"medium","low"))</f>
        <v/>
      </c>
      <c r="Z493">
        <f>CHOOSE(MAX(IF(M493="high",2,IF(M493="medium",1,0)),IF(Y493="high",2,IF(Y493="medium",1,0)))+1,"low","medium","high")</f>
        <v/>
      </c>
      <c r="AA493">
        <f>IF(IF(M493="high",2,IF(M493="medium",1,0))=IF(Y493="high",2,IF(Y493="medium",1,0)),"SI และ Rate เท่ากัน",IF(IF(M493="high",2,IF(M493="medium",1,0))&gt;IF(Y493="high",2,IF(Y493="medium",1,0)),"SI","Rate"))</f>
        <v/>
      </c>
    </row>
    <row r="494">
      <c r="A494" t="inlineStr">
        <is>
          <t>zone_147</t>
        </is>
      </c>
      <c r="B494" t="inlineStr">
        <is>
          <t>แขวงคลองสองต้นนุ่น - พิมพา</t>
        </is>
      </c>
      <c r="C494" t="inlineStr">
        <is>
          <t>สมุทรปราการ</t>
        </is>
      </c>
      <c r="D494" t="inlineStr">
        <is>
          <t>7</t>
        </is>
      </c>
      <c r="E494" t="inlineStr">
        <is>
          <t>ทล.</t>
        </is>
      </c>
      <c r="F494" t="inlineStr">
        <is>
          <t>22.2–22.3</t>
        </is>
      </c>
      <c r="G494" t="inlineStr">
        <is>
          <t>station_id 345 (ทล.7 กม.17+000)</t>
        </is>
      </c>
      <c r="H494" t="inlineStr">
        <is>
          <t>ทล. สถานีตัวแทนตอนควบคุม</t>
        </is>
      </c>
      <c r="I494" t="n">
        <v>8</v>
      </c>
      <c r="J494" t="n">
        <v>0</v>
      </c>
      <c r="K494" t="n">
        <v>0</v>
      </c>
      <c r="L494" s="5" t="n">
        <v>0</v>
      </c>
      <c r="M494" t="inlineStr">
        <is>
          <t>low</t>
        </is>
      </c>
      <c r="N494" s="6" t="n">
        <v>220901</v>
      </c>
      <c r="O494" s="6" t="n">
        <v>242192</v>
      </c>
      <c r="P494" s="6" t="n">
        <v>262343</v>
      </c>
      <c r="Q494" s="6">
        <f>AVERAGE(N494:P494)</f>
        <v/>
      </c>
      <c r="R494" t="n">
        <v>3</v>
      </c>
      <c r="S494" t="n">
        <v>1</v>
      </c>
      <c r="T494" s="7">
        <f>365*R494*Q494*S494/1000000</f>
        <v/>
      </c>
      <c r="U494" s="8">
        <f>I494/T494</f>
        <v/>
      </c>
      <c r="V494" s="8">
        <f>SUMIF($E$2:$E$599,E494,$I$2:$I$599)/SUMIF($E$2:$E$599,E494,$T$2:$T$599)</f>
        <v/>
      </c>
      <c r="W494" s="8">
        <f>V494+1.645*SQRT(V494/T494)+1/(2*T494)</f>
        <v/>
      </c>
      <c r="X494" s="5">
        <f>U494/W494</f>
        <v/>
      </c>
      <c r="Y494">
        <f>IF(U494&gt;W494,"high",IF(U494&gt;V494,"medium","low"))</f>
        <v/>
      </c>
      <c r="Z494">
        <f>CHOOSE(MAX(IF(M494="high",2,IF(M494="medium",1,0)),IF(Y494="high",2,IF(Y494="medium",1,0)))+1,"low","medium","high")</f>
        <v/>
      </c>
      <c r="AA494">
        <f>IF(IF(M494="high",2,IF(M494="medium",1,0))=IF(Y494="high",2,IF(Y494="medium",1,0)),"SI และ Rate เท่ากัน",IF(IF(M494="high",2,IF(M494="medium",1,0))&gt;IF(Y494="high",2,IF(Y494="medium",1,0)),"SI","Rate"))</f>
        <v/>
      </c>
    </row>
    <row r="495">
      <c r="A495" t="inlineStr">
        <is>
          <t>zone_149</t>
        </is>
      </c>
      <c r="B495" t="inlineStr">
        <is>
          <t>แขวงคลองสองต้นนุ่น - พิมพา</t>
        </is>
      </c>
      <c r="C495" t="inlineStr">
        <is>
          <t>สมุทรปราการ</t>
        </is>
      </c>
      <c r="D495" t="inlineStr">
        <is>
          <t>7</t>
        </is>
      </c>
      <c r="E495" t="inlineStr">
        <is>
          <t>ทล.</t>
        </is>
      </c>
      <c r="F495" t="inlineStr">
        <is>
          <t>22.6–23</t>
        </is>
      </c>
      <c r="G495" t="inlineStr">
        <is>
          <t>station_id 345 (ทล.7 กม.17+000)</t>
        </is>
      </c>
      <c r="H495" t="inlineStr">
        <is>
          <t>ทล. สถานีตัวแทนตอนควบคุม</t>
        </is>
      </c>
      <c r="I495" t="n">
        <v>8</v>
      </c>
      <c r="J495" t="n">
        <v>0</v>
      </c>
      <c r="K495" t="n">
        <v>2</v>
      </c>
      <c r="L495" s="5" t="n">
        <v>0.25</v>
      </c>
      <c r="M495" t="inlineStr">
        <is>
          <t>low</t>
        </is>
      </c>
      <c r="N495" s="6" t="n">
        <v>220901</v>
      </c>
      <c r="O495" s="6" t="n">
        <v>242192</v>
      </c>
      <c r="P495" s="6" t="n">
        <v>262343</v>
      </c>
      <c r="Q495" s="6">
        <f>AVERAGE(N495:P495)</f>
        <v/>
      </c>
      <c r="R495" t="n">
        <v>3</v>
      </c>
      <c r="S495" t="n">
        <v>1</v>
      </c>
      <c r="T495" s="7">
        <f>365*R495*Q495*S495/1000000</f>
        <v/>
      </c>
      <c r="U495" s="8">
        <f>I495/T495</f>
        <v/>
      </c>
      <c r="V495" s="8">
        <f>SUMIF($E$2:$E$599,E495,$I$2:$I$599)/SUMIF($E$2:$E$599,E495,$T$2:$T$599)</f>
        <v/>
      </c>
      <c r="W495" s="8">
        <f>V495+1.645*SQRT(V495/T495)+1/(2*T495)</f>
        <v/>
      </c>
      <c r="X495" s="5">
        <f>U495/W495</f>
        <v/>
      </c>
      <c r="Y495">
        <f>IF(U495&gt;W495,"high",IF(U495&gt;V495,"medium","low"))</f>
        <v/>
      </c>
      <c r="Z495">
        <f>CHOOSE(MAX(IF(M495="high",2,IF(M495="medium",1,0)),IF(Y495="high",2,IF(Y495="medium",1,0)))+1,"low","medium","high")</f>
        <v/>
      </c>
      <c r="AA495">
        <f>IF(IF(M495="high",2,IF(M495="medium",1,0))=IF(Y495="high",2,IF(Y495="medium",1,0)),"SI และ Rate เท่ากัน",IF(IF(M495="high",2,IF(M495="medium",1,0))&gt;IF(Y495="high",2,IF(Y495="medium",1,0)),"SI","Rate"))</f>
        <v/>
      </c>
    </row>
    <row r="496">
      <c r="A496" t="inlineStr">
        <is>
          <t>zone_567</t>
        </is>
      </c>
      <c r="B496" t="inlineStr">
        <is>
          <t>สะพานข้ามแม่น้ำท่าจีนฝั่งตะวันตก - นาโคก</t>
        </is>
      </c>
      <c r="C496" t="inlineStr">
        <is>
          <t>สมุทรสาคร</t>
        </is>
      </c>
      <c r="D496" t="inlineStr">
        <is>
          <t>35</t>
        </is>
      </c>
      <c r="E496" t="inlineStr">
        <is>
          <t>ทล.</t>
        </is>
      </c>
      <c r="F496" t="inlineStr">
        <is>
          <t>37.7–37.9</t>
        </is>
      </c>
      <c r="G496" t="inlineStr">
        <is>
          <t>station_id 59 (ทล.35 กม.30+700)</t>
        </is>
      </c>
      <c r="H496" t="inlineStr">
        <is>
          <t>ทล. สถานีตัวแทนตอนควบคุม</t>
        </is>
      </c>
      <c r="I496" t="n">
        <v>5</v>
      </c>
      <c r="J496" t="n">
        <v>0</v>
      </c>
      <c r="K496" t="n">
        <v>1</v>
      </c>
      <c r="L496" s="5" t="n">
        <v>0.2</v>
      </c>
      <c r="M496" t="inlineStr">
        <is>
          <t>low</t>
        </is>
      </c>
      <c r="N496" s="6" t="n">
        <v>134343</v>
      </c>
      <c r="O496" s="6" t="n">
        <v>149180</v>
      </c>
      <c r="P496" s="6" t="n">
        <v>149785</v>
      </c>
      <c r="Q496" s="6">
        <f>AVERAGE(N496:P496)</f>
        <v/>
      </c>
      <c r="R496" t="n">
        <v>3</v>
      </c>
      <c r="S496" t="n">
        <v>1</v>
      </c>
      <c r="T496" s="7">
        <f>365*R496*Q496*S496/1000000</f>
        <v/>
      </c>
      <c r="U496" s="8">
        <f>I496/T496</f>
        <v/>
      </c>
      <c r="V496" s="8">
        <f>SUMIF($E$2:$E$599,E496,$I$2:$I$599)/SUMIF($E$2:$E$599,E496,$T$2:$T$599)</f>
        <v/>
      </c>
      <c r="W496" s="8">
        <f>V496+1.645*SQRT(V496/T496)+1/(2*T496)</f>
        <v/>
      </c>
      <c r="X496" s="5">
        <f>U496/W496</f>
        <v/>
      </c>
      <c r="Y496">
        <f>IF(U496&gt;W496,"high",IF(U496&gt;V496,"medium","low"))</f>
        <v/>
      </c>
      <c r="Z496">
        <f>CHOOSE(MAX(IF(M496="high",2,IF(M496="medium",1,0)),IF(Y496="high",2,IF(Y496="medium",1,0)))+1,"low","medium","high")</f>
        <v/>
      </c>
      <c r="AA496">
        <f>IF(IF(M496="high",2,IF(M496="medium",1,0))=IF(Y496="high",2,IF(Y496="medium",1,0)),"SI และ Rate เท่ากัน",IF(IF(M496="high",2,IF(M496="medium",1,0))&gt;IF(Y496="high",2,IF(Y496="medium",1,0)),"SI","Rate"))</f>
        <v/>
      </c>
    </row>
    <row r="497">
      <c r="A497" t="inlineStr">
        <is>
          <t>zone_141</t>
        </is>
      </c>
      <c r="B497" t="inlineStr">
        <is>
          <t>ดินแดง - งามวงศ์วาน</t>
        </is>
      </c>
      <c r="C497" t="inlineStr">
        <is>
          <t>กรุงเทพมหานคร</t>
        </is>
      </c>
      <c r="D497" t="inlineStr">
        <is>
          <t>31</t>
        </is>
      </c>
      <c r="E497" t="inlineStr">
        <is>
          <t>ทล.</t>
        </is>
      </c>
      <c r="F497" t="inlineStr">
        <is>
          <t>5.1–5.2</t>
        </is>
      </c>
      <c r="G497" t="inlineStr">
        <is>
          <t>station_id 104 (ทล.302 กม.5+822)</t>
        </is>
      </c>
      <c r="H497" t="inlineStr">
        <is>
          <t>ทล. สถานีตัวแทนตอนควบคุม</t>
        </is>
      </c>
      <c r="I497" t="n">
        <v>4</v>
      </c>
      <c r="J497" t="n">
        <v>0</v>
      </c>
      <c r="K497" t="n">
        <v>3</v>
      </c>
      <c r="L497" s="5" t="n">
        <v>0.75</v>
      </c>
      <c r="M497" t="inlineStr">
        <is>
          <t>low</t>
        </is>
      </c>
      <c r="N497" s="6" t="n">
        <v>111493</v>
      </c>
      <c r="O497" s="6" t="n">
        <v>113776</v>
      </c>
      <c r="P497" s="6" t="n">
        <v>111297</v>
      </c>
      <c r="Q497" s="6">
        <f>AVERAGE(N497:P497)</f>
        <v/>
      </c>
      <c r="R497" t="n">
        <v>3</v>
      </c>
      <c r="S497" t="n">
        <v>1</v>
      </c>
      <c r="T497" s="7">
        <f>365*R497*Q497*S497/1000000</f>
        <v/>
      </c>
      <c r="U497" s="8">
        <f>I497/T497</f>
        <v/>
      </c>
      <c r="V497" s="8">
        <f>SUMIF($E$2:$E$599,E497,$I$2:$I$599)/SUMIF($E$2:$E$599,E497,$T$2:$T$599)</f>
        <v/>
      </c>
      <c r="W497" s="8">
        <f>V497+1.645*SQRT(V497/T497)+1/(2*T497)</f>
        <v/>
      </c>
      <c r="X497" s="5">
        <f>U497/W497</f>
        <v/>
      </c>
      <c r="Y497">
        <f>IF(U497&gt;W497,"high",IF(U497&gt;V497,"medium","low"))</f>
        <v/>
      </c>
      <c r="Z497">
        <f>CHOOSE(MAX(IF(M497="high",2,IF(M497="medium",1,0)),IF(Y497="high",2,IF(Y497="medium",1,0)))+1,"low","medium","high")</f>
        <v/>
      </c>
      <c r="AA497">
        <f>IF(IF(M497="high",2,IF(M497="medium",1,0))=IF(Y497="high",2,IF(Y497="medium",1,0)),"SI และ Rate เท่ากัน",IF(IF(M497="high",2,IF(M497="medium",1,0))&gt;IF(Y497="high",2,IF(Y497="medium",1,0)),"SI","Rate"))</f>
        <v/>
      </c>
    </row>
    <row r="498">
      <c r="A498" t="inlineStr">
        <is>
          <t>zone_213</t>
        </is>
      </c>
      <c r="B498" t="inlineStr">
        <is>
          <t>ดินแดง - งามวงศ์วาน</t>
        </is>
      </c>
      <c r="C498" t="inlineStr">
        <is>
          <t>กรุงเทพมหานคร</t>
        </is>
      </c>
      <c r="D498" t="inlineStr">
        <is>
          <t>31</t>
        </is>
      </c>
      <c r="E498" t="inlineStr">
        <is>
          <t>ทล.</t>
        </is>
      </c>
      <c r="F498" t="inlineStr">
        <is>
          <t>9.135–14.314</t>
        </is>
      </c>
      <c r="G498" t="inlineStr">
        <is>
          <t>station_id 104 (ทล.302 กม.5+822)</t>
        </is>
      </c>
      <c r="H498" t="inlineStr">
        <is>
          <t>ทล. สถานีตัวแทนตอนควบคุม</t>
        </is>
      </c>
      <c r="I498" t="n">
        <v>4</v>
      </c>
      <c r="J498" t="n">
        <v>0</v>
      </c>
      <c r="K498" t="n">
        <v>3</v>
      </c>
      <c r="L498" s="5" t="n">
        <v>0.75</v>
      </c>
      <c r="M498" t="inlineStr">
        <is>
          <t>low</t>
        </is>
      </c>
      <c r="N498" s="6" t="n">
        <v>111493</v>
      </c>
      <c r="O498" s="6" t="n">
        <v>113776</v>
      </c>
      <c r="P498" s="6" t="n">
        <v>111297</v>
      </c>
      <c r="Q498" s="6">
        <f>AVERAGE(N498:P498)</f>
        <v/>
      </c>
      <c r="R498" t="n">
        <v>3</v>
      </c>
      <c r="S498" t="n">
        <v>1</v>
      </c>
      <c r="T498" s="7">
        <f>365*R498*Q498*S498/1000000</f>
        <v/>
      </c>
      <c r="U498" s="8">
        <f>I498/T498</f>
        <v/>
      </c>
      <c r="V498" s="8">
        <f>SUMIF($E$2:$E$599,E498,$I$2:$I$599)/SUMIF($E$2:$E$599,E498,$T$2:$T$599)</f>
        <v/>
      </c>
      <c r="W498" s="8">
        <f>V498+1.645*SQRT(V498/T498)+1/(2*T498)</f>
        <v/>
      </c>
      <c r="X498" s="5">
        <f>U498/W498</f>
        <v/>
      </c>
      <c r="Y498">
        <f>IF(U498&gt;W498,"high",IF(U498&gt;V498,"medium","low"))</f>
        <v/>
      </c>
      <c r="Z498">
        <f>CHOOSE(MAX(IF(M498="high",2,IF(M498="medium",1,0)),IF(Y498="high",2,IF(Y498="medium",1,0)))+1,"low","medium","high")</f>
        <v/>
      </c>
      <c r="AA498">
        <f>IF(IF(M498="high",2,IF(M498="medium",1,0))=IF(Y498="high",2,IF(Y498="medium",1,0)),"SI และ Rate เท่ากัน",IF(IF(M498="high",2,IF(M498="medium",1,0))&gt;IF(Y498="high",2,IF(Y498="medium",1,0)),"SI","Rate"))</f>
        <v/>
      </c>
    </row>
    <row r="499">
      <c r="A499" t="inlineStr">
        <is>
          <t>zone_251</t>
        </is>
      </c>
      <c r="B499" t="inlineStr">
        <is>
          <t>คลองประปา - คันนายาว</t>
        </is>
      </c>
      <c r="C499" t="inlineStr">
        <is>
          <t>กรุงเทพมหานคร</t>
        </is>
      </c>
      <c r="D499" t="inlineStr">
        <is>
          <t>304</t>
        </is>
      </c>
      <c r="E499" t="inlineStr">
        <is>
          <t>ทล.</t>
        </is>
      </c>
      <c r="F499" t="inlineStr">
        <is>
          <t>15.034–15.93</t>
        </is>
      </c>
      <c r="G499" t="inlineStr">
        <is>
          <t>station_id 1 (ทล.304 กม.18+610)</t>
        </is>
      </c>
      <c r="H499" t="inlineStr">
        <is>
          <t>ทล. สถานีตัวแทนตอนควบคุม</t>
        </is>
      </c>
      <c r="I499" t="n">
        <v>3</v>
      </c>
      <c r="J499" t="n">
        <v>0</v>
      </c>
      <c r="K499" t="n">
        <v>0</v>
      </c>
      <c r="L499" s="5" t="n">
        <v>0</v>
      </c>
      <c r="M499" t="inlineStr">
        <is>
          <t>low</t>
        </is>
      </c>
      <c r="N499" s="6" t="n">
        <v>60135</v>
      </c>
      <c r="O499" s="6" t="n">
        <v>84838</v>
      </c>
      <c r="P499" s="6" t="n">
        <v>93205</v>
      </c>
      <c r="Q499" s="6">
        <f>AVERAGE(N499:P499)</f>
        <v/>
      </c>
      <c r="R499" t="n">
        <v>3</v>
      </c>
      <c r="S499" t="n">
        <v>1</v>
      </c>
      <c r="T499" s="7">
        <f>365*R499*Q499*S499/1000000</f>
        <v/>
      </c>
      <c r="U499" s="8">
        <f>I499/T499</f>
        <v/>
      </c>
      <c r="V499" s="8">
        <f>SUMIF($E$2:$E$599,E499,$I$2:$I$599)/SUMIF($E$2:$E$599,E499,$T$2:$T$599)</f>
        <v/>
      </c>
      <c r="W499" s="8">
        <f>V499+1.645*SQRT(V499/T499)+1/(2*T499)</f>
        <v/>
      </c>
      <c r="X499" s="5">
        <f>U499/W499</f>
        <v/>
      </c>
      <c r="Y499">
        <f>IF(U499&gt;W499,"high",IF(U499&gt;V499,"medium","low"))</f>
        <v/>
      </c>
      <c r="Z499">
        <f>CHOOSE(MAX(IF(M499="high",2,IF(M499="medium",1,0)),IF(Y499="high",2,IF(Y499="medium",1,0)))+1,"low","medium","high")</f>
        <v/>
      </c>
      <c r="AA499">
        <f>IF(IF(M499="high",2,IF(M499="medium",1,0))=IF(Y499="high",2,IF(Y499="medium",1,0)),"SI และ Rate เท่ากัน",IF(IF(M499="high",2,IF(M499="medium",1,0))&gt;IF(Y499="high",2,IF(Y499="medium",1,0)),"SI","Rate"))</f>
        <v/>
      </c>
    </row>
    <row r="500">
      <c r="A500" t="inlineStr">
        <is>
          <t>zone_273</t>
        </is>
      </c>
      <c r="B500" t="inlineStr">
        <is>
          <t>คลองประปา - คันนายาว</t>
        </is>
      </c>
      <c r="C500" t="inlineStr">
        <is>
          <t>กรุงเทพมหานคร</t>
        </is>
      </c>
      <c r="D500" t="inlineStr">
        <is>
          <t>304</t>
        </is>
      </c>
      <c r="E500" t="inlineStr">
        <is>
          <t>ทล.</t>
        </is>
      </c>
      <c r="F500" t="inlineStr">
        <is>
          <t>13.235–13.286</t>
        </is>
      </c>
      <c r="G500" t="inlineStr">
        <is>
          <t>station_id 1 (ทล.304 กม.18+610)</t>
        </is>
      </c>
      <c r="H500" t="inlineStr">
        <is>
          <t>ทล. สถานีตัวแทนตอนควบคุม</t>
        </is>
      </c>
      <c r="I500" t="n">
        <v>3</v>
      </c>
      <c r="J500" t="n">
        <v>0</v>
      </c>
      <c r="K500" t="n">
        <v>1</v>
      </c>
      <c r="L500" s="5" t="n">
        <v>0.3333</v>
      </c>
      <c r="M500" t="inlineStr">
        <is>
          <t>low</t>
        </is>
      </c>
      <c r="N500" s="6" t="n">
        <v>60135</v>
      </c>
      <c r="O500" s="6" t="n">
        <v>84838</v>
      </c>
      <c r="P500" s="6" t="n">
        <v>93205</v>
      </c>
      <c r="Q500" s="6">
        <f>AVERAGE(N500:P500)</f>
        <v/>
      </c>
      <c r="R500" t="n">
        <v>3</v>
      </c>
      <c r="S500" t="n">
        <v>1</v>
      </c>
      <c r="T500" s="7">
        <f>365*R500*Q500*S500/1000000</f>
        <v/>
      </c>
      <c r="U500" s="8">
        <f>I500/T500</f>
        <v/>
      </c>
      <c r="V500" s="8">
        <f>SUMIF($E$2:$E$599,E500,$I$2:$I$599)/SUMIF($E$2:$E$599,E500,$T$2:$T$599)</f>
        <v/>
      </c>
      <c r="W500" s="8">
        <f>V500+1.645*SQRT(V500/T500)+1/(2*T500)</f>
        <v/>
      </c>
      <c r="X500" s="5">
        <f>U500/W500</f>
        <v/>
      </c>
      <c r="Y500">
        <f>IF(U500&gt;W500,"high",IF(U500&gt;V500,"medium","low"))</f>
        <v/>
      </c>
      <c r="Z500">
        <f>CHOOSE(MAX(IF(M500="high",2,IF(M500="medium",1,0)),IF(Y500="high",2,IF(Y500="medium",1,0)))+1,"low","medium","high")</f>
        <v/>
      </c>
      <c r="AA500">
        <f>IF(IF(M500="high",2,IF(M500="medium",1,0))=IF(Y500="high",2,IF(Y500="medium",1,0)),"SI และ Rate เท่ากัน",IF(IF(M500="high",2,IF(M500="medium",1,0))&gt;IF(Y500="high",2,IF(Y500="medium",1,0)),"SI","Rate"))</f>
        <v/>
      </c>
    </row>
    <row r="501">
      <c r="A501" t="inlineStr">
        <is>
          <t>zone_312</t>
        </is>
      </c>
      <c r="B501" t="inlineStr">
        <is>
          <t>คลองประปา - คันนายาว</t>
        </is>
      </c>
      <c r="C501" t="inlineStr">
        <is>
          <t>กรุงเทพมหานคร</t>
        </is>
      </c>
      <c r="D501" t="inlineStr">
        <is>
          <t>304</t>
        </is>
      </c>
      <c r="E501" t="inlineStr">
        <is>
          <t>ทล.</t>
        </is>
      </c>
      <c r="F501" t="inlineStr">
        <is>
          <t>18.864–18.939</t>
        </is>
      </c>
      <c r="G501" t="inlineStr">
        <is>
          <t>station_id 1 (ทล.304 กม.18+610)</t>
        </is>
      </c>
      <c r="H501" t="inlineStr">
        <is>
          <t>ทล. สถานีตัวแทนตอนควบคุม</t>
        </is>
      </c>
      <c r="I501" t="n">
        <v>3</v>
      </c>
      <c r="J501" t="n">
        <v>0</v>
      </c>
      <c r="K501" t="n">
        <v>1</v>
      </c>
      <c r="L501" s="5" t="n">
        <v>0.3333</v>
      </c>
      <c r="M501" t="inlineStr">
        <is>
          <t>low</t>
        </is>
      </c>
      <c r="N501" s="6" t="n">
        <v>60135</v>
      </c>
      <c r="O501" s="6" t="n">
        <v>84838</v>
      </c>
      <c r="P501" s="6" t="n">
        <v>93205</v>
      </c>
      <c r="Q501" s="6">
        <f>AVERAGE(N501:P501)</f>
        <v/>
      </c>
      <c r="R501" t="n">
        <v>3</v>
      </c>
      <c r="S501" t="n">
        <v>1</v>
      </c>
      <c r="T501" s="7">
        <f>365*R501*Q501*S501/1000000</f>
        <v/>
      </c>
      <c r="U501" s="8">
        <f>I501/T501</f>
        <v/>
      </c>
      <c r="V501" s="8">
        <f>SUMIF($E$2:$E$599,E501,$I$2:$I$599)/SUMIF($E$2:$E$599,E501,$T$2:$T$599)</f>
        <v/>
      </c>
      <c r="W501" s="8">
        <f>V501+1.645*SQRT(V501/T501)+1/(2*T501)</f>
        <v/>
      </c>
      <c r="X501" s="5">
        <f>U501/W501</f>
        <v/>
      </c>
      <c r="Y501">
        <f>IF(U501&gt;W501,"high",IF(U501&gt;V501,"medium","low"))</f>
        <v/>
      </c>
      <c r="Z501">
        <f>CHOOSE(MAX(IF(M501="high",2,IF(M501="medium",1,0)),IF(Y501="high",2,IF(Y501="medium",1,0)))+1,"low","medium","high")</f>
        <v/>
      </c>
      <c r="AA501">
        <f>IF(IF(M501="high",2,IF(M501="medium",1,0))=IF(Y501="high",2,IF(Y501="medium",1,0)),"SI และ Rate เท่ากัน",IF(IF(M501="high",2,IF(M501="medium",1,0))&gt;IF(Y501="high",2,IF(Y501="medium",1,0)),"SI","Rate"))</f>
        <v/>
      </c>
    </row>
    <row r="502">
      <c r="A502" t="inlineStr">
        <is>
          <t>zone_339</t>
        </is>
      </c>
      <c r="B502" t="inlineStr">
        <is>
          <t>คลองบางไผ่ - คลองบางหลวง</t>
        </is>
      </c>
      <c r="C502" t="inlineStr">
        <is>
          <t>นนทบุรี</t>
        </is>
      </c>
      <c r="D502" t="inlineStr">
        <is>
          <t>9</t>
        </is>
      </c>
      <c r="E502" t="inlineStr">
        <is>
          <t>ทล.</t>
        </is>
      </c>
      <c r="F502" t="inlineStr">
        <is>
          <t>43.6–43.9</t>
        </is>
      </c>
      <c r="G502" t="inlineStr">
        <is>
          <t>station_id 107 (ทล.9 กม.47+744)</t>
        </is>
      </c>
      <c r="H502" t="inlineStr">
        <is>
          <t>ทล. สถานีตัวแทนตอนควบคุม</t>
        </is>
      </c>
      <c r="I502" t="n">
        <v>5</v>
      </c>
      <c r="J502" t="n">
        <v>0</v>
      </c>
      <c r="K502" t="n">
        <v>1</v>
      </c>
      <c r="L502" s="5" t="n">
        <v>0.2</v>
      </c>
      <c r="M502" t="inlineStr">
        <is>
          <t>low</t>
        </is>
      </c>
      <c r="N502" s="6" t="n">
        <v>142738</v>
      </c>
      <c r="O502" s="6" t="n">
        <v>149877</v>
      </c>
      <c r="P502" s="6" t="n">
        <v>155949</v>
      </c>
      <c r="Q502" s="6">
        <f>AVERAGE(N502:P502)</f>
        <v/>
      </c>
      <c r="R502" t="n">
        <v>3</v>
      </c>
      <c r="S502" t="n">
        <v>1</v>
      </c>
      <c r="T502" s="7">
        <f>365*R502*Q502*S502/1000000</f>
        <v/>
      </c>
      <c r="U502" s="8">
        <f>I502/T502</f>
        <v/>
      </c>
      <c r="V502" s="8">
        <f>SUMIF($E$2:$E$599,E502,$I$2:$I$599)/SUMIF($E$2:$E$599,E502,$T$2:$T$599)</f>
        <v/>
      </c>
      <c r="W502" s="8">
        <f>V502+1.645*SQRT(V502/T502)+1/(2*T502)</f>
        <v/>
      </c>
      <c r="X502" s="5">
        <f>U502/W502</f>
        <v/>
      </c>
      <c r="Y502">
        <f>IF(U502&gt;W502,"high",IF(U502&gt;V502,"medium","low"))</f>
        <v/>
      </c>
      <c r="Z502">
        <f>CHOOSE(MAX(IF(M502="high",2,IF(M502="medium",1,0)),IF(Y502="high",2,IF(Y502="medium",1,0)))+1,"low","medium","high")</f>
        <v/>
      </c>
      <c r="AA502">
        <f>IF(IF(M502="high",2,IF(M502="medium",1,0))=IF(Y502="high",2,IF(Y502="medium",1,0)),"SI และ Rate เท่ากัน",IF(IF(M502="high",2,IF(M502="medium",1,0))&gt;IF(Y502="high",2,IF(Y502="medium",1,0)),"SI","Rate"))</f>
        <v/>
      </c>
    </row>
    <row r="503">
      <c r="A503" t="inlineStr">
        <is>
          <t>zone_428</t>
        </is>
      </c>
      <c r="B503" t="inlineStr">
        <is>
          <t>คลองบางไผ่ - คลองบางหลวง</t>
        </is>
      </c>
      <c r="C503" t="inlineStr">
        <is>
          <t>ปทุมธานี</t>
        </is>
      </c>
      <c r="D503" t="inlineStr">
        <is>
          <t>9</t>
        </is>
      </c>
      <c r="E503" t="inlineStr">
        <is>
          <t>ทล.</t>
        </is>
      </c>
      <c r="F503" t="inlineStr">
        <is>
          <t>52.8–55.1</t>
        </is>
      </c>
      <c r="G503" t="inlineStr">
        <is>
          <t>station_id 107 (ทล.9 กม.47+744)</t>
        </is>
      </c>
      <c r="H503" t="inlineStr">
        <is>
          <t>ทล. สถานีตัวแทนตอนควบคุม</t>
        </is>
      </c>
      <c r="I503" t="n">
        <v>5</v>
      </c>
      <c r="J503" t="n">
        <v>1</v>
      </c>
      <c r="K503" t="n">
        <v>1</v>
      </c>
      <c r="L503" s="5" t="n">
        <v>0.4</v>
      </c>
      <c r="M503" t="inlineStr">
        <is>
          <t>low</t>
        </is>
      </c>
      <c r="N503" s="6" t="n">
        <v>142738</v>
      </c>
      <c r="O503" s="6" t="n">
        <v>149877</v>
      </c>
      <c r="P503" s="6" t="n">
        <v>155949</v>
      </c>
      <c r="Q503" s="6">
        <f>AVERAGE(N503:P503)</f>
        <v/>
      </c>
      <c r="R503" t="n">
        <v>3</v>
      </c>
      <c r="S503" t="n">
        <v>1</v>
      </c>
      <c r="T503" s="7">
        <f>365*R503*Q503*S503/1000000</f>
        <v/>
      </c>
      <c r="U503" s="8">
        <f>I503/T503</f>
        <v/>
      </c>
      <c r="V503" s="8">
        <f>SUMIF($E$2:$E$599,E503,$I$2:$I$599)/SUMIF($E$2:$E$599,E503,$T$2:$T$599)</f>
        <v/>
      </c>
      <c r="W503" s="8">
        <f>V503+1.645*SQRT(V503/T503)+1/(2*T503)</f>
        <v/>
      </c>
      <c r="X503" s="5">
        <f>U503/W503</f>
        <v/>
      </c>
      <c r="Y503">
        <f>IF(U503&gt;W503,"high",IF(U503&gt;V503,"medium","low"))</f>
        <v/>
      </c>
      <c r="Z503">
        <f>CHOOSE(MAX(IF(M503="high",2,IF(M503="medium",1,0)),IF(Y503="high",2,IF(Y503="medium",1,0)))+1,"low","medium","high")</f>
        <v/>
      </c>
      <c r="AA503">
        <f>IF(IF(M503="high",2,IF(M503="medium",1,0))=IF(Y503="high",2,IF(Y503="medium",1,0)),"SI และ Rate เท่ากัน",IF(IF(M503="high",2,IF(M503="medium",1,0))&gt;IF(Y503="high",2,IF(Y503="medium",1,0)),"SI","Rate"))</f>
        <v/>
      </c>
    </row>
    <row r="504">
      <c r="A504" t="inlineStr">
        <is>
          <t>zone_487</t>
        </is>
      </c>
      <c r="B504" t="inlineStr">
        <is>
          <t>แขวงรามอินทรา - บางพลี</t>
        </is>
      </c>
      <c r="C504" t="inlineStr">
        <is>
          <t>สมุทรปราการ</t>
        </is>
      </c>
      <c r="D504" t="inlineStr">
        <is>
          <t>9</t>
        </is>
      </c>
      <c r="E504" t="inlineStr">
        <is>
          <t>ทล.</t>
        </is>
      </c>
      <c r="F504" t="inlineStr">
        <is>
          <t>63.8–64</t>
        </is>
      </c>
      <c r="G504" t="inlineStr">
        <is>
          <t>station_id 348 (ทล.9 กม.59+500)</t>
        </is>
      </c>
      <c r="H504" t="inlineStr">
        <is>
          <t>ทล. สถานีตัวแทนตอนควบคุม</t>
        </is>
      </c>
      <c r="I504" t="n">
        <v>4</v>
      </c>
      <c r="J504" t="n">
        <v>0</v>
      </c>
      <c r="K504" t="n">
        <v>1</v>
      </c>
      <c r="L504" s="5" t="n">
        <v>0.25</v>
      </c>
      <c r="M504" t="inlineStr">
        <is>
          <t>low</t>
        </is>
      </c>
      <c r="N504" s="6" t="n">
        <v>110915</v>
      </c>
      <c r="O504" s="6" t="n">
        <v>117953</v>
      </c>
      <c r="P504" s="6" t="n">
        <v>117813</v>
      </c>
      <c r="Q504" s="6">
        <f>AVERAGE(N504:P504)</f>
        <v/>
      </c>
      <c r="R504" t="n">
        <v>3</v>
      </c>
      <c r="S504" t="n">
        <v>1</v>
      </c>
      <c r="T504" s="7">
        <f>365*R504*Q504*S504/1000000</f>
        <v/>
      </c>
      <c r="U504" s="8">
        <f>I504/T504</f>
        <v/>
      </c>
      <c r="V504" s="8">
        <f>SUMIF($E$2:$E$599,E504,$I$2:$I$599)/SUMIF($E$2:$E$599,E504,$T$2:$T$599)</f>
        <v/>
      </c>
      <c r="W504" s="8">
        <f>V504+1.645*SQRT(V504/T504)+1/(2*T504)</f>
        <v/>
      </c>
      <c r="X504" s="5">
        <f>U504/W504</f>
        <v/>
      </c>
      <c r="Y504">
        <f>IF(U504&gt;W504,"high",IF(U504&gt;V504,"medium","low"))</f>
        <v/>
      </c>
      <c r="Z504">
        <f>CHOOSE(MAX(IF(M504="high",2,IF(M504="medium",1,0)),IF(Y504="high",2,IF(Y504="medium",1,0)))+1,"low","medium","high")</f>
        <v/>
      </c>
      <c r="AA504">
        <f>IF(IF(M504="high",2,IF(M504="medium",1,0))=IF(Y504="high",2,IF(Y504="medium",1,0)),"SI และ Rate เท่ากัน",IF(IF(M504="high",2,IF(M504="medium",1,0))&gt;IF(Y504="high",2,IF(Y504="medium",1,0)),"SI","Rate"))</f>
        <v/>
      </c>
    </row>
    <row r="505">
      <c r="A505" t="inlineStr">
        <is>
          <t>zone_61</t>
        </is>
      </c>
      <c r="B505" t="inlineStr">
        <is>
          <t>ดาวคะนอง - แสมดำ</t>
        </is>
      </c>
      <c r="C505" t="inlineStr">
        <is>
          <t>กรุงเทพมหานคร</t>
        </is>
      </c>
      <c r="D505" t="inlineStr">
        <is>
          <t>35</t>
        </is>
      </c>
      <c r="E505" t="inlineStr">
        <is>
          <t>ทล.</t>
        </is>
      </c>
      <c r="F505" t="inlineStr">
        <is>
          <t>11.275–11.55</t>
        </is>
      </c>
      <c r="G505" t="inlineStr">
        <is>
          <t>station_id 127 (ทล.35 กม.6+500)</t>
        </is>
      </c>
      <c r="H505" t="inlineStr">
        <is>
          <t>ทล. สถานีตัวแทนตอนควบคุม</t>
        </is>
      </c>
      <c r="I505" t="n">
        <v>8</v>
      </c>
      <c r="J505" t="n">
        <v>0</v>
      </c>
      <c r="K505" t="n">
        <v>3</v>
      </c>
      <c r="L505" s="5" t="n">
        <v>0.375</v>
      </c>
      <c r="M505" t="inlineStr">
        <is>
          <t>low</t>
        </is>
      </c>
      <c r="N505" s="6" t="n">
        <v>256167</v>
      </c>
      <c r="O505" s="6" t="n">
        <v>260090</v>
      </c>
      <c r="P505" s="6" t="n">
        <v>259277</v>
      </c>
      <c r="Q505" s="6">
        <f>AVERAGE(N505:P505)</f>
        <v/>
      </c>
      <c r="R505" t="n">
        <v>3</v>
      </c>
      <c r="S505" t="n">
        <v>1</v>
      </c>
      <c r="T505" s="7">
        <f>365*R505*Q505*S505/1000000</f>
        <v/>
      </c>
      <c r="U505" s="8">
        <f>I505/T505</f>
        <v/>
      </c>
      <c r="V505" s="8">
        <f>SUMIF($E$2:$E$599,E505,$I$2:$I$599)/SUMIF($E$2:$E$599,E505,$T$2:$T$599)</f>
        <v/>
      </c>
      <c r="W505" s="8">
        <f>V505+1.645*SQRT(V505/T505)+1/(2*T505)</f>
        <v/>
      </c>
      <c r="X505" s="5">
        <f>U505/W505</f>
        <v/>
      </c>
      <c r="Y505">
        <f>IF(U505&gt;W505,"high",IF(U505&gt;V505,"medium","low"))</f>
        <v/>
      </c>
      <c r="Z505">
        <f>CHOOSE(MAX(IF(M505="high",2,IF(M505="medium",1,0)),IF(Y505="high",2,IF(Y505="medium",1,0)))+1,"low","medium","high")</f>
        <v/>
      </c>
      <c r="AA505">
        <f>IF(IF(M505="high",2,IF(M505="medium",1,0))=IF(Y505="high",2,IF(Y505="medium",1,0)),"SI และ Rate เท่ากัน",IF(IF(M505="high",2,IF(M505="medium",1,0))&gt;IF(Y505="high",2,IF(Y505="medium",1,0)),"SI","Rate"))</f>
        <v/>
      </c>
    </row>
    <row r="506">
      <c r="A506" t="inlineStr">
        <is>
          <t>zone_80</t>
        </is>
      </c>
      <c r="B506" t="inlineStr">
        <is>
          <t>รัชดาภิเษก - รามอินทรา</t>
        </is>
      </c>
      <c r="C506" t="inlineStr">
        <is>
          <t>กรุงเทพมหานคร</t>
        </is>
      </c>
      <c r="D506" t="inlineStr">
        <is>
          <t>350</t>
        </is>
      </c>
      <c r="E506" t="inlineStr">
        <is>
          <t>ทล.</t>
        </is>
      </c>
      <c r="F506" t="inlineStr">
        <is>
          <t>3.6–3.825</t>
        </is>
      </c>
      <c r="G506" t="inlineStr">
        <is>
          <t>station_id 8 (ทล.351 กม.4+700)</t>
        </is>
      </c>
      <c r="H506" t="inlineStr">
        <is>
          <t>ทล. สถานีตัวแทนตอนควบคุม</t>
        </is>
      </c>
      <c r="I506" t="n">
        <v>3</v>
      </c>
      <c r="J506" t="n">
        <v>0</v>
      </c>
      <c r="K506" t="n">
        <v>1</v>
      </c>
      <c r="L506" s="5" t="n">
        <v>0.3333</v>
      </c>
      <c r="M506" t="inlineStr">
        <is>
          <t>low</t>
        </is>
      </c>
      <c r="N506" s="6" t="n">
        <v>96826</v>
      </c>
      <c r="O506" s="6" t="n">
        <v>76671</v>
      </c>
      <c r="P506" s="6" t="n">
        <v>73453</v>
      </c>
      <c r="Q506" s="6">
        <f>AVERAGE(N506:P506)</f>
        <v/>
      </c>
      <c r="R506" t="n">
        <v>3</v>
      </c>
      <c r="S506" t="n">
        <v>1</v>
      </c>
      <c r="T506" s="7">
        <f>365*R506*Q506*S506/1000000</f>
        <v/>
      </c>
      <c r="U506" s="8">
        <f>I506/T506</f>
        <v/>
      </c>
      <c r="V506" s="8">
        <f>SUMIF($E$2:$E$599,E506,$I$2:$I$599)/SUMIF($E$2:$E$599,E506,$T$2:$T$599)</f>
        <v/>
      </c>
      <c r="W506" s="8">
        <f>V506+1.645*SQRT(V506/T506)+1/(2*T506)</f>
        <v/>
      </c>
      <c r="X506" s="5">
        <f>U506/W506</f>
        <v/>
      </c>
      <c r="Y506">
        <f>IF(U506&gt;W506,"high",IF(U506&gt;V506,"medium","low"))</f>
        <v/>
      </c>
      <c r="Z506">
        <f>CHOOSE(MAX(IF(M506="high",2,IF(M506="medium",1,0)),IF(Y506="high",2,IF(Y506="medium",1,0)))+1,"low","medium","high")</f>
        <v/>
      </c>
      <c r="AA506">
        <f>IF(IF(M506="high",2,IF(M506="medium",1,0))=IF(Y506="high",2,IF(Y506="medium",1,0)),"SI และ Rate เท่ากัน",IF(IF(M506="high",2,IF(M506="medium",1,0))&gt;IF(Y506="high",2,IF(Y506="medium",1,0)),"SI","Rate"))</f>
        <v/>
      </c>
    </row>
    <row r="507">
      <c r="A507" t="inlineStr">
        <is>
          <t>zone_112</t>
        </is>
      </c>
      <c r="B507" t="inlineStr">
        <is>
          <t>บางปะอิน - แขวงรามอินทรา</t>
        </is>
      </c>
      <c r="C507" t="inlineStr">
        <is>
          <t>กรุงเทพมหานคร</t>
        </is>
      </c>
      <c r="D507" t="inlineStr">
        <is>
          <t>9</t>
        </is>
      </c>
      <c r="E507" t="inlineStr">
        <is>
          <t>ทล.</t>
        </is>
      </c>
      <c r="F507" t="inlineStr">
        <is>
          <t>36.3–36.5</t>
        </is>
      </c>
      <c r="G507" t="inlineStr">
        <is>
          <t>station_id 347 (ทล.9 กม.1+500)</t>
        </is>
      </c>
      <c r="H507" t="inlineStr">
        <is>
          <t>ทล. สถานีตัวแทนตอนควบคุม</t>
        </is>
      </c>
      <c r="I507" t="n">
        <v>5</v>
      </c>
      <c r="J507" t="n">
        <v>0</v>
      </c>
      <c r="K507" t="n">
        <v>4</v>
      </c>
      <c r="L507" s="5" t="n">
        <v>0.8</v>
      </c>
      <c r="M507" t="inlineStr">
        <is>
          <t>low</t>
        </is>
      </c>
      <c r="N507" s="6" t="n">
        <v>146870</v>
      </c>
      <c r="O507" s="6" t="n">
        <v>165212</v>
      </c>
      <c r="P507" s="6" t="n">
        <v>160792</v>
      </c>
      <c r="Q507" s="6">
        <f>AVERAGE(N507:P507)</f>
        <v/>
      </c>
      <c r="R507" t="n">
        <v>3</v>
      </c>
      <c r="S507" t="n">
        <v>1</v>
      </c>
      <c r="T507" s="7">
        <f>365*R507*Q507*S507/1000000</f>
        <v/>
      </c>
      <c r="U507" s="8">
        <f>I507/T507</f>
        <v/>
      </c>
      <c r="V507" s="8">
        <f>SUMIF($E$2:$E$599,E507,$I$2:$I$599)/SUMIF($E$2:$E$599,E507,$T$2:$T$599)</f>
        <v/>
      </c>
      <c r="W507" s="8">
        <f>V507+1.645*SQRT(V507/T507)+1/(2*T507)</f>
        <v/>
      </c>
      <c r="X507" s="5">
        <f>U507/W507</f>
        <v/>
      </c>
      <c r="Y507">
        <f>IF(U507&gt;W507,"high",IF(U507&gt;V507,"medium","low"))</f>
        <v/>
      </c>
      <c r="Z507">
        <f>CHOOSE(MAX(IF(M507="high",2,IF(M507="medium",1,0)),IF(Y507="high",2,IF(Y507="medium",1,0)))+1,"low","medium","high")</f>
        <v/>
      </c>
      <c r="AA507">
        <f>IF(IF(M507="high",2,IF(M507="medium",1,0))=IF(Y507="high",2,IF(Y507="medium",1,0)),"SI และ Rate เท่ากัน",IF(IF(M507="high",2,IF(M507="medium",1,0))&gt;IF(Y507="high",2,IF(Y507="medium",1,0)),"SI","Rate"))</f>
        <v/>
      </c>
    </row>
    <row r="508">
      <c r="A508" t="inlineStr">
        <is>
          <t>zone_413</t>
        </is>
      </c>
      <c r="B508" t="inlineStr">
        <is>
          <t>บางปะอิน - แขวงรามอินทรา</t>
        </is>
      </c>
      <c r="C508" t="inlineStr">
        <is>
          <t>ปทุมธานี</t>
        </is>
      </c>
      <c r="D508" t="inlineStr">
        <is>
          <t>9</t>
        </is>
      </c>
      <c r="E508" t="inlineStr">
        <is>
          <t>ทล.</t>
        </is>
      </c>
      <c r="F508" t="inlineStr">
        <is>
          <t>13–13.2</t>
        </is>
      </c>
      <c r="G508" t="inlineStr">
        <is>
          <t>station_id 347 (ทล.9 กม.1+500)</t>
        </is>
      </c>
      <c r="H508" t="inlineStr">
        <is>
          <t>ทล. สถานีตัวแทนตอนควบคุม</t>
        </is>
      </c>
      <c r="I508" t="n">
        <v>5</v>
      </c>
      <c r="J508" t="n">
        <v>0</v>
      </c>
      <c r="K508" t="n">
        <v>2</v>
      </c>
      <c r="L508" s="5" t="n">
        <v>0.4</v>
      </c>
      <c r="M508" t="inlineStr">
        <is>
          <t>low</t>
        </is>
      </c>
      <c r="N508" s="6" t="n">
        <v>146870</v>
      </c>
      <c r="O508" s="6" t="n">
        <v>165212</v>
      </c>
      <c r="P508" s="6" t="n">
        <v>160792</v>
      </c>
      <c r="Q508" s="6">
        <f>AVERAGE(N508:P508)</f>
        <v/>
      </c>
      <c r="R508" t="n">
        <v>3</v>
      </c>
      <c r="S508" t="n">
        <v>1</v>
      </c>
      <c r="T508" s="7">
        <f>365*R508*Q508*S508/1000000</f>
        <v/>
      </c>
      <c r="U508" s="8">
        <f>I508/T508</f>
        <v/>
      </c>
      <c r="V508" s="8">
        <f>SUMIF($E$2:$E$599,E508,$I$2:$I$599)/SUMIF($E$2:$E$599,E508,$T$2:$T$599)</f>
        <v/>
      </c>
      <c r="W508" s="8">
        <f>V508+1.645*SQRT(V508/T508)+1/(2*T508)</f>
        <v/>
      </c>
      <c r="X508" s="5">
        <f>U508/W508</f>
        <v/>
      </c>
      <c r="Y508">
        <f>IF(U508&gt;W508,"high",IF(U508&gt;V508,"medium","low"))</f>
        <v/>
      </c>
      <c r="Z508">
        <f>CHOOSE(MAX(IF(M508="high",2,IF(M508="medium",1,0)),IF(Y508="high",2,IF(Y508="medium",1,0)))+1,"low","medium","high")</f>
        <v/>
      </c>
      <c r="AA508">
        <f>IF(IF(M508="high",2,IF(M508="medium",1,0))=IF(Y508="high",2,IF(Y508="medium",1,0)),"SI และ Rate เท่ากัน",IF(IF(M508="high",2,IF(M508="medium",1,0))&gt;IF(Y508="high",2,IF(Y508="medium",1,0)),"SI","Rate"))</f>
        <v/>
      </c>
    </row>
    <row r="509">
      <c r="A509" t="inlineStr">
        <is>
          <t>zone_414</t>
        </is>
      </c>
      <c r="B509" t="inlineStr">
        <is>
          <t>บางปะอิน - แขวงรามอินทรา</t>
        </is>
      </c>
      <c r="C509" t="inlineStr">
        <is>
          <t>ปทุมธานี</t>
        </is>
      </c>
      <c r="D509" t="inlineStr">
        <is>
          <t>9</t>
        </is>
      </c>
      <c r="E509" t="inlineStr">
        <is>
          <t>ทล.</t>
        </is>
      </c>
      <c r="F509" t="inlineStr">
        <is>
          <t>12.7–13</t>
        </is>
      </c>
      <c r="G509" t="inlineStr">
        <is>
          <t>station_id 347 (ทล.9 กม.1+500)</t>
        </is>
      </c>
      <c r="H509" t="inlineStr">
        <is>
          <t>ทล. สถานีตัวแทนตอนควบคุม</t>
        </is>
      </c>
      <c r="I509" t="n">
        <v>5</v>
      </c>
      <c r="J509" t="n">
        <v>0</v>
      </c>
      <c r="K509" t="n">
        <v>3</v>
      </c>
      <c r="L509" s="5" t="n">
        <v>0.6</v>
      </c>
      <c r="M509" t="inlineStr">
        <is>
          <t>low</t>
        </is>
      </c>
      <c r="N509" s="6" t="n">
        <v>146870</v>
      </c>
      <c r="O509" s="6" t="n">
        <v>165212</v>
      </c>
      <c r="P509" s="6" t="n">
        <v>160792</v>
      </c>
      <c r="Q509" s="6">
        <f>AVERAGE(N509:P509)</f>
        <v/>
      </c>
      <c r="R509" t="n">
        <v>3</v>
      </c>
      <c r="S509" t="n">
        <v>1</v>
      </c>
      <c r="T509" s="7">
        <f>365*R509*Q509*S509/1000000</f>
        <v/>
      </c>
      <c r="U509" s="8">
        <f>I509/T509</f>
        <v/>
      </c>
      <c r="V509" s="8">
        <f>SUMIF($E$2:$E$599,E509,$I$2:$I$599)/SUMIF($E$2:$E$599,E509,$T$2:$T$599)</f>
        <v/>
      </c>
      <c r="W509" s="8">
        <f>V509+1.645*SQRT(V509/T509)+1/(2*T509)</f>
        <v/>
      </c>
      <c r="X509" s="5">
        <f>U509/W509</f>
        <v/>
      </c>
      <c r="Y509">
        <f>IF(U509&gt;W509,"high",IF(U509&gt;V509,"medium","low"))</f>
        <v/>
      </c>
      <c r="Z509">
        <f>CHOOSE(MAX(IF(M509="high",2,IF(M509="medium",1,0)),IF(Y509="high",2,IF(Y509="medium",1,0)))+1,"low","medium","high")</f>
        <v/>
      </c>
      <c r="AA509">
        <f>IF(IF(M509="high",2,IF(M509="medium",1,0))=IF(Y509="high",2,IF(Y509="medium",1,0)),"SI และ Rate เท่ากัน",IF(IF(M509="high",2,IF(M509="medium",1,0))&gt;IF(Y509="high",2,IF(Y509="medium",1,0)),"SI","Rate"))</f>
        <v/>
      </c>
    </row>
    <row r="510">
      <c r="A510" t="inlineStr">
        <is>
          <t>zone_416</t>
        </is>
      </c>
      <c r="B510" t="inlineStr">
        <is>
          <t>บางปะอิน - แขวงรามอินทรา</t>
        </is>
      </c>
      <c r="C510" t="inlineStr">
        <is>
          <t>ปทุมธานี</t>
        </is>
      </c>
      <c r="D510" t="inlineStr">
        <is>
          <t>9</t>
        </is>
      </c>
      <c r="E510" t="inlineStr">
        <is>
          <t>ทล.</t>
        </is>
      </c>
      <c r="F510" t="inlineStr">
        <is>
          <t>8.3–8.55</t>
        </is>
      </c>
      <c r="G510" t="inlineStr">
        <is>
          <t>station_id 347 (ทล.9 กม.1+500)</t>
        </is>
      </c>
      <c r="H510" t="inlineStr">
        <is>
          <t>ทล. สถานีตัวแทนตอนควบคุม</t>
        </is>
      </c>
      <c r="I510" t="n">
        <v>5</v>
      </c>
      <c r="J510" t="n">
        <v>1</v>
      </c>
      <c r="K510" t="n">
        <v>1</v>
      </c>
      <c r="L510" s="5" t="n">
        <v>0.4</v>
      </c>
      <c r="M510" t="inlineStr">
        <is>
          <t>low</t>
        </is>
      </c>
      <c r="N510" s="6" t="n">
        <v>146870</v>
      </c>
      <c r="O510" s="6" t="n">
        <v>165212</v>
      </c>
      <c r="P510" s="6" t="n">
        <v>160792</v>
      </c>
      <c r="Q510" s="6">
        <f>AVERAGE(N510:P510)</f>
        <v/>
      </c>
      <c r="R510" t="n">
        <v>3</v>
      </c>
      <c r="S510" t="n">
        <v>1</v>
      </c>
      <c r="T510" s="7">
        <f>365*R510*Q510*S510/1000000</f>
        <v/>
      </c>
      <c r="U510" s="8">
        <f>I510/T510</f>
        <v/>
      </c>
      <c r="V510" s="8">
        <f>SUMIF($E$2:$E$599,E510,$I$2:$I$599)/SUMIF($E$2:$E$599,E510,$T$2:$T$599)</f>
        <v/>
      </c>
      <c r="W510" s="8">
        <f>V510+1.645*SQRT(V510/T510)+1/(2*T510)</f>
        <v/>
      </c>
      <c r="X510" s="5">
        <f>U510/W510</f>
        <v/>
      </c>
      <c r="Y510">
        <f>IF(U510&gt;W510,"high",IF(U510&gt;V510,"medium","low"))</f>
        <v/>
      </c>
      <c r="Z510">
        <f>CHOOSE(MAX(IF(M510="high",2,IF(M510="medium",1,0)),IF(Y510="high",2,IF(Y510="medium",1,0)))+1,"low","medium","high")</f>
        <v/>
      </c>
      <c r="AA510">
        <f>IF(IF(M510="high",2,IF(M510="medium",1,0))=IF(Y510="high",2,IF(Y510="medium",1,0)),"SI และ Rate เท่ากัน",IF(IF(M510="high",2,IF(M510="medium",1,0))&gt;IF(Y510="high",2,IF(Y510="medium",1,0)),"SI","Rate"))</f>
        <v/>
      </c>
    </row>
    <row r="511">
      <c r="A511" t="inlineStr">
        <is>
          <t>zone_425</t>
        </is>
      </c>
      <c r="B511" t="inlineStr">
        <is>
          <t>บางปะอิน - แขวงรามอินทรา</t>
        </is>
      </c>
      <c r="C511" t="inlineStr">
        <is>
          <t>ปทุมธานี</t>
        </is>
      </c>
      <c r="D511" t="inlineStr">
        <is>
          <t>9</t>
        </is>
      </c>
      <c r="E511" t="inlineStr">
        <is>
          <t>ทล.</t>
        </is>
      </c>
      <c r="F511" t="inlineStr">
        <is>
          <t>10.2–10.5</t>
        </is>
      </c>
      <c r="G511" t="inlineStr">
        <is>
          <t>station_id 347 (ทล.9 กม.1+500)</t>
        </is>
      </c>
      <c r="H511" t="inlineStr">
        <is>
          <t>ทล. สถานีตัวแทนตอนควบคุม</t>
        </is>
      </c>
      <c r="I511" t="n">
        <v>5</v>
      </c>
      <c r="J511" t="n">
        <v>0</v>
      </c>
      <c r="K511" t="n">
        <v>4</v>
      </c>
      <c r="L511" s="5" t="n">
        <v>0.8</v>
      </c>
      <c r="M511" t="inlineStr">
        <is>
          <t>low</t>
        </is>
      </c>
      <c r="N511" s="6" t="n">
        <v>146870</v>
      </c>
      <c r="O511" s="6" t="n">
        <v>165212</v>
      </c>
      <c r="P511" s="6" t="n">
        <v>160792</v>
      </c>
      <c r="Q511" s="6">
        <f>AVERAGE(N511:P511)</f>
        <v/>
      </c>
      <c r="R511" t="n">
        <v>3</v>
      </c>
      <c r="S511" t="n">
        <v>1</v>
      </c>
      <c r="T511" s="7">
        <f>365*R511*Q511*S511/1000000</f>
        <v/>
      </c>
      <c r="U511" s="8">
        <f>I511/T511</f>
        <v/>
      </c>
      <c r="V511" s="8">
        <f>SUMIF($E$2:$E$599,E511,$I$2:$I$599)/SUMIF($E$2:$E$599,E511,$T$2:$T$599)</f>
        <v/>
      </c>
      <c r="W511" s="8">
        <f>V511+1.645*SQRT(V511/T511)+1/(2*T511)</f>
        <v/>
      </c>
      <c r="X511" s="5">
        <f>U511/W511</f>
        <v/>
      </c>
      <c r="Y511">
        <f>IF(U511&gt;W511,"high",IF(U511&gt;V511,"medium","low"))</f>
        <v/>
      </c>
      <c r="Z511">
        <f>CHOOSE(MAX(IF(M511="high",2,IF(M511="medium",1,0)),IF(Y511="high",2,IF(Y511="medium",1,0)))+1,"low","medium","high")</f>
        <v/>
      </c>
      <c r="AA511">
        <f>IF(IF(M511="high",2,IF(M511="medium",1,0))=IF(Y511="high",2,IF(Y511="medium",1,0)),"SI และ Rate เท่ากัน",IF(IF(M511="high",2,IF(M511="medium",1,0))&gt;IF(Y511="high",2,IF(Y511="medium",1,0)),"SI","Rate"))</f>
        <v/>
      </c>
    </row>
    <row r="512">
      <c r="A512" t="inlineStr">
        <is>
          <t>zone_310</t>
        </is>
      </c>
      <c r="B512" t="inlineStr">
        <is>
          <t>พญาไท-ศรีนครินทร์</t>
        </is>
      </c>
      <c r="C512" t="inlineStr">
        <is>
          <t>กรุงเทพมหานคร</t>
        </is>
      </c>
      <c r="D512" t="inlineStr">
        <is>
          <t>E002S016|I</t>
        </is>
      </c>
      <c r="E512" t="inlineStr">
        <is>
          <t>กทพ.</t>
        </is>
      </c>
      <c r="F512" t="inlineStr">
        <is>
          <t>9–9.3</t>
        </is>
      </c>
      <c r="G512" t="inlineStr">
        <is>
          <t>ศรีรัช</t>
        </is>
      </c>
      <c r="H512" t="inlineStr">
        <is>
          <t>กทพ. ยอดผ่านด่านทั้งสาย ÷ 365</t>
        </is>
      </c>
      <c r="I512" t="n">
        <v>3</v>
      </c>
      <c r="J512" t="n">
        <v>0</v>
      </c>
      <c r="K512" t="n">
        <v>1</v>
      </c>
      <c r="L512" s="5" t="n">
        <v>0.3333</v>
      </c>
      <c r="M512" t="inlineStr">
        <is>
          <t>low</t>
        </is>
      </c>
      <c r="N512" s="6" t="n">
        <v>613083.1506849315</v>
      </c>
      <c r="O512" s="6" t="n">
        <v>601127.7068493151</v>
      </c>
      <c r="P512" s="6" t="n">
        <v>607857.5287671232</v>
      </c>
      <c r="Q512" s="6">
        <f>AVERAGE(N512:P512)</f>
        <v/>
      </c>
      <c r="R512" t="n">
        <v>3</v>
      </c>
      <c r="S512" t="n">
        <v>1</v>
      </c>
      <c r="T512" s="7">
        <f>365*R512*Q512*S512/1000000</f>
        <v/>
      </c>
      <c r="U512" s="8">
        <f>I512/T512</f>
        <v/>
      </c>
      <c r="V512" s="8">
        <f>SUMIF($E$2:$E$599,E512,$I$2:$I$599)/SUMIF($E$2:$E$599,E512,$T$2:$T$599)</f>
        <v/>
      </c>
      <c r="W512" s="8">
        <f>V512+1.645*SQRT(V512/T512)+1/(2*T512)</f>
        <v/>
      </c>
      <c r="X512" s="5">
        <f>U512/W512</f>
        <v/>
      </c>
      <c r="Y512">
        <f>IF(U512&gt;W512,"high",IF(U512&gt;V512,"medium","low"))</f>
        <v/>
      </c>
      <c r="Z512">
        <f>CHOOSE(MAX(IF(M512="high",2,IF(M512="medium",1,0)),IF(Y512="high",2,IF(Y512="medium",1,0)))+1,"low","medium","high")</f>
        <v/>
      </c>
      <c r="AA512">
        <f>IF(IF(M512="high",2,IF(M512="medium",1,0))=IF(Y512="high",2,IF(Y512="medium",1,0)),"SI และ Rate เท่ากัน",IF(IF(M512="high",2,IF(M512="medium",1,0))&gt;IF(Y512="high",2,IF(Y512="medium",1,0)),"SI","Rate"))</f>
        <v/>
      </c>
    </row>
    <row r="513">
      <c r="A513" t="inlineStr">
        <is>
          <t>zone_131</t>
        </is>
      </c>
      <c r="B513" t="inlineStr">
        <is>
          <t>พระประแดง - บางแค</t>
        </is>
      </c>
      <c r="C513" t="inlineStr">
        <is>
          <t>กรุงเทพมหานคร</t>
        </is>
      </c>
      <c r="D513" t="inlineStr">
        <is>
          <t>9</t>
        </is>
      </c>
      <c r="E513" t="inlineStr">
        <is>
          <t>ทล.</t>
        </is>
      </c>
      <c r="F513" t="inlineStr">
        <is>
          <t>12.6–13.7</t>
        </is>
      </c>
      <c r="G513" t="inlineStr">
        <is>
          <t>station_id 123 (ทล.9 กม.20+430)</t>
        </is>
      </c>
      <c r="H513" t="inlineStr">
        <is>
          <t>ทล. สถานีตัวแทนตอนควบคุม</t>
        </is>
      </c>
      <c r="I513" t="n">
        <v>5</v>
      </c>
      <c r="J513" t="n">
        <v>0</v>
      </c>
      <c r="K513" t="n">
        <v>3</v>
      </c>
      <c r="L513" s="5" t="n">
        <v>0.6</v>
      </c>
      <c r="M513" t="inlineStr">
        <is>
          <t>low</t>
        </is>
      </c>
      <c r="N513" s="6" t="n">
        <v>161583</v>
      </c>
      <c r="O513" s="6" t="n">
        <v>167210</v>
      </c>
      <c r="P513" s="6" t="n">
        <v>164129</v>
      </c>
      <c r="Q513" s="6">
        <f>AVERAGE(N513:P513)</f>
        <v/>
      </c>
      <c r="R513" t="n">
        <v>3</v>
      </c>
      <c r="S513" t="n">
        <v>1</v>
      </c>
      <c r="T513" s="7">
        <f>365*R513*Q513*S513/1000000</f>
        <v/>
      </c>
      <c r="U513" s="8">
        <f>I513/T513</f>
        <v/>
      </c>
      <c r="V513" s="8">
        <f>SUMIF($E$2:$E$599,E513,$I$2:$I$599)/SUMIF($E$2:$E$599,E513,$T$2:$T$599)</f>
        <v/>
      </c>
      <c r="W513" s="8">
        <f>V513+1.645*SQRT(V513/T513)+1/(2*T513)</f>
        <v/>
      </c>
      <c r="X513" s="5">
        <f>U513/W513</f>
        <v/>
      </c>
      <c r="Y513">
        <f>IF(U513&gt;W513,"high",IF(U513&gt;V513,"medium","low"))</f>
        <v/>
      </c>
      <c r="Z513">
        <f>CHOOSE(MAX(IF(M513="high",2,IF(M513="medium",1,0)),IF(Y513="high",2,IF(Y513="medium",1,0)))+1,"low","medium","high")</f>
        <v/>
      </c>
      <c r="AA513">
        <f>IF(IF(M513="high",2,IF(M513="medium",1,0))=IF(Y513="high",2,IF(Y513="medium",1,0)),"SI และ Rate เท่ากัน",IF(IF(M513="high",2,IF(M513="medium",1,0))&gt;IF(Y513="high",2,IF(Y513="medium",1,0)),"SI","Rate"))</f>
        <v/>
      </c>
    </row>
    <row r="514">
      <c r="A514" t="inlineStr">
        <is>
          <t>zone_158</t>
        </is>
      </c>
      <c r="B514" t="inlineStr">
        <is>
          <t>บางแค - คลองมหาสวัสดิ์</t>
        </is>
      </c>
      <c r="C514" t="inlineStr">
        <is>
          <t>กรุงเทพมหานคร</t>
        </is>
      </c>
      <c r="D514" t="inlineStr">
        <is>
          <t>9</t>
        </is>
      </c>
      <c r="E514" t="inlineStr">
        <is>
          <t>ทล.</t>
        </is>
      </c>
      <c r="F514" t="inlineStr">
        <is>
          <t>22.3–22.5</t>
        </is>
      </c>
      <c r="G514" t="inlineStr">
        <is>
          <t>station_id 123 (ทล.9 กม.20+430)</t>
        </is>
      </c>
      <c r="H514" t="inlineStr">
        <is>
          <t>ทล. สถานีตัวแทนตอนควบคุม</t>
        </is>
      </c>
      <c r="I514" t="n">
        <v>5</v>
      </c>
      <c r="J514" t="n">
        <v>1</v>
      </c>
      <c r="K514" t="n">
        <v>1</v>
      </c>
      <c r="L514" s="5" t="n">
        <v>0.4</v>
      </c>
      <c r="M514" t="inlineStr">
        <is>
          <t>low</t>
        </is>
      </c>
      <c r="N514" s="6" t="n">
        <v>161583</v>
      </c>
      <c r="O514" s="6" t="n">
        <v>167210</v>
      </c>
      <c r="P514" s="6" t="n">
        <v>164129</v>
      </c>
      <c r="Q514" s="6">
        <f>AVERAGE(N514:P514)</f>
        <v/>
      </c>
      <c r="R514" t="n">
        <v>3</v>
      </c>
      <c r="S514" t="n">
        <v>1</v>
      </c>
      <c r="T514" s="7">
        <f>365*R514*Q514*S514/1000000</f>
        <v/>
      </c>
      <c r="U514" s="8">
        <f>I514/T514</f>
        <v/>
      </c>
      <c r="V514" s="8">
        <f>SUMIF($E$2:$E$599,E514,$I$2:$I$599)/SUMIF($E$2:$E$599,E514,$T$2:$T$599)</f>
        <v/>
      </c>
      <c r="W514" s="8">
        <f>V514+1.645*SQRT(V514/T514)+1/(2*T514)</f>
        <v/>
      </c>
      <c r="X514" s="5">
        <f>U514/W514</f>
        <v/>
      </c>
      <c r="Y514">
        <f>IF(U514&gt;W514,"high",IF(U514&gt;V514,"medium","low"))</f>
        <v/>
      </c>
      <c r="Z514">
        <f>CHOOSE(MAX(IF(M514="high",2,IF(M514="medium",1,0)),IF(Y514="high",2,IF(Y514="medium",1,0)))+1,"low","medium","high")</f>
        <v/>
      </c>
      <c r="AA514">
        <f>IF(IF(M514="high",2,IF(M514="medium",1,0))=IF(Y514="high",2,IF(Y514="medium",1,0)),"SI และ Rate เท่ากัน",IF(IF(M514="high",2,IF(M514="medium",1,0))&gt;IF(Y514="high",2,IF(Y514="medium",1,0)),"SI","Rate"))</f>
        <v/>
      </c>
    </row>
    <row r="515">
      <c r="A515" t="inlineStr">
        <is>
          <t>zone_145</t>
        </is>
      </c>
      <c r="B515" t="inlineStr">
        <is>
          <t>แขวงคลองสองต้นนุ่น - พิมพา</t>
        </is>
      </c>
      <c r="C515" t="inlineStr">
        <is>
          <t>สมุทรปราการ</t>
        </is>
      </c>
      <c r="D515" t="inlineStr">
        <is>
          <t>7</t>
        </is>
      </c>
      <c r="E515" t="inlineStr">
        <is>
          <t>ทล.</t>
        </is>
      </c>
      <c r="F515" t="inlineStr">
        <is>
          <t>22.6–22.8</t>
        </is>
      </c>
      <c r="G515" t="inlineStr">
        <is>
          <t>station_id 345 (ทล.7 กม.17+000)</t>
        </is>
      </c>
      <c r="H515" t="inlineStr">
        <is>
          <t>ทล. สถานีตัวแทนตอนควบคุม</t>
        </is>
      </c>
      <c r="I515" t="n">
        <v>7</v>
      </c>
      <c r="J515" t="n">
        <v>0</v>
      </c>
      <c r="K515" t="n">
        <v>2</v>
      </c>
      <c r="L515" s="5" t="n">
        <v>0.2857</v>
      </c>
      <c r="M515" t="inlineStr">
        <is>
          <t>low</t>
        </is>
      </c>
      <c r="N515" s="6" t="n">
        <v>220901</v>
      </c>
      <c r="O515" s="6" t="n">
        <v>242192</v>
      </c>
      <c r="P515" s="6" t="n">
        <v>262343</v>
      </c>
      <c r="Q515" s="6">
        <f>AVERAGE(N515:P515)</f>
        <v/>
      </c>
      <c r="R515" t="n">
        <v>3</v>
      </c>
      <c r="S515" t="n">
        <v>1</v>
      </c>
      <c r="T515" s="7">
        <f>365*R515*Q515*S515/1000000</f>
        <v/>
      </c>
      <c r="U515" s="8">
        <f>I515/T515</f>
        <v/>
      </c>
      <c r="V515" s="8">
        <f>SUMIF($E$2:$E$599,E515,$I$2:$I$599)/SUMIF($E$2:$E$599,E515,$T$2:$T$599)</f>
        <v/>
      </c>
      <c r="W515" s="8">
        <f>V515+1.645*SQRT(V515/T515)+1/(2*T515)</f>
        <v/>
      </c>
      <c r="X515" s="5">
        <f>U515/W515</f>
        <v/>
      </c>
      <c r="Y515">
        <f>IF(U515&gt;W515,"high",IF(U515&gt;V515,"medium","low"))</f>
        <v/>
      </c>
      <c r="Z515">
        <f>CHOOSE(MAX(IF(M515="high",2,IF(M515="medium",1,0)),IF(Y515="high",2,IF(Y515="medium",1,0)))+1,"low","medium","high")</f>
        <v/>
      </c>
      <c r="AA515">
        <f>IF(IF(M515="high",2,IF(M515="medium",1,0))=IF(Y515="high",2,IF(Y515="medium",1,0)),"SI และ Rate เท่ากัน",IF(IF(M515="high",2,IF(M515="medium",1,0))&gt;IF(Y515="high",2,IF(Y515="medium",1,0)),"SI","Rate"))</f>
        <v/>
      </c>
    </row>
    <row r="516">
      <c r="A516" t="inlineStr">
        <is>
          <t>zone_457</t>
        </is>
      </c>
      <c r="B516" t="inlineStr">
        <is>
          <t>แขวงคลองสองต้นนุ่น - พิมพา</t>
        </is>
      </c>
      <c r="C516" t="inlineStr">
        <is>
          <t>สมุทรปราการ</t>
        </is>
      </c>
      <c r="D516" t="inlineStr">
        <is>
          <t>7</t>
        </is>
      </c>
      <c r="E516" t="inlineStr">
        <is>
          <t>ทล.</t>
        </is>
      </c>
      <c r="F516" t="inlineStr">
        <is>
          <t>34–34.4</t>
        </is>
      </c>
      <c r="G516" t="inlineStr">
        <is>
          <t>station_id 345 (ทล.7 กม.17+000)</t>
        </is>
      </c>
      <c r="H516" t="inlineStr">
        <is>
          <t>ทล. สถานีตัวแทนตอนควบคุม</t>
        </is>
      </c>
      <c r="I516" t="n">
        <v>7</v>
      </c>
      <c r="J516" t="n">
        <v>0</v>
      </c>
      <c r="K516" t="n">
        <v>2</v>
      </c>
      <c r="L516" s="5" t="n">
        <v>0.2857</v>
      </c>
      <c r="M516" t="inlineStr">
        <is>
          <t>low</t>
        </is>
      </c>
      <c r="N516" s="6" t="n">
        <v>220901</v>
      </c>
      <c r="O516" s="6" t="n">
        <v>242192</v>
      </c>
      <c r="P516" s="6" t="n">
        <v>262343</v>
      </c>
      <c r="Q516" s="6">
        <f>AVERAGE(N516:P516)</f>
        <v/>
      </c>
      <c r="R516" t="n">
        <v>3</v>
      </c>
      <c r="S516" t="n">
        <v>1</v>
      </c>
      <c r="T516" s="7">
        <f>365*R516*Q516*S516/1000000</f>
        <v/>
      </c>
      <c r="U516" s="8">
        <f>I516/T516</f>
        <v/>
      </c>
      <c r="V516" s="8">
        <f>SUMIF($E$2:$E$599,E516,$I$2:$I$599)/SUMIF($E$2:$E$599,E516,$T$2:$T$599)</f>
        <v/>
      </c>
      <c r="W516" s="8">
        <f>V516+1.645*SQRT(V516/T516)+1/(2*T516)</f>
        <v/>
      </c>
      <c r="X516" s="5">
        <f>U516/W516</f>
        <v/>
      </c>
      <c r="Y516">
        <f>IF(U516&gt;W516,"high",IF(U516&gt;V516,"medium","low"))</f>
        <v/>
      </c>
      <c r="Z516">
        <f>CHOOSE(MAX(IF(M516="high",2,IF(M516="medium",1,0)),IF(Y516="high",2,IF(Y516="medium",1,0)))+1,"low","medium","high")</f>
        <v/>
      </c>
      <c r="AA516">
        <f>IF(IF(M516="high",2,IF(M516="medium",1,0))=IF(Y516="high",2,IF(Y516="medium",1,0)),"SI และ Rate เท่ากัน",IF(IF(M516="high",2,IF(M516="medium",1,0))&gt;IF(Y516="high",2,IF(Y516="medium",1,0)),"SI","Rate"))</f>
        <v/>
      </c>
    </row>
    <row r="517">
      <c r="A517" t="inlineStr">
        <is>
          <t>zone_498</t>
        </is>
      </c>
      <c r="B517" t="inlineStr">
        <is>
          <t>แขวงคลองสองต้นนุ่น - พิมพา</t>
        </is>
      </c>
      <c r="C517" t="inlineStr">
        <is>
          <t>สมุทรปราการ</t>
        </is>
      </c>
      <c r="D517" t="inlineStr">
        <is>
          <t>7</t>
        </is>
      </c>
      <c r="E517" t="inlineStr">
        <is>
          <t>ทล.</t>
        </is>
      </c>
      <c r="F517" t="inlineStr">
        <is>
          <t>38.2–38.6</t>
        </is>
      </c>
      <c r="G517" t="inlineStr">
        <is>
          <t>station_id 345 (ทล.7 กม.17+000)</t>
        </is>
      </c>
      <c r="H517" t="inlineStr">
        <is>
          <t>ทล. สถานีตัวแทนตอนควบคุม</t>
        </is>
      </c>
      <c r="I517" t="n">
        <v>7</v>
      </c>
      <c r="J517" t="n">
        <v>0</v>
      </c>
      <c r="K517" t="n">
        <v>5</v>
      </c>
      <c r="L517" s="5" t="n">
        <v>0.7143</v>
      </c>
      <c r="M517" t="inlineStr">
        <is>
          <t>low</t>
        </is>
      </c>
      <c r="N517" s="6" t="n">
        <v>220901</v>
      </c>
      <c r="O517" s="6" t="n">
        <v>242192</v>
      </c>
      <c r="P517" s="6" t="n">
        <v>262343</v>
      </c>
      <c r="Q517" s="6">
        <f>AVERAGE(N517:P517)</f>
        <v/>
      </c>
      <c r="R517" t="n">
        <v>3</v>
      </c>
      <c r="S517" t="n">
        <v>1</v>
      </c>
      <c r="T517" s="7">
        <f>365*R517*Q517*S517/1000000</f>
        <v/>
      </c>
      <c r="U517" s="8">
        <f>I517/T517</f>
        <v/>
      </c>
      <c r="V517" s="8">
        <f>SUMIF($E$2:$E$599,E517,$I$2:$I$599)/SUMIF($E$2:$E$599,E517,$T$2:$T$599)</f>
        <v/>
      </c>
      <c r="W517" s="8">
        <f>V517+1.645*SQRT(V517/T517)+1/(2*T517)</f>
        <v/>
      </c>
      <c r="X517" s="5">
        <f>U517/W517</f>
        <v/>
      </c>
      <c r="Y517">
        <f>IF(U517&gt;W517,"high",IF(U517&gt;V517,"medium","low"))</f>
        <v/>
      </c>
      <c r="Z517">
        <f>CHOOSE(MAX(IF(M517="high",2,IF(M517="medium",1,0)),IF(Y517="high",2,IF(Y517="medium",1,0)))+1,"low","medium","high")</f>
        <v/>
      </c>
      <c r="AA517">
        <f>IF(IF(M517="high",2,IF(M517="medium",1,0))=IF(Y517="high",2,IF(Y517="medium",1,0)),"SI และ Rate เท่ากัน",IF(IF(M517="high",2,IF(M517="medium",1,0))&gt;IF(Y517="high",2,IF(Y517="medium",1,0)),"SI","Rate"))</f>
        <v/>
      </c>
    </row>
    <row r="518">
      <c r="A518" t="inlineStr">
        <is>
          <t>zone_477</t>
        </is>
      </c>
      <c r="B518" t="inlineStr">
        <is>
          <t>ทางเข้าท่าอากาศยานสุวรรณภูมิ - บางวัว</t>
        </is>
      </c>
      <c r="C518" t="inlineStr">
        <is>
          <t>สมุทรปราการ</t>
        </is>
      </c>
      <c r="D518" t="inlineStr">
        <is>
          <t>34</t>
        </is>
      </c>
      <c r="E518" t="inlineStr">
        <is>
          <t>ทล.</t>
        </is>
      </c>
      <c r="F518" t="inlineStr">
        <is>
          <t>32–32</t>
        </is>
      </c>
      <c r="G518" t="inlineStr">
        <is>
          <t>station_id 95 (ทล.34 กม.15+100)</t>
        </is>
      </c>
      <c r="H518" t="inlineStr">
        <is>
          <t>ทล. สถานีตัวแทนตอนควบคุม</t>
        </is>
      </c>
      <c r="I518" t="n">
        <v>7</v>
      </c>
      <c r="J518" t="n">
        <v>0</v>
      </c>
      <c r="K518" t="n">
        <v>6</v>
      </c>
      <c r="L518" s="5" t="n">
        <v>0.8571</v>
      </c>
      <c r="M518" t="inlineStr">
        <is>
          <t>low</t>
        </is>
      </c>
      <c r="N518" s="6" t="n">
        <v>226283</v>
      </c>
      <c r="O518" s="6" t="n">
        <v>252612</v>
      </c>
      <c r="P518" s="6" t="n">
        <v>250222</v>
      </c>
      <c r="Q518" s="6">
        <f>AVERAGE(N518:P518)</f>
        <v/>
      </c>
      <c r="R518" t="n">
        <v>3</v>
      </c>
      <c r="S518" t="n">
        <v>1</v>
      </c>
      <c r="T518" s="7">
        <f>365*R518*Q518*S518/1000000</f>
        <v/>
      </c>
      <c r="U518" s="8">
        <f>I518/T518</f>
        <v/>
      </c>
      <c r="V518" s="8">
        <f>SUMIF($E$2:$E$599,E518,$I$2:$I$599)/SUMIF($E$2:$E$599,E518,$T$2:$T$599)</f>
        <v/>
      </c>
      <c r="W518" s="8">
        <f>V518+1.645*SQRT(V518/T518)+1/(2*T518)</f>
        <v/>
      </c>
      <c r="X518" s="5">
        <f>U518/W518</f>
        <v/>
      </c>
      <c r="Y518">
        <f>IF(U518&gt;W518,"high",IF(U518&gt;V518,"medium","low"))</f>
        <v/>
      </c>
      <c r="Z518">
        <f>CHOOSE(MAX(IF(M518="high",2,IF(M518="medium",1,0)),IF(Y518="high",2,IF(Y518="medium",1,0)))+1,"low","medium","high")</f>
        <v/>
      </c>
      <c r="AA518">
        <f>IF(IF(M518="high",2,IF(M518="medium",1,0))=IF(Y518="high",2,IF(Y518="medium",1,0)),"SI และ Rate เท่ากัน",IF(IF(M518="high",2,IF(M518="medium",1,0))&gt;IF(Y518="high",2,IF(Y518="medium",1,0)),"SI","Rate"))</f>
        <v/>
      </c>
    </row>
    <row r="519">
      <c r="A519" t="inlineStr">
        <is>
          <t>zone_279</t>
        </is>
      </c>
      <c r="B519" t="inlineStr">
        <is>
          <t>พระราม7 - แคราย</t>
        </is>
      </c>
      <c r="C519" t="inlineStr">
        <is>
          <t>กรุงเทพมหานคร</t>
        </is>
      </c>
      <c r="D519" t="inlineStr">
        <is>
          <t>306</t>
        </is>
      </c>
      <c r="E519" t="inlineStr">
        <is>
          <t>ทล.</t>
        </is>
      </c>
      <c r="F519" t="inlineStr">
        <is>
          <t>0.645–0.73</t>
        </is>
      </c>
      <c r="G519" t="inlineStr">
        <is>
          <t>station_id 110 (ทล.306 กม.1+000)</t>
        </is>
      </c>
      <c r="H519" t="inlineStr">
        <is>
          <t>ทล. สถานีตัวแทนตอนควบคุม</t>
        </is>
      </c>
      <c r="I519" t="n">
        <v>3</v>
      </c>
      <c r="J519" t="n">
        <v>0</v>
      </c>
      <c r="K519" t="n">
        <v>1</v>
      </c>
      <c r="L519" s="5" t="n">
        <v>0.3333</v>
      </c>
      <c r="M519" t="inlineStr">
        <is>
          <t>low</t>
        </is>
      </c>
      <c r="N519" s="6" t="n">
        <v>92676</v>
      </c>
      <c r="O519" s="6" t="n">
        <v>95394</v>
      </c>
      <c r="P519" s="6" t="n">
        <v>92599</v>
      </c>
      <c r="Q519" s="6">
        <f>AVERAGE(N519:P519)</f>
        <v/>
      </c>
      <c r="R519" t="n">
        <v>3</v>
      </c>
      <c r="S519" t="n">
        <v>1</v>
      </c>
      <c r="T519" s="7">
        <f>365*R519*Q519*S519/1000000</f>
        <v/>
      </c>
      <c r="U519" s="8">
        <f>I519/T519</f>
        <v/>
      </c>
      <c r="V519" s="8">
        <f>SUMIF($E$2:$E$599,E519,$I$2:$I$599)/SUMIF($E$2:$E$599,E519,$T$2:$T$599)</f>
        <v/>
      </c>
      <c r="W519" s="8">
        <f>V519+1.645*SQRT(V519/T519)+1/(2*T519)</f>
        <v/>
      </c>
      <c r="X519" s="5">
        <f>U519/W519</f>
        <v/>
      </c>
      <c r="Y519">
        <f>IF(U519&gt;W519,"high",IF(U519&gt;V519,"medium","low"))</f>
        <v/>
      </c>
      <c r="Z519">
        <f>CHOOSE(MAX(IF(M519="high",2,IF(M519="medium",1,0)),IF(Y519="high",2,IF(Y519="medium",1,0)))+1,"low","medium","high")</f>
        <v/>
      </c>
      <c r="AA519">
        <f>IF(IF(M519="high",2,IF(M519="medium",1,0))=IF(Y519="high",2,IF(Y519="medium",1,0)),"SI และ Rate เท่ากัน",IF(IF(M519="high",2,IF(M519="medium",1,0))&gt;IF(Y519="high",2,IF(Y519="medium",1,0)),"SI","Rate"))</f>
        <v/>
      </c>
    </row>
    <row r="520">
      <c r="A520" t="inlineStr">
        <is>
          <t>zone_368</t>
        </is>
      </c>
      <c r="B520" t="inlineStr">
        <is>
          <t>นครชัยศรี - พระประโทน</t>
        </is>
      </c>
      <c r="C520" t="inlineStr">
        <is>
          <t>นครปฐม</t>
        </is>
      </c>
      <c r="D520" t="inlineStr">
        <is>
          <t>4</t>
        </is>
      </c>
      <c r="E520" t="inlineStr">
        <is>
          <t>ทล.</t>
        </is>
      </c>
      <c r="F520" t="inlineStr">
        <is>
          <t>47.2–47.485</t>
        </is>
      </c>
      <c r="G520" t="inlineStr">
        <is>
          <t>station_id 2462 (ทล.4 กม.41+500)</t>
        </is>
      </c>
      <c r="H520" t="inlineStr">
        <is>
          <t>ทล. สถานีตัวแทนตอนควบคุม</t>
        </is>
      </c>
      <c r="I520" t="n">
        <v>3</v>
      </c>
      <c r="J520" t="n">
        <v>1</v>
      </c>
      <c r="K520" t="n">
        <v>1</v>
      </c>
      <c r="L520" s="5" t="n">
        <v>0.6667</v>
      </c>
      <c r="M520" t="inlineStr">
        <is>
          <t>low</t>
        </is>
      </c>
      <c r="N520" s="6" t="n">
        <v>91244</v>
      </c>
      <c r="O520" s="6" t="n">
        <v>97663</v>
      </c>
      <c r="P520" s="6" t="n">
        <v>96217</v>
      </c>
      <c r="Q520" s="6">
        <f>AVERAGE(N520:P520)</f>
        <v/>
      </c>
      <c r="R520" t="n">
        <v>3</v>
      </c>
      <c r="S520" t="n">
        <v>1</v>
      </c>
      <c r="T520" s="7">
        <f>365*R520*Q520*S520/1000000</f>
        <v/>
      </c>
      <c r="U520" s="8">
        <f>I520/T520</f>
        <v/>
      </c>
      <c r="V520" s="8">
        <f>SUMIF($E$2:$E$599,E520,$I$2:$I$599)/SUMIF($E$2:$E$599,E520,$T$2:$T$599)</f>
        <v/>
      </c>
      <c r="W520" s="8">
        <f>V520+1.645*SQRT(V520/T520)+1/(2*T520)</f>
        <v/>
      </c>
      <c r="X520" s="5">
        <f>U520/W520</f>
        <v/>
      </c>
      <c r="Y520">
        <f>IF(U520&gt;W520,"high",IF(U520&gt;V520,"medium","low"))</f>
        <v/>
      </c>
      <c r="Z520">
        <f>CHOOSE(MAX(IF(M520="high",2,IF(M520="medium",1,0)),IF(Y520="high",2,IF(Y520="medium",1,0)))+1,"low","medium","high")</f>
        <v/>
      </c>
      <c r="AA520">
        <f>IF(IF(M520="high",2,IF(M520="medium",1,0))=IF(Y520="high",2,IF(Y520="medium",1,0)),"SI และ Rate เท่ากัน",IF(IF(M520="high",2,IF(M520="medium",1,0))&gt;IF(Y520="high",2,IF(Y520="medium",1,0)),"SI","Rate"))</f>
        <v/>
      </c>
    </row>
    <row r="521">
      <c r="A521" t="inlineStr">
        <is>
          <t>zone_359</t>
        </is>
      </c>
      <c r="B521" t="inlineStr">
        <is>
          <t>พุทธมณฑลสาย4 - นครชัยศรี</t>
        </is>
      </c>
      <c r="C521" t="inlineStr">
        <is>
          <t>นครปฐม</t>
        </is>
      </c>
      <c r="D521" t="inlineStr">
        <is>
          <t>338</t>
        </is>
      </c>
      <c r="E521" t="inlineStr">
        <is>
          <t>ทล.</t>
        </is>
      </c>
      <c r="F521" t="inlineStr">
        <is>
          <t>21.75–21.81</t>
        </is>
      </c>
      <c r="G521" t="inlineStr">
        <is>
          <t>station_id 63 (ทล.338 กม.22+081)</t>
        </is>
      </c>
      <c r="H521" t="inlineStr">
        <is>
          <t>ทล. สถานีตัวแทนตอนควบคุม</t>
        </is>
      </c>
      <c r="I521" t="n">
        <v>4</v>
      </c>
      <c r="J521" t="n">
        <v>0</v>
      </c>
      <c r="K521" t="n">
        <v>0</v>
      </c>
      <c r="L521" s="5" t="n">
        <v>0</v>
      </c>
      <c r="M521" t="inlineStr">
        <is>
          <t>low</t>
        </is>
      </c>
      <c r="N521" s="6" t="n">
        <v>126567</v>
      </c>
      <c r="O521" s="6" t="n">
        <v>136180</v>
      </c>
      <c r="P521" s="6" t="n">
        <v>141795</v>
      </c>
      <c r="Q521" s="6">
        <f>AVERAGE(N521:P521)</f>
        <v/>
      </c>
      <c r="R521" t="n">
        <v>3</v>
      </c>
      <c r="S521" t="n">
        <v>1</v>
      </c>
      <c r="T521" s="7">
        <f>365*R521*Q521*S521/1000000</f>
        <v/>
      </c>
      <c r="U521" s="8">
        <f>I521/T521</f>
        <v/>
      </c>
      <c r="V521" s="8">
        <f>SUMIF($E$2:$E$599,E521,$I$2:$I$599)/SUMIF($E$2:$E$599,E521,$T$2:$T$599)</f>
        <v/>
      </c>
      <c r="W521" s="8">
        <f>V521+1.645*SQRT(V521/T521)+1/(2*T521)</f>
        <v/>
      </c>
      <c r="X521" s="5">
        <f>U521/W521</f>
        <v/>
      </c>
      <c r="Y521">
        <f>IF(U521&gt;W521,"high",IF(U521&gt;V521,"medium","low"))</f>
        <v/>
      </c>
      <c r="Z521">
        <f>CHOOSE(MAX(IF(M521="high",2,IF(M521="medium",1,0)),IF(Y521="high",2,IF(Y521="medium",1,0)))+1,"low","medium","high")</f>
        <v/>
      </c>
      <c r="AA521">
        <f>IF(IF(M521="high",2,IF(M521="medium",1,0))=IF(Y521="high",2,IF(Y521="medium",1,0)),"SI และ Rate เท่ากัน",IF(IF(M521="high",2,IF(M521="medium",1,0))&gt;IF(Y521="high",2,IF(Y521="medium",1,0)),"SI","Rate"))</f>
        <v/>
      </c>
    </row>
    <row r="522">
      <c r="A522" t="inlineStr">
        <is>
          <t>zone_370</t>
        </is>
      </c>
      <c r="B522" t="inlineStr">
        <is>
          <t>พุทธมณฑลสาย4 - นครชัยศรี</t>
        </is>
      </c>
      <c r="C522" t="inlineStr">
        <is>
          <t>นครปฐม</t>
        </is>
      </c>
      <c r="D522" t="inlineStr">
        <is>
          <t>338</t>
        </is>
      </c>
      <c r="E522" t="inlineStr">
        <is>
          <t>ทล.</t>
        </is>
      </c>
      <c r="F522" t="inlineStr">
        <is>
          <t>28.332–28.4</t>
        </is>
      </c>
      <c r="G522" t="inlineStr">
        <is>
          <t>station_id 63 (ทล.338 กม.22+081)</t>
        </is>
      </c>
      <c r="H522" t="inlineStr">
        <is>
          <t>ทล. สถานีตัวแทนตอนควบคุม</t>
        </is>
      </c>
      <c r="I522" t="n">
        <v>4</v>
      </c>
      <c r="J522" t="n">
        <v>0</v>
      </c>
      <c r="K522" t="n">
        <v>3</v>
      </c>
      <c r="L522" s="5" t="n">
        <v>0.75</v>
      </c>
      <c r="M522" t="inlineStr">
        <is>
          <t>low</t>
        </is>
      </c>
      <c r="N522" s="6" t="n">
        <v>126567</v>
      </c>
      <c r="O522" s="6" t="n">
        <v>136180</v>
      </c>
      <c r="P522" s="6" t="n">
        <v>141795</v>
      </c>
      <c r="Q522" s="6">
        <f>AVERAGE(N522:P522)</f>
        <v/>
      </c>
      <c r="R522" t="n">
        <v>3</v>
      </c>
      <c r="S522" t="n">
        <v>1</v>
      </c>
      <c r="T522" s="7">
        <f>365*R522*Q522*S522/1000000</f>
        <v/>
      </c>
      <c r="U522" s="8">
        <f>I522/T522</f>
        <v/>
      </c>
      <c r="V522" s="8">
        <f>SUMIF($E$2:$E$599,E522,$I$2:$I$599)/SUMIF($E$2:$E$599,E522,$T$2:$T$599)</f>
        <v/>
      </c>
      <c r="W522" s="8">
        <f>V522+1.645*SQRT(V522/T522)+1/(2*T522)</f>
        <v/>
      </c>
      <c r="X522" s="5">
        <f>U522/W522</f>
        <v/>
      </c>
      <c r="Y522">
        <f>IF(U522&gt;W522,"high",IF(U522&gt;V522,"medium","low"))</f>
        <v/>
      </c>
      <c r="Z522">
        <f>CHOOSE(MAX(IF(M522="high",2,IF(M522="medium",1,0)),IF(Y522="high",2,IF(Y522="medium",1,0)))+1,"low","medium","high")</f>
        <v/>
      </c>
      <c r="AA522">
        <f>IF(IF(M522="high",2,IF(M522="medium",1,0))=IF(Y522="high",2,IF(Y522="medium",1,0)),"SI และ Rate เท่ากัน",IF(IF(M522="high",2,IF(M522="medium",1,0))&gt;IF(Y522="high",2,IF(Y522="medium",1,0)),"SI","Rate"))</f>
        <v/>
      </c>
    </row>
    <row r="523">
      <c r="A523" t="inlineStr">
        <is>
          <t>zone_369</t>
        </is>
      </c>
      <c r="B523" t="inlineStr">
        <is>
          <t>พระประโทน - สระกระเทียม</t>
        </is>
      </c>
      <c r="C523" t="inlineStr">
        <is>
          <t>นครปฐม</t>
        </is>
      </c>
      <c r="D523" t="inlineStr">
        <is>
          <t>4</t>
        </is>
      </c>
      <c r="E523" t="inlineStr">
        <is>
          <t>ทล.</t>
        </is>
      </c>
      <c r="F523" t="inlineStr">
        <is>
          <t>66.77–67.04</t>
        </is>
      </c>
      <c r="G523" t="inlineStr">
        <is>
          <t>station_id 1969 (ทล.4 กม.55+087)</t>
        </is>
      </c>
      <c r="H523" t="inlineStr">
        <is>
          <t>ทล. สถานีตัวแทนตอนควบคุม</t>
        </is>
      </c>
      <c r="I523" t="n">
        <v>3</v>
      </c>
      <c r="J523" t="n">
        <v>0</v>
      </c>
      <c r="K523" t="n">
        <v>2</v>
      </c>
      <c r="L523" s="5" t="n">
        <v>0.6667</v>
      </c>
      <c r="M523" t="inlineStr">
        <is>
          <t>low</t>
        </is>
      </c>
      <c r="N523" s="6" t="n">
        <v>99124</v>
      </c>
      <c r="O523" s="6" t="n">
        <v>94365</v>
      </c>
      <c r="P523" s="6" t="n">
        <v>100020</v>
      </c>
      <c r="Q523" s="6">
        <f>AVERAGE(N523:P523)</f>
        <v/>
      </c>
      <c r="R523" t="n">
        <v>3</v>
      </c>
      <c r="S523" t="n">
        <v>1</v>
      </c>
      <c r="T523" s="7">
        <f>365*R523*Q523*S523/1000000</f>
        <v/>
      </c>
      <c r="U523" s="8">
        <f>I523/T523</f>
        <v/>
      </c>
      <c r="V523" s="8">
        <f>SUMIF($E$2:$E$599,E523,$I$2:$I$599)/SUMIF($E$2:$E$599,E523,$T$2:$T$599)</f>
        <v/>
      </c>
      <c r="W523" s="8">
        <f>V523+1.645*SQRT(V523/T523)+1/(2*T523)</f>
        <v/>
      </c>
      <c r="X523" s="5">
        <f>U523/W523</f>
        <v/>
      </c>
      <c r="Y523">
        <f>IF(U523&gt;W523,"high",IF(U523&gt;V523,"medium","low"))</f>
        <v/>
      </c>
      <c r="Z523">
        <f>CHOOSE(MAX(IF(M523="high",2,IF(M523="medium",1,0)),IF(Y523="high",2,IF(Y523="medium",1,0)))+1,"low","medium","high")</f>
        <v/>
      </c>
      <c r="AA523">
        <f>IF(IF(M523="high",2,IF(M523="medium",1,0))=IF(Y523="high",2,IF(Y523="medium",1,0)),"SI และ Rate เท่ากัน",IF(IF(M523="high",2,IF(M523="medium",1,0))&gt;IF(Y523="high",2,IF(Y523="medium",1,0)),"SI","Rate"))</f>
        <v/>
      </c>
    </row>
    <row r="524">
      <c r="A524" t="inlineStr">
        <is>
          <t>zone_379</t>
        </is>
      </c>
      <c r="B524" t="inlineStr">
        <is>
          <t>พระประโทน - สระกระเทียม</t>
        </is>
      </c>
      <c r="C524" t="inlineStr">
        <is>
          <t>นครปฐม</t>
        </is>
      </c>
      <c r="D524" t="inlineStr">
        <is>
          <t>4</t>
        </is>
      </c>
      <c r="E524" t="inlineStr">
        <is>
          <t>ทล.</t>
        </is>
      </c>
      <c r="F524" t="inlineStr">
        <is>
          <t>59.75–60</t>
        </is>
      </c>
      <c r="G524" t="inlineStr">
        <is>
          <t>station_id 1969 (ทล.4 กม.55+087)</t>
        </is>
      </c>
      <c r="H524" t="inlineStr">
        <is>
          <t>ทล. สถานีตัวแทนตอนควบคุม</t>
        </is>
      </c>
      <c r="I524" t="n">
        <v>3</v>
      </c>
      <c r="J524" t="n">
        <v>0</v>
      </c>
      <c r="K524" t="n">
        <v>1</v>
      </c>
      <c r="L524" s="5" t="n">
        <v>0.3333</v>
      </c>
      <c r="M524" t="inlineStr">
        <is>
          <t>low</t>
        </is>
      </c>
      <c r="N524" s="6" t="n">
        <v>99124</v>
      </c>
      <c r="O524" s="6" t="n">
        <v>94365</v>
      </c>
      <c r="P524" s="6" t="n">
        <v>100020</v>
      </c>
      <c r="Q524" s="6">
        <f>AVERAGE(N524:P524)</f>
        <v/>
      </c>
      <c r="R524" t="n">
        <v>3</v>
      </c>
      <c r="S524" t="n">
        <v>1</v>
      </c>
      <c r="T524" s="7">
        <f>365*R524*Q524*S524/1000000</f>
        <v/>
      </c>
      <c r="U524" s="8">
        <f>I524/T524</f>
        <v/>
      </c>
      <c r="V524" s="8">
        <f>SUMIF($E$2:$E$599,E524,$I$2:$I$599)/SUMIF($E$2:$E$599,E524,$T$2:$T$599)</f>
        <v/>
      </c>
      <c r="W524" s="8">
        <f>V524+1.645*SQRT(V524/T524)+1/(2*T524)</f>
        <v/>
      </c>
      <c r="X524" s="5">
        <f>U524/W524</f>
        <v/>
      </c>
      <c r="Y524">
        <f>IF(U524&gt;W524,"high",IF(U524&gt;V524,"medium","low"))</f>
        <v/>
      </c>
      <c r="Z524">
        <f>CHOOSE(MAX(IF(M524="high",2,IF(M524="medium",1,0)),IF(Y524="high",2,IF(Y524="medium",1,0)))+1,"low","medium","high")</f>
        <v/>
      </c>
      <c r="AA524">
        <f>IF(IF(M524="high",2,IF(M524="medium",1,0))=IF(Y524="high",2,IF(Y524="medium",1,0)),"SI และ Rate เท่ากัน",IF(IF(M524="high",2,IF(M524="medium",1,0))&gt;IF(Y524="high",2,IF(Y524="medium",1,0)),"SI","Rate"))</f>
        <v/>
      </c>
    </row>
    <row r="525">
      <c r="A525" t="inlineStr">
        <is>
          <t>zone_615</t>
        </is>
      </c>
      <c r="B525" t="inlineStr">
        <is>
          <t>สะพานข้ามแม่น้ำท่าจีนฝั่งตะวันตก - นาโคก</t>
        </is>
      </c>
      <c r="C525" t="inlineStr">
        <is>
          <t>สมุทรสาคร</t>
        </is>
      </c>
      <c r="D525" t="inlineStr">
        <is>
          <t>35</t>
        </is>
      </c>
      <c r="E525" t="inlineStr">
        <is>
          <t>ทล.</t>
        </is>
      </c>
      <c r="F525" t="inlineStr">
        <is>
          <t>44.3–44.7</t>
        </is>
      </c>
      <c r="G525" t="inlineStr">
        <is>
          <t>station_id 59 (ทล.35 กม.30+700)</t>
        </is>
      </c>
      <c r="H525" t="inlineStr">
        <is>
          <t>ทล. สถานีตัวแทนตอนควบคุม</t>
        </is>
      </c>
      <c r="I525" t="n">
        <v>4</v>
      </c>
      <c r="J525" t="n">
        <v>0</v>
      </c>
      <c r="K525" t="n">
        <v>2</v>
      </c>
      <c r="L525" s="5" t="n">
        <v>0.5</v>
      </c>
      <c r="M525" t="inlineStr">
        <is>
          <t>low</t>
        </is>
      </c>
      <c r="N525" s="6" t="n">
        <v>134343</v>
      </c>
      <c r="O525" s="6" t="n">
        <v>149180</v>
      </c>
      <c r="P525" s="6" t="n">
        <v>149785</v>
      </c>
      <c r="Q525" s="6">
        <f>AVERAGE(N525:P525)</f>
        <v/>
      </c>
      <c r="R525" t="n">
        <v>3</v>
      </c>
      <c r="S525" t="n">
        <v>1</v>
      </c>
      <c r="T525" s="7">
        <f>365*R525*Q525*S525/1000000</f>
        <v/>
      </c>
      <c r="U525" s="8">
        <f>I525/T525</f>
        <v/>
      </c>
      <c r="V525" s="8">
        <f>SUMIF($E$2:$E$599,E525,$I$2:$I$599)/SUMIF($E$2:$E$599,E525,$T$2:$T$599)</f>
        <v/>
      </c>
      <c r="W525" s="8">
        <f>V525+1.645*SQRT(V525/T525)+1/(2*T525)</f>
        <v/>
      </c>
      <c r="X525" s="5">
        <f>U525/W525</f>
        <v/>
      </c>
      <c r="Y525">
        <f>IF(U525&gt;W525,"high",IF(U525&gt;V525,"medium","low"))</f>
        <v/>
      </c>
      <c r="Z525">
        <f>CHOOSE(MAX(IF(M525="high",2,IF(M525="medium",1,0)),IF(Y525="high",2,IF(Y525="medium",1,0)))+1,"low","medium","high")</f>
        <v/>
      </c>
      <c r="AA525">
        <f>IF(IF(M525="high",2,IF(M525="medium",1,0))=IF(Y525="high",2,IF(Y525="medium",1,0)),"SI และ Rate เท่ากัน",IF(IF(M525="high",2,IF(M525="medium",1,0))&gt;IF(Y525="high",2,IF(Y525="medium",1,0)),"SI","Rate"))</f>
        <v/>
      </c>
    </row>
    <row r="526">
      <c r="A526" t="inlineStr">
        <is>
          <t>zone_341</t>
        </is>
      </c>
      <c r="B526" t="inlineStr">
        <is>
          <t>สะพานพระนั่งเกล้า - ต่างระดับบางใหญ่</t>
        </is>
      </c>
      <c r="C526" t="inlineStr">
        <is>
          <t>นนทบุรี</t>
        </is>
      </c>
      <c r="D526" t="inlineStr">
        <is>
          <t>302</t>
        </is>
      </c>
      <c r="E526" t="inlineStr">
        <is>
          <t>ทล.</t>
        </is>
      </c>
      <c r="F526" t="inlineStr">
        <is>
          <t>16.1–16.3</t>
        </is>
      </c>
      <c r="G526" t="inlineStr">
        <is>
          <t>station_id 109 (ทล.302 กม.12+500)</t>
        </is>
      </c>
      <c r="H526" t="inlineStr">
        <is>
          <t>ทล. สถานีตัวแทนตอนควบคุม</t>
        </is>
      </c>
      <c r="I526" t="n">
        <v>3</v>
      </c>
      <c r="J526" t="n">
        <v>2</v>
      </c>
      <c r="K526" t="n">
        <v>0</v>
      </c>
      <c r="L526" s="5" t="n">
        <v>0.6667</v>
      </c>
      <c r="M526" t="inlineStr">
        <is>
          <t>low</t>
        </is>
      </c>
      <c r="N526" s="6" t="n">
        <v>105878</v>
      </c>
      <c r="O526" s="6" t="n">
        <v>107062</v>
      </c>
      <c r="P526" s="6" t="n">
        <v>104815</v>
      </c>
      <c r="Q526" s="6">
        <f>AVERAGE(N526:P526)</f>
        <v/>
      </c>
      <c r="R526" t="n">
        <v>3</v>
      </c>
      <c r="S526" t="n">
        <v>1</v>
      </c>
      <c r="T526" s="7">
        <f>365*R526*Q526*S526/1000000</f>
        <v/>
      </c>
      <c r="U526" s="8">
        <f>I526/T526</f>
        <v/>
      </c>
      <c r="V526" s="8">
        <f>SUMIF($E$2:$E$599,E526,$I$2:$I$599)/SUMIF($E$2:$E$599,E526,$T$2:$T$599)</f>
        <v/>
      </c>
      <c r="W526" s="8">
        <f>V526+1.645*SQRT(V526/T526)+1/(2*T526)</f>
        <v/>
      </c>
      <c r="X526" s="5">
        <f>U526/W526</f>
        <v/>
      </c>
      <c r="Y526">
        <f>IF(U526&gt;W526,"high",IF(U526&gt;V526,"medium","low"))</f>
        <v/>
      </c>
      <c r="Z526">
        <f>CHOOSE(MAX(IF(M526="high",2,IF(M526="medium",1,0)),IF(Y526="high",2,IF(Y526="medium",1,0)))+1,"low","medium","high")</f>
        <v/>
      </c>
      <c r="AA526">
        <f>IF(IF(M526="high",2,IF(M526="medium",1,0))=IF(Y526="high",2,IF(Y526="medium",1,0)),"SI และ Rate เท่ากัน",IF(IF(M526="high",2,IF(M526="medium",1,0))&gt;IF(Y526="high",2,IF(Y526="medium",1,0)),"SI","Rate"))</f>
        <v/>
      </c>
    </row>
    <row r="527">
      <c r="A527" t="inlineStr">
        <is>
          <t>zone_465</t>
        </is>
      </c>
      <c r="B527" t="inlineStr">
        <is>
          <t>แขวงคลองสองต้นนุ่น - พิมพา</t>
        </is>
      </c>
      <c r="C527" t="inlineStr">
        <is>
          <t>สมุทรปราการ</t>
        </is>
      </c>
      <c r="D527" t="inlineStr">
        <is>
          <t>7</t>
        </is>
      </c>
      <c r="E527" t="inlineStr">
        <is>
          <t>ทล.</t>
        </is>
      </c>
      <c r="F527" t="inlineStr">
        <is>
          <t>24.8–25.4</t>
        </is>
      </c>
      <c r="G527" t="inlineStr">
        <is>
          <t>station_id 345 (ทล.7 กม.17+000)</t>
        </is>
      </c>
      <c r="H527" t="inlineStr">
        <is>
          <t>ทล. สถานีตัวแทนตอนควบคุม</t>
        </is>
      </c>
      <c r="I527" t="n">
        <v>6</v>
      </c>
      <c r="J527" t="n">
        <v>0</v>
      </c>
      <c r="K527" t="n">
        <v>0</v>
      </c>
      <c r="L527" s="5" t="n">
        <v>0</v>
      </c>
      <c r="M527" t="inlineStr">
        <is>
          <t>low</t>
        </is>
      </c>
      <c r="N527" s="6" t="n">
        <v>220901</v>
      </c>
      <c r="O527" s="6" t="n">
        <v>242192</v>
      </c>
      <c r="P527" s="6" t="n">
        <v>262343</v>
      </c>
      <c r="Q527" s="6">
        <f>AVERAGE(N527:P527)</f>
        <v/>
      </c>
      <c r="R527" t="n">
        <v>3</v>
      </c>
      <c r="S527" t="n">
        <v>1</v>
      </c>
      <c r="T527" s="7">
        <f>365*R527*Q527*S527/1000000</f>
        <v/>
      </c>
      <c r="U527" s="8">
        <f>I527/T527</f>
        <v/>
      </c>
      <c r="V527" s="8">
        <f>SUMIF($E$2:$E$599,E527,$I$2:$I$599)/SUMIF($E$2:$E$599,E527,$T$2:$T$599)</f>
        <v/>
      </c>
      <c r="W527" s="8">
        <f>V527+1.645*SQRT(V527/T527)+1/(2*T527)</f>
        <v/>
      </c>
      <c r="X527" s="5">
        <f>U527/W527</f>
        <v/>
      </c>
      <c r="Y527">
        <f>IF(U527&gt;W527,"high",IF(U527&gt;V527,"medium","low"))</f>
        <v/>
      </c>
      <c r="Z527">
        <f>CHOOSE(MAX(IF(M527="high",2,IF(M527="medium",1,0)),IF(Y527="high",2,IF(Y527="medium",1,0)))+1,"low","medium","high")</f>
        <v/>
      </c>
      <c r="AA527">
        <f>IF(IF(M527="high",2,IF(M527="medium",1,0))=IF(Y527="high",2,IF(Y527="medium",1,0)),"SI และ Rate เท่ากัน",IF(IF(M527="high",2,IF(M527="medium",1,0))&gt;IF(Y527="high",2,IF(Y527="medium",1,0)),"SI","Rate"))</f>
        <v/>
      </c>
    </row>
    <row r="528">
      <c r="A528" t="inlineStr">
        <is>
          <t>zone_500</t>
        </is>
      </c>
      <c r="B528" t="inlineStr">
        <is>
          <t>แขวงคลองสองต้นนุ่น - พิมพา</t>
        </is>
      </c>
      <c r="C528" t="inlineStr">
        <is>
          <t>สมุทรปราการ</t>
        </is>
      </c>
      <c r="D528" t="inlineStr">
        <is>
          <t>7</t>
        </is>
      </c>
      <c r="E528" t="inlineStr">
        <is>
          <t>ทล.</t>
        </is>
      </c>
      <c r="F528" t="inlineStr">
        <is>
          <t>36–36.5</t>
        </is>
      </c>
      <c r="G528" t="inlineStr">
        <is>
          <t>station_id 345 (ทล.7 กม.17+000)</t>
        </is>
      </c>
      <c r="H528" t="inlineStr">
        <is>
          <t>ทล. สถานีตัวแทนตอนควบคุม</t>
        </is>
      </c>
      <c r="I528" t="n">
        <v>6</v>
      </c>
      <c r="J528" t="n">
        <v>0</v>
      </c>
      <c r="K528" t="n">
        <v>0</v>
      </c>
      <c r="L528" s="5" t="n">
        <v>0</v>
      </c>
      <c r="M528" t="inlineStr">
        <is>
          <t>low</t>
        </is>
      </c>
      <c r="N528" s="6" t="n">
        <v>220901</v>
      </c>
      <c r="O528" s="6" t="n">
        <v>242192</v>
      </c>
      <c r="P528" s="6" t="n">
        <v>262343</v>
      </c>
      <c r="Q528" s="6">
        <f>AVERAGE(N528:P528)</f>
        <v/>
      </c>
      <c r="R528" t="n">
        <v>3</v>
      </c>
      <c r="S528" t="n">
        <v>1</v>
      </c>
      <c r="T528" s="7">
        <f>365*R528*Q528*S528/1000000</f>
        <v/>
      </c>
      <c r="U528" s="8">
        <f>I528/T528</f>
        <v/>
      </c>
      <c r="V528" s="8">
        <f>SUMIF($E$2:$E$599,E528,$I$2:$I$599)/SUMIF($E$2:$E$599,E528,$T$2:$T$599)</f>
        <v/>
      </c>
      <c r="W528" s="8">
        <f>V528+1.645*SQRT(V528/T528)+1/(2*T528)</f>
        <v/>
      </c>
      <c r="X528" s="5">
        <f>U528/W528</f>
        <v/>
      </c>
      <c r="Y528">
        <f>IF(U528&gt;W528,"high",IF(U528&gt;V528,"medium","low"))</f>
        <v/>
      </c>
      <c r="Z528">
        <f>CHOOSE(MAX(IF(M528="high",2,IF(M528="medium",1,0)),IF(Y528="high",2,IF(Y528="medium",1,0)))+1,"low","medium","high")</f>
        <v/>
      </c>
      <c r="AA528">
        <f>IF(IF(M528="high",2,IF(M528="medium",1,0))=IF(Y528="high",2,IF(Y528="medium",1,0)),"SI และ Rate เท่ากัน",IF(IF(M528="high",2,IF(M528="medium",1,0))&gt;IF(Y528="high",2,IF(Y528="medium",1,0)),"SI","Rate"))</f>
        <v/>
      </c>
    </row>
    <row r="529">
      <c r="A529" t="inlineStr">
        <is>
          <t>zone_511</t>
        </is>
      </c>
      <c r="B529" t="inlineStr">
        <is>
          <t>ทางเข้าท่าอากาศยานสุวรรณภูมิ - บางวัว</t>
        </is>
      </c>
      <c r="C529" t="inlineStr">
        <is>
          <t>สมุทรปราการ</t>
        </is>
      </c>
      <c r="D529" t="inlineStr">
        <is>
          <t>34</t>
        </is>
      </c>
      <c r="E529" t="inlineStr">
        <is>
          <t>ทล.</t>
        </is>
      </c>
      <c r="F529" t="inlineStr">
        <is>
          <t>21–21.149</t>
        </is>
      </c>
      <c r="G529" t="inlineStr">
        <is>
          <t>station_id 95 (ทล.34 กม.15+100)</t>
        </is>
      </c>
      <c r="H529" t="inlineStr">
        <is>
          <t>ทล. สถานีตัวแทนตอนควบคุม</t>
        </is>
      </c>
      <c r="I529" t="n">
        <v>6</v>
      </c>
      <c r="J529" t="n">
        <v>0</v>
      </c>
      <c r="K529" t="n">
        <v>2</v>
      </c>
      <c r="L529" s="5" t="n">
        <v>0.3333</v>
      </c>
      <c r="M529" t="inlineStr">
        <is>
          <t>low</t>
        </is>
      </c>
      <c r="N529" s="6" t="n">
        <v>226283</v>
      </c>
      <c r="O529" s="6" t="n">
        <v>252612</v>
      </c>
      <c r="P529" s="6" t="n">
        <v>250222</v>
      </c>
      <c r="Q529" s="6">
        <f>AVERAGE(N529:P529)</f>
        <v/>
      </c>
      <c r="R529" t="n">
        <v>3</v>
      </c>
      <c r="S529" t="n">
        <v>1</v>
      </c>
      <c r="T529" s="7">
        <f>365*R529*Q529*S529/1000000</f>
        <v/>
      </c>
      <c r="U529" s="8">
        <f>I529/T529</f>
        <v/>
      </c>
      <c r="V529" s="8">
        <f>SUMIF($E$2:$E$599,E529,$I$2:$I$599)/SUMIF($E$2:$E$599,E529,$T$2:$T$599)</f>
        <v/>
      </c>
      <c r="W529" s="8">
        <f>V529+1.645*SQRT(V529/T529)+1/(2*T529)</f>
        <v/>
      </c>
      <c r="X529" s="5">
        <f>U529/W529</f>
        <v/>
      </c>
      <c r="Y529">
        <f>IF(U529&gt;W529,"high",IF(U529&gt;V529,"medium","low"))</f>
        <v/>
      </c>
      <c r="Z529">
        <f>CHOOSE(MAX(IF(M529="high",2,IF(M529="medium",1,0)),IF(Y529="high",2,IF(Y529="medium",1,0)))+1,"low","medium","high")</f>
        <v/>
      </c>
      <c r="AA529">
        <f>IF(IF(M529="high",2,IF(M529="medium",1,0))=IF(Y529="high",2,IF(Y529="medium",1,0)),"SI และ Rate เท่ากัน",IF(IF(M529="high",2,IF(M529="medium",1,0))&gt;IF(Y529="high",2,IF(Y529="medium",1,0)),"SI","Rate"))</f>
        <v/>
      </c>
    </row>
    <row r="530">
      <c r="A530" t="inlineStr">
        <is>
          <t>zone_255</t>
        </is>
      </c>
      <c r="B530" t="inlineStr">
        <is>
          <t>ดินแดง - งามวงศ์วาน</t>
        </is>
      </c>
      <c r="C530" t="inlineStr">
        <is>
          <t>กรุงเทพมหานคร</t>
        </is>
      </c>
      <c r="D530" t="inlineStr">
        <is>
          <t>31</t>
        </is>
      </c>
      <c r="E530" t="inlineStr">
        <is>
          <t>ทล.</t>
        </is>
      </c>
      <c r="F530" t="inlineStr">
        <is>
          <t>7.135–7.255</t>
        </is>
      </c>
      <c r="G530" t="inlineStr">
        <is>
          <t>station_id 104 (ทล.302 กม.5+822)</t>
        </is>
      </c>
      <c r="H530" t="inlineStr">
        <is>
          <t>ทล. สถานีตัวแทนตอนควบคุม</t>
        </is>
      </c>
      <c r="I530" t="n">
        <v>3</v>
      </c>
      <c r="J530" t="n">
        <v>2</v>
      </c>
      <c r="K530" t="n">
        <v>1</v>
      </c>
      <c r="L530" s="5" t="n">
        <v>0.6667</v>
      </c>
      <c r="M530" t="inlineStr">
        <is>
          <t>low</t>
        </is>
      </c>
      <c r="N530" s="6" t="n">
        <v>111493</v>
      </c>
      <c r="O530" s="6" t="n">
        <v>113776</v>
      </c>
      <c r="P530" s="6" t="n">
        <v>111297</v>
      </c>
      <c r="Q530" s="6">
        <f>AVERAGE(N530:P530)</f>
        <v/>
      </c>
      <c r="R530" t="n">
        <v>3</v>
      </c>
      <c r="S530" t="n">
        <v>1</v>
      </c>
      <c r="T530" s="7">
        <f>365*R530*Q530*S530/1000000</f>
        <v/>
      </c>
      <c r="U530" s="8">
        <f>I530/T530</f>
        <v/>
      </c>
      <c r="V530" s="8">
        <f>SUMIF($E$2:$E$599,E530,$I$2:$I$599)/SUMIF($E$2:$E$599,E530,$T$2:$T$599)</f>
        <v/>
      </c>
      <c r="W530" s="8">
        <f>V530+1.645*SQRT(V530/T530)+1/(2*T530)</f>
        <v/>
      </c>
      <c r="X530" s="5">
        <f>U530/W530</f>
        <v/>
      </c>
      <c r="Y530">
        <f>IF(U530&gt;W530,"high",IF(U530&gt;V530,"medium","low"))</f>
        <v/>
      </c>
      <c r="Z530">
        <f>CHOOSE(MAX(IF(M530="high",2,IF(M530="medium",1,0)),IF(Y530="high",2,IF(Y530="medium",1,0)))+1,"low","medium","high")</f>
        <v/>
      </c>
      <c r="AA530">
        <f>IF(IF(M530="high",2,IF(M530="medium",1,0))=IF(Y530="high",2,IF(Y530="medium",1,0)),"SI และ Rate เท่ากัน",IF(IF(M530="high",2,IF(M530="medium",1,0))&gt;IF(Y530="high",2,IF(Y530="medium",1,0)),"SI","Rate"))</f>
        <v/>
      </c>
    </row>
    <row r="531">
      <c r="A531" t="inlineStr">
        <is>
          <t>zone_272</t>
        </is>
      </c>
      <c r="B531" t="inlineStr">
        <is>
          <t>งามวงศ์วาน - ดอนเมือง</t>
        </is>
      </c>
      <c r="C531" t="inlineStr">
        <is>
          <t>กรุงเทพมหานคร</t>
        </is>
      </c>
      <c r="D531" t="inlineStr">
        <is>
          <t>31</t>
        </is>
      </c>
      <c r="E531" t="inlineStr">
        <is>
          <t>ทล.</t>
        </is>
      </c>
      <c r="F531" t="inlineStr">
        <is>
          <t>25.075–25.3</t>
        </is>
      </c>
      <c r="G531" t="inlineStr">
        <is>
          <t>station_id 104 (ทล.302 กม.5+822)</t>
        </is>
      </c>
      <c r="H531" t="inlineStr">
        <is>
          <t>ทล. สถานีตัวแทนตอนควบคุม</t>
        </is>
      </c>
      <c r="I531" t="n">
        <v>3</v>
      </c>
      <c r="J531" t="n">
        <v>0</v>
      </c>
      <c r="K531" t="n">
        <v>1</v>
      </c>
      <c r="L531" s="5" t="n">
        <v>0.3333</v>
      </c>
      <c r="M531" t="inlineStr">
        <is>
          <t>low</t>
        </is>
      </c>
      <c r="N531" s="6" t="n">
        <v>111493</v>
      </c>
      <c r="O531" s="6" t="n">
        <v>113776</v>
      </c>
      <c r="P531" s="6" t="n">
        <v>111297</v>
      </c>
      <c r="Q531" s="6">
        <f>AVERAGE(N531:P531)</f>
        <v/>
      </c>
      <c r="R531" t="n">
        <v>3</v>
      </c>
      <c r="S531" t="n">
        <v>1</v>
      </c>
      <c r="T531" s="7">
        <f>365*R531*Q531*S531/1000000</f>
        <v/>
      </c>
      <c r="U531" s="8">
        <f>I531/T531</f>
        <v/>
      </c>
      <c r="V531" s="8">
        <f>SUMIF($E$2:$E$599,E531,$I$2:$I$599)/SUMIF($E$2:$E$599,E531,$T$2:$T$599)</f>
        <v/>
      </c>
      <c r="W531" s="8">
        <f>V531+1.645*SQRT(V531/T531)+1/(2*T531)</f>
        <v/>
      </c>
      <c r="X531" s="5">
        <f>U531/W531</f>
        <v/>
      </c>
      <c r="Y531">
        <f>IF(U531&gt;W531,"high",IF(U531&gt;V531,"medium","low"))</f>
        <v/>
      </c>
      <c r="Z531">
        <f>CHOOSE(MAX(IF(M531="high",2,IF(M531="medium",1,0)),IF(Y531="high",2,IF(Y531="medium",1,0)))+1,"low","medium","high")</f>
        <v/>
      </c>
      <c r="AA531">
        <f>IF(IF(M531="high",2,IF(M531="medium",1,0))=IF(Y531="high",2,IF(Y531="medium",1,0)),"SI และ Rate เท่ากัน",IF(IF(M531="high",2,IF(M531="medium",1,0))&gt;IF(Y531="high",2,IF(Y531="medium",1,0)),"SI","Rate"))</f>
        <v/>
      </c>
    </row>
    <row r="532">
      <c r="A532" t="inlineStr">
        <is>
          <t>zone_313</t>
        </is>
      </c>
      <c r="B532" t="inlineStr">
        <is>
          <t>งามวงศ์วาน - ดอนเมือง</t>
        </is>
      </c>
      <c r="C532" t="inlineStr">
        <is>
          <t>กรุงเทพมหานคร</t>
        </is>
      </c>
      <c r="D532" t="inlineStr">
        <is>
          <t>31</t>
        </is>
      </c>
      <c r="E532" t="inlineStr">
        <is>
          <t>ทล.</t>
        </is>
      </c>
      <c r="F532" t="inlineStr">
        <is>
          <t>25.88–26.05</t>
        </is>
      </c>
      <c r="G532" t="inlineStr">
        <is>
          <t>station_id 104 (ทล.302 กม.5+822)</t>
        </is>
      </c>
      <c r="H532" t="inlineStr">
        <is>
          <t>ทล. สถานีตัวแทนตอนควบคุม</t>
        </is>
      </c>
      <c r="I532" t="n">
        <v>3</v>
      </c>
      <c r="J532" t="n">
        <v>0</v>
      </c>
      <c r="K532" t="n">
        <v>2</v>
      </c>
      <c r="L532" s="5" t="n">
        <v>0.6667</v>
      </c>
      <c r="M532" t="inlineStr">
        <is>
          <t>low</t>
        </is>
      </c>
      <c r="N532" s="6" t="n">
        <v>111493</v>
      </c>
      <c r="O532" s="6" t="n">
        <v>113776</v>
      </c>
      <c r="P532" s="6" t="n">
        <v>111297</v>
      </c>
      <c r="Q532" s="6">
        <f>AVERAGE(N532:P532)</f>
        <v/>
      </c>
      <c r="R532" t="n">
        <v>3</v>
      </c>
      <c r="S532" t="n">
        <v>1</v>
      </c>
      <c r="T532" s="7">
        <f>365*R532*Q532*S532/1000000</f>
        <v/>
      </c>
      <c r="U532" s="8">
        <f>I532/T532</f>
        <v/>
      </c>
      <c r="V532" s="8">
        <f>SUMIF($E$2:$E$599,E532,$I$2:$I$599)/SUMIF($E$2:$E$599,E532,$T$2:$T$599)</f>
        <v/>
      </c>
      <c r="W532" s="8">
        <f>V532+1.645*SQRT(V532/T532)+1/(2*T532)</f>
        <v/>
      </c>
      <c r="X532" s="5">
        <f>U532/W532</f>
        <v/>
      </c>
      <c r="Y532">
        <f>IF(U532&gt;W532,"high",IF(U532&gt;V532,"medium","low"))</f>
        <v/>
      </c>
      <c r="Z532">
        <f>CHOOSE(MAX(IF(M532="high",2,IF(M532="medium",1,0)),IF(Y532="high",2,IF(Y532="medium",1,0)))+1,"low","medium","high")</f>
        <v/>
      </c>
      <c r="AA532">
        <f>IF(IF(M532="high",2,IF(M532="medium",1,0))=IF(Y532="high",2,IF(Y532="medium",1,0)),"SI และ Rate เท่ากัน",IF(IF(M532="high",2,IF(M532="medium",1,0))&gt;IF(Y532="high",2,IF(Y532="medium",1,0)),"SI","Rate"))</f>
        <v/>
      </c>
    </row>
    <row r="533">
      <c r="A533" t="inlineStr">
        <is>
          <t>zone_337</t>
        </is>
      </c>
      <c r="B533" t="inlineStr">
        <is>
          <t>แยกพงษ์เพชร - สะพานพระนั่งเกล้า</t>
        </is>
      </c>
      <c r="C533" t="inlineStr">
        <is>
          <t>นนทบุรี</t>
        </is>
      </c>
      <c r="D533" t="inlineStr">
        <is>
          <t>302</t>
        </is>
      </c>
      <c r="E533" t="inlineStr">
        <is>
          <t>ทล.</t>
        </is>
      </c>
      <c r="F533" t="inlineStr">
        <is>
          <t>7.22–7.3</t>
        </is>
      </c>
      <c r="G533" t="inlineStr">
        <is>
          <t>station_id 104 (ทล.302 กม.5+822)</t>
        </is>
      </c>
      <c r="H533" t="inlineStr">
        <is>
          <t>ทล. สถานีตัวแทนตอนควบคุม</t>
        </is>
      </c>
      <c r="I533" t="n">
        <v>3</v>
      </c>
      <c r="J533" t="n">
        <v>0</v>
      </c>
      <c r="K533" t="n">
        <v>0</v>
      </c>
      <c r="L533" s="5" t="n">
        <v>0</v>
      </c>
      <c r="M533" t="inlineStr">
        <is>
          <t>low</t>
        </is>
      </c>
      <c r="N533" s="6" t="n">
        <v>111493</v>
      </c>
      <c r="O533" s="6" t="n">
        <v>113776</v>
      </c>
      <c r="P533" s="6" t="n">
        <v>111297</v>
      </c>
      <c r="Q533" s="6">
        <f>AVERAGE(N533:P533)</f>
        <v/>
      </c>
      <c r="R533" t="n">
        <v>3</v>
      </c>
      <c r="S533" t="n">
        <v>1</v>
      </c>
      <c r="T533" s="7">
        <f>365*R533*Q533*S533/1000000</f>
        <v/>
      </c>
      <c r="U533" s="8">
        <f>I533/T533</f>
        <v/>
      </c>
      <c r="V533" s="8">
        <f>SUMIF($E$2:$E$599,E533,$I$2:$I$599)/SUMIF($E$2:$E$599,E533,$T$2:$T$599)</f>
        <v/>
      </c>
      <c r="W533" s="8">
        <f>V533+1.645*SQRT(V533/T533)+1/(2*T533)</f>
        <v/>
      </c>
      <c r="X533" s="5">
        <f>U533/W533</f>
        <v/>
      </c>
      <c r="Y533">
        <f>IF(U533&gt;W533,"high",IF(U533&gt;V533,"medium","low"))</f>
        <v/>
      </c>
      <c r="Z533">
        <f>CHOOSE(MAX(IF(M533="high",2,IF(M533="medium",1,0)),IF(Y533="high",2,IF(Y533="medium",1,0)))+1,"low","medium","high")</f>
        <v/>
      </c>
      <c r="AA533">
        <f>IF(IF(M533="high",2,IF(M533="medium",1,0))=IF(Y533="high",2,IF(Y533="medium",1,0)),"SI และ Rate เท่ากัน",IF(IF(M533="high",2,IF(M533="medium",1,0))&gt;IF(Y533="high",2,IF(Y533="medium",1,0)),"SI","Rate"))</f>
        <v/>
      </c>
    </row>
    <row r="534">
      <c r="A534" t="inlineStr">
        <is>
          <t>zone_78</t>
        </is>
      </c>
      <c r="B534" t="inlineStr">
        <is>
          <t>บางปะอิน - แขวงรามอินทรา</t>
        </is>
      </c>
      <c r="C534" t="inlineStr">
        <is>
          <t>ปทุมธานี</t>
        </is>
      </c>
      <c r="D534" t="inlineStr">
        <is>
          <t>9</t>
        </is>
      </c>
      <c r="E534" t="inlineStr">
        <is>
          <t>ทล.</t>
        </is>
      </c>
      <c r="F534" t="inlineStr">
        <is>
          <t>28.7–29</t>
        </is>
      </c>
      <c r="G534" t="inlineStr">
        <is>
          <t>station_id 347 (ทล.9 กม.1+500)</t>
        </is>
      </c>
      <c r="H534" t="inlineStr">
        <is>
          <t>ทล. สถานีตัวแทนตอนควบคุม</t>
        </is>
      </c>
      <c r="I534" t="n">
        <v>4</v>
      </c>
      <c r="J534" t="n">
        <v>0</v>
      </c>
      <c r="K534" t="n">
        <v>3</v>
      </c>
      <c r="L534" s="5" t="n">
        <v>0.75</v>
      </c>
      <c r="M534" t="inlineStr">
        <is>
          <t>low</t>
        </is>
      </c>
      <c r="N534" s="6" t="n">
        <v>146870</v>
      </c>
      <c r="O534" s="6" t="n">
        <v>165212</v>
      </c>
      <c r="P534" s="6" t="n">
        <v>160792</v>
      </c>
      <c r="Q534" s="6">
        <f>AVERAGE(N534:P534)</f>
        <v/>
      </c>
      <c r="R534" t="n">
        <v>3</v>
      </c>
      <c r="S534" t="n">
        <v>1</v>
      </c>
      <c r="T534" s="7">
        <f>365*R534*Q534*S534/1000000</f>
        <v/>
      </c>
      <c r="U534" s="8">
        <f>I534/T534</f>
        <v/>
      </c>
      <c r="V534" s="8">
        <f>SUMIF($E$2:$E$599,E534,$I$2:$I$599)/SUMIF($E$2:$E$599,E534,$T$2:$T$599)</f>
        <v/>
      </c>
      <c r="W534" s="8">
        <f>V534+1.645*SQRT(V534/T534)+1/(2*T534)</f>
        <v/>
      </c>
      <c r="X534" s="5">
        <f>U534/W534</f>
        <v/>
      </c>
      <c r="Y534">
        <f>IF(U534&gt;W534,"high",IF(U534&gt;V534,"medium","low"))</f>
        <v/>
      </c>
      <c r="Z534">
        <f>CHOOSE(MAX(IF(M534="high",2,IF(M534="medium",1,0)),IF(Y534="high",2,IF(Y534="medium",1,0)))+1,"low","medium","high")</f>
        <v/>
      </c>
      <c r="AA534">
        <f>IF(IF(M534="high",2,IF(M534="medium",1,0))=IF(Y534="high",2,IF(Y534="medium",1,0)),"SI และ Rate เท่ากัน",IF(IF(M534="high",2,IF(M534="medium",1,0))&gt;IF(Y534="high",2,IF(Y534="medium",1,0)),"SI","Rate"))</f>
        <v/>
      </c>
    </row>
    <row r="535">
      <c r="A535" t="inlineStr">
        <is>
          <t>zone_384</t>
        </is>
      </c>
      <c r="B535" t="inlineStr">
        <is>
          <t>บางปะอิน - แขวงรามอินทรา</t>
        </is>
      </c>
      <c r="C535" t="inlineStr">
        <is>
          <t>ปทุมธานี</t>
        </is>
      </c>
      <c r="D535" t="inlineStr">
        <is>
          <t>9</t>
        </is>
      </c>
      <c r="E535" t="inlineStr">
        <is>
          <t>ทล.</t>
        </is>
      </c>
      <c r="F535" t="inlineStr">
        <is>
          <t>24.4–24.8</t>
        </is>
      </c>
      <c r="G535" t="inlineStr">
        <is>
          <t>station_id 347 (ทล.9 กม.1+500)</t>
        </is>
      </c>
      <c r="H535" t="inlineStr">
        <is>
          <t>ทล. สถานีตัวแทนตอนควบคุม</t>
        </is>
      </c>
      <c r="I535" t="n">
        <v>4</v>
      </c>
      <c r="J535" t="n">
        <v>0</v>
      </c>
      <c r="K535" t="n">
        <v>1</v>
      </c>
      <c r="L535" s="5" t="n">
        <v>0.25</v>
      </c>
      <c r="M535" t="inlineStr">
        <is>
          <t>low</t>
        </is>
      </c>
      <c r="N535" s="6" t="n">
        <v>146870</v>
      </c>
      <c r="O535" s="6" t="n">
        <v>165212</v>
      </c>
      <c r="P535" s="6" t="n">
        <v>160792</v>
      </c>
      <c r="Q535" s="6">
        <f>AVERAGE(N535:P535)</f>
        <v/>
      </c>
      <c r="R535" t="n">
        <v>3</v>
      </c>
      <c r="S535" t="n">
        <v>1</v>
      </c>
      <c r="T535" s="7">
        <f>365*R535*Q535*S535/1000000</f>
        <v/>
      </c>
      <c r="U535" s="8">
        <f>I535/T535</f>
        <v/>
      </c>
      <c r="V535" s="8">
        <f>SUMIF($E$2:$E$599,E535,$I$2:$I$599)/SUMIF($E$2:$E$599,E535,$T$2:$T$599)</f>
        <v/>
      </c>
      <c r="W535" s="8">
        <f>V535+1.645*SQRT(V535/T535)+1/(2*T535)</f>
        <v/>
      </c>
      <c r="X535" s="5">
        <f>U535/W535</f>
        <v/>
      </c>
      <c r="Y535">
        <f>IF(U535&gt;W535,"high",IF(U535&gt;V535,"medium","low"))</f>
        <v/>
      </c>
      <c r="Z535">
        <f>CHOOSE(MAX(IF(M535="high",2,IF(M535="medium",1,0)),IF(Y535="high",2,IF(Y535="medium",1,0)))+1,"low","medium","high")</f>
        <v/>
      </c>
      <c r="AA535">
        <f>IF(IF(M535="high",2,IF(M535="medium",1,0))=IF(Y535="high",2,IF(Y535="medium",1,0)),"SI และ Rate เท่ากัน",IF(IF(M535="high",2,IF(M535="medium",1,0))&gt;IF(Y535="high",2,IF(Y535="medium",1,0)),"SI","Rate"))</f>
        <v/>
      </c>
    </row>
    <row r="536">
      <c r="A536" t="inlineStr">
        <is>
          <t>zone_398</t>
        </is>
      </c>
      <c r="B536" t="inlineStr">
        <is>
          <t>บางปะอิน - แขวงรามอินทรา</t>
        </is>
      </c>
      <c r="C536" t="inlineStr">
        <is>
          <t>ปทุมธานี</t>
        </is>
      </c>
      <c r="D536" t="inlineStr">
        <is>
          <t>9</t>
        </is>
      </c>
      <c r="E536" t="inlineStr">
        <is>
          <t>ทล.</t>
        </is>
      </c>
      <c r="F536" t="inlineStr">
        <is>
          <t>12–12.2</t>
        </is>
      </c>
      <c r="G536" t="inlineStr">
        <is>
          <t>station_id 347 (ทล.9 กม.1+500)</t>
        </is>
      </c>
      <c r="H536" t="inlineStr">
        <is>
          <t>ทล. สถานีตัวแทนตอนควบคุม</t>
        </is>
      </c>
      <c r="I536" t="n">
        <v>4</v>
      </c>
      <c r="J536" t="n">
        <v>0</v>
      </c>
      <c r="K536" t="n">
        <v>0</v>
      </c>
      <c r="L536" s="5" t="n">
        <v>0</v>
      </c>
      <c r="M536" t="inlineStr">
        <is>
          <t>low</t>
        </is>
      </c>
      <c r="N536" s="6" t="n">
        <v>146870</v>
      </c>
      <c r="O536" s="6" t="n">
        <v>165212</v>
      </c>
      <c r="P536" s="6" t="n">
        <v>160792</v>
      </c>
      <c r="Q536" s="6">
        <f>AVERAGE(N536:P536)</f>
        <v/>
      </c>
      <c r="R536" t="n">
        <v>3</v>
      </c>
      <c r="S536" t="n">
        <v>1</v>
      </c>
      <c r="T536" s="7">
        <f>365*R536*Q536*S536/1000000</f>
        <v/>
      </c>
      <c r="U536" s="8">
        <f>I536/T536</f>
        <v/>
      </c>
      <c r="V536" s="8">
        <f>SUMIF($E$2:$E$599,E536,$I$2:$I$599)/SUMIF($E$2:$E$599,E536,$T$2:$T$599)</f>
        <v/>
      </c>
      <c r="W536" s="8">
        <f>V536+1.645*SQRT(V536/T536)+1/(2*T536)</f>
        <v/>
      </c>
      <c r="X536" s="5">
        <f>U536/W536</f>
        <v/>
      </c>
      <c r="Y536">
        <f>IF(U536&gt;W536,"high",IF(U536&gt;V536,"medium","low"))</f>
        <v/>
      </c>
      <c r="Z536">
        <f>CHOOSE(MAX(IF(M536="high",2,IF(M536="medium",1,0)),IF(Y536="high",2,IF(Y536="medium",1,0)))+1,"low","medium","high")</f>
        <v/>
      </c>
      <c r="AA536">
        <f>IF(IF(M536="high",2,IF(M536="medium",1,0))=IF(Y536="high",2,IF(Y536="medium",1,0)),"SI และ Rate เท่ากัน",IF(IF(M536="high",2,IF(M536="medium",1,0))&gt;IF(Y536="high",2,IF(Y536="medium",1,0)),"SI","Rate"))</f>
        <v/>
      </c>
    </row>
    <row r="537">
      <c r="A537" t="inlineStr">
        <is>
          <t>zone_406</t>
        </is>
      </c>
      <c r="B537" t="inlineStr">
        <is>
          <t>บางปะอิน - แขวงรามอินทรา</t>
        </is>
      </c>
      <c r="C537" t="inlineStr">
        <is>
          <t>ปทุมธานี</t>
        </is>
      </c>
      <c r="D537" t="inlineStr">
        <is>
          <t>9</t>
        </is>
      </c>
      <c r="E537" t="inlineStr">
        <is>
          <t>ทล.</t>
        </is>
      </c>
      <c r="F537" t="inlineStr">
        <is>
          <t>18.2–18.5</t>
        </is>
      </c>
      <c r="G537" t="inlineStr">
        <is>
          <t>station_id 347 (ทล.9 กม.1+500)</t>
        </is>
      </c>
      <c r="H537" t="inlineStr">
        <is>
          <t>ทล. สถานีตัวแทนตอนควบคุม</t>
        </is>
      </c>
      <c r="I537" t="n">
        <v>4</v>
      </c>
      <c r="J537" t="n">
        <v>0</v>
      </c>
      <c r="K537" t="n">
        <v>0</v>
      </c>
      <c r="L537" s="5" t="n">
        <v>0</v>
      </c>
      <c r="M537" t="inlineStr">
        <is>
          <t>low</t>
        </is>
      </c>
      <c r="N537" s="6" t="n">
        <v>146870</v>
      </c>
      <c r="O537" s="6" t="n">
        <v>165212</v>
      </c>
      <c r="P537" s="6" t="n">
        <v>160792</v>
      </c>
      <c r="Q537" s="6">
        <f>AVERAGE(N537:P537)</f>
        <v/>
      </c>
      <c r="R537" t="n">
        <v>3</v>
      </c>
      <c r="S537" t="n">
        <v>1</v>
      </c>
      <c r="T537" s="7">
        <f>365*R537*Q537*S537/1000000</f>
        <v/>
      </c>
      <c r="U537" s="8">
        <f>I537/T537</f>
        <v/>
      </c>
      <c r="V537" s="8">
        <f>SUMIF($E$2:$E$599,E537,$I$2:$I$599)/SUMIF($E$2:$E$599,E537,$T$2:$T$599)</f>
        <v/>
      </c>
      <c r="W537" s="8">
        <f>V537+1.645*SQRT(V537/T537)+1/(2*T537)</f>
        <v/>
      </c>
      <c r="X537" s="5">
        <f>U537/W537</f>
        <v/>
      </c>
      <c r="Y537">
        <f>IF(U537&gt;W537,"high",IF(U537&gt;V537,"medium","low"))</f>
        <v/>
      </c>
      <c r="Z537">
        <f>CHOOSE(MAX(IF(M537="high",2,IF(M537="medium",1,0)),IF(Y537="high",2,IF(Y537="medium",1,0)))+1,"low","medium","high")</f>
        <v/>
      </c>
      <c r="AA537">
        <f>IF(IF(M537="high",2,IF(M537="medium",1,0))=IF(Y537="high",2,IF(Y537="medium",1,0)),"SI และ Rate เท่ากัน",IF(IF(M537="high",2,IF(M537="medium",1,0))&gt;IF(Y537="high",2,IF(Y537="medium",1,0)),"SI","Rate"))</f>
        <v/>
      </c>
    </row>
    <row r="538">
      <c r="A538" t="inlineStr">
        <is>
          <t>zone_424</t>
        </is>
      </c>
      <c r="B538" t="inlineStr">
        <is>
          <t>บางปะอิน - แขวงรามอินทรา</t>
        </is>
      </c>
      <c r="C538" t="inlineStr">
        <is>
          <t>ปทุมธานี</t>
        </is>
      </c>
      <c r="D538" t="inlineStr">
        <is>
          <t>9</t>
        </is>
      </c>
      <c r="E538" t="inlineStr">
        <is>
          <t>ทล.</t>
        </is>
      </c>
      <c r="F538" t="inlineStr">
        <is>
          <t>9.9–10</t>
        </is>
      </c>
      <c r="G538" t="inlineStr">
        <is>
          <t>station_id 347 (ทล.9 กม.1+500)</t>
        </is>
      </c>
      <c r="H538" t="inlineStr">
        <is>
          <t>ทล. สถานีตัวแทนตอนควบคุม</t>
        </is>
      </c>
      <c r="I538" t="n">
        <v>4</v>
      </c>
      <c r="J538" t="n">
        <v>0</v>
      </c>
      <c r="K538" t="n">
        <v>1</v>
      </c>
      <c r="L538" s="5" t="n">
        <v>0.25</v>
      </c>
      <c r="M538" t="inlineStr">
        <is>
          <t>low</t>
        </is>
      </c>
      <c r="N538" s="6" t="n">
        <v>146870</v>
      </c>
      <c r="O538" s="6" t="n">
        <v>165212</v>
      </c>
      <c r="P538" s="6" t="n">
        <v>160792</v>
      </c>
      <c r="Q538" s="6">
        <f>AVERAGE(N538:P538)</f>
        <v/>
      </c>
      <c r="R538" t="n">
        <v>3</v>
      </c>
      <c r="S538" t="n">
        <v>1</v>
      </c>
      <c r="T538" s="7">
        <f>365*R538*Q538*S538/1000000</f>
        <v/>
      </c>
      <c r="U538" s="8">
        <f>I538/T538</f>
        <v/>
      </c>
      <c r="V538" s="8">
        <f>SUMIF($E$2:$E$599,E538,$I$2:$I$599)/SUMIF($E$2:$E$599,E538,$T$2:$T$599)</f>
        <v/>
      </c>
      <c r="W538" s="8">
        <f>V538+1.645*SQRT(V538/T538)+1/(2*T538)</f>
        <v/>
      </c>
      <c r="X538" s="5">
        <f>U538/W538</f>
        <v/>
      </c>
      <c r="Y538">
        <f>IF(U538&gt;W538,"high",IF(U538&gt;V538,"medium","low"))</f>
        <v/>
      </c>
      <c r="Z538">
        <f>CHOOSE(MAX(IF(M538="high",2,IF(M538="medium",1,0)),IF(Y538="high",2,IF(Y538="medium",1,0)))+1,"low","medium","high")</f>
        <v/>
      </c>
      <c r="AA538">
        <f>IF(IF(M538="high",2,IF(M538="medium",1,0))=IF(Y538="high",2,IF(Y538="medium",1,0)),"SI และ Rate เท่ากัน",IF(IF(M538="high",2,IF(M538="medium",1,0))&gt;IF(Y538="high",2,IF(Y538="medium",1,0)),"SI","Rate"))</f>
        <v/>
      </c>
    </row>
    <row r="539">
      <c r="A539" t="inlineStr">
        <is>
          <t>zone_426</t>
        </is>
      </c>
      <c r="B539" t="inlineStr">
        <is>
          <t>บางปะอิน - แขวงรามอินทรา</t>
        </is>
      </c>
      <c r="C539" t="inlineStr">
        <is>
          <t>ปทุมธานี</t>
        </is>
      </c>
      <c r="D539" t="inlineStr">
        <is>
          <t>9</t>
        </is>
      </c>
      <c r="E539" t="inlineStr">
        <is>
          <t>ทล.</t>
        </is>
      </c>
      <c r="F539" t="inlineStr">
        <is>
          <t>10–10.4</t>
        </is>
      </c>
      <c r="G539" t="inlineStr">
        <is>
          <t>station_id 347 (ทล.9 กม.1+500)</t>
        </is>
      </c>
      <c r="H539" t="inlineStr">
        <is>
          <t>ทล. สถานีตัวแทนตอนควบคุม</t>
        </is>
      </c>
      <c r="I539" t="n">
        <v>4</v>
      </c>
      <c r="J539" t="n">
        <v>0</v>
      </c>
      <c r="K539" t="n">
        <v>2</v>
      </c>
      <c r="L539" s="5" t="n">
        <v>0.5</v>
      </c>
      <c r="M539" t="inlineStr">
        <is>
          <t>low</t>
        </is>
      </c>
      <c r="N539" s="6" t="n">
        <v>146870</v>
      </c>
      <c r="O539" s="6" t="n">
        <v>165212</v>
      </c>
      <c r="P539" s="6" t="n">
        <v>160792</v>
      </c>
      <c r="Q539" s="6">
        <f>AVERAGE(N539:P539)</f>
        <v/>
      </c>
      <c r="R539" t="n">
        <v>3</v>
      </c>
      <c r="S539" t="n">
        <v>1</v>
      </c>
      <c r="T539" s="7">
        <f>365*R539*Q539*S539/1000000</f>
        <v/>
      </c>
      <c r="U539" s="8">
        <f>I539/T539</f>
        <v/>
      </c>
      <c r="V539" s="8">
        <f>SUMIF($E$2:$E$599,E539,$I$2:$I$599)/SUMIF($E$2:$E$599,E539,$T$2:$T$599)</f>
        <v/>
      </c>
      <c r="W539" s="8">
        <f>V539+1.645*SQRT(V539/T539)+1/(2*T539)</f>
        <v/>
      </c>
      <c r="X539" s="5">
        <f>U539/W539</f>
        <v/>
      </c>
      <c r="Y539">
        <f>IF(U539&gt;W539,"high",IF(U539&gt;V539,"medium","low"))</f>
        <v/>
      </c>
      <c r="Z539">
        <f>CHOOSE(MAX(IF(M539="high",2,IF(M539="medium",1,0)),IF(Y539="high",2,IF(Y539="medium",1,0)))+1,"low","medium","high")</f>
        <v/>
      </c>
      <c r="AA539">
        <f>IF(IF(M539="high",2,IF(M539="medium",1,0))=IF(Y539="high",2,IF(Y539="medium",1,0)),"SI และ Rate เท่ากัน",IF(IF(M539="high",2,IF(M539="medium",1,0))&gt;IF(Y539="high",2,IF(Y539="medium",1,0)),"SI","Rate"))</f>
        <v/>
      </c>
    </row>
    <row r="540">
      <c r="A540" t="inlineStr">
        <is>
          <t>zone_427</t>
        </is>
      </c>
      <c r="B540" t="inlineStr">
        <is>
          <t>บางปะอิน - แขวงรามอินทรา</t>
        </is>
      </c>
      <c r="C540" t="inlineStr">
        <is>
          <t>ปทุมธานี</t>
        </is>
      </c>
      <c r="D540" t="inlineStr">
        <is>
          <t>9</t>
        </is>
      </c>
      <c r="E540" t="inlineStr">
        <is>
          <t>ทล.</t>
        </is>
      </c>
      <c r="F540" t="inlineStr">
        <is>
          <t>14.2–14.3</t>
        </is>
      </c>
      <c r="G540" t="inlineStr">
        <is>
          <t>station_id 347 (ทล.9 กม.1+500)</t>
        </is>
      </c>
      <c r="H540" t="inlineStr">
        <is>
          <t>ทล. สถานีตัวแทนตอนควบคุม</t>
        </is>
      </c>
      <c r="I540" t="n">
        <v>4</v>
      </c>
      <c r="J540" t="n">
        <v>0</v>
      </c>
      <c r="K540" t="n">
        <v>1</v>
      </c>
      <c r="L540" s="5" t="n">
        <v>0.25</v>
      </c>
      <c r="M540" t="inlineStr">
        <is>
          <t>low</t>
        </is>
      </c>
      <c r="N540" s="6" t="n">
        <v>146870</v>
      </c>
      <c r="O540" s="6" t="n">
        <v>165212</v>
      </c>
      <c r="P540" s="6" t="n">
        <v>160792</v>
      </c>
      <c r="Q540" s="6">
        <f>AVERAGE(N540:P540)</f>
        <v/>
      </c>
      <c r="R540" t="n">
        <v>3</v>
      </c>
      <c r="S540" t="n">
        <v>1</v>
      </c>
      <c r="T540" s="7">
        <f>365*R540*Q540*S540/1000000</f>
        <v/>
      </c>
      <c r="U540" s="8">
        <f>I540/T540</f>
        <v/>
      </c>
      <c r="V540" s="8">
        <f>SUMIF($E$2:$E$599,E540,$I$2:$I$599)/SUMIF($E$2:$E$599,E540,$T$2:$T$599)</f>
        <v/>
      </c>
      <c r="W540" s="8">
        <f>V540+1.645*SQRT(V540/T540)+1/(2*T540)</f>
        <v/>
      </c>
      <c r="X540" s="5">
        <f>U540/W540</f>
        <v/>
      </c>
      <c r="Y540">
        <f>IF(U540&gt;W540,"high",IF(U540&gt;V540,"medium","low"))</f>
        <v/>
      </c>
      <c r="Z540">
        <f>CHOOSE(MAX(IF(M540="high",2,IF(M540="medium",1,0)),IF(Y540="high",2,IF(Y540="medium",1,0)))+1,"low","medium","high")</f>
        <v/>
      </c>
      <c r="AA540">
        <f>IF(IF(M540="high",2,IF(M540="medium",1,0))=IF(Y540="high",2,IF(Y540="medium",1,0)),"SI และ Rate เท่ากัน",IF(IF(M540="high",2,IF(M540="medium",1,0))&gt;IF(Y540="high",2,IF(Y540="medium",1,0)),"SI","Rate"))</f>
        <v/>
      </c>
    </row>
    <row r="541">
      <c r="A541" t="inlineStr">
        <is>
          <t>zone_209</t>
        </is>
      </c>
      <c r="B541" t="inlineStr">
        <is>
          <t>แขวงรามอินทรา - บางพลี</t>
        </is>
      </c>
      <c r="C541" t="inlineStr">
        <is>
          <t>กรุงเทพมหานคร</t>
        </is>
      </c>
      <c r="D541" t="inlineStr">
        <is>
          <t>9</t>
        </is>
      </c>
      <c r="E541" t="inlineStr">
        <is>
          <t>ทล.</t>
        </is>
      </c>
      <c r="F541" t="inlineStr">
        <is>
          <t>57.3–57.4</t>
        </is>
      </c>
      <c r="G541" t="inlineStr">
        <is>
          <t>station_id 348 (ทล.9 กม.59+500)</t>
        </is>
      </c>
      <c r="H541" t="inlineStr">
        <is>
          <t>ทล. สถานีตัวแทนตอนควบคุม</t>
        </is>
      </c>
      <c r="I541" t="n">
        <v>3</v>
      </c>
      <c r="J541" t="n">
        <v>0</v>
      </c>
      <c r="K541" t="n">
        <v>0</v>
      </c>
      <c r="L541" s="5" t="n">
        <v>0</v>
      </c>
      <c r="M541" t="inlineStr">
        <is>
          <t>low</t>
        </is>
      </c>
      <c r="N541" s="6" t="n">
        <v>110915</v>
      </c>
      <c r="O541" s="6" t="n">
        <v>117953</v>
      </c>
      <c r="P541" s="6" t="n">
        <v>117813</v>
      </c>
      <c r="Q541" s="6">
        <f>AVERAGE(N541:P541)</f>
        <v/>
      </c>
      <c r="R541" t="n">
        <v>3</v>
      </c>
      <c r="S541" t="n">
        <v>1</v>
      </c>
      <c r="T541" s="7">
        <f>365*R541*Q541*S541/1000000</f>
        <v/>
      </c>
      <c r="U541" s="8">
        <f>I541/T541</f>
        <v/>
      </c>
      <c r="V541" s="8">
        <f>SUMIF($E$2:$E$599,E541,$I$2:$I$599)/SUMIF($E$2:$E$599,E541,$T$2:$T$599)</f>
        <v/>
      </c>
      <c r="W541" s="8">
        <f>V541+1.645*SQRT(V541/T541)+1/(2*T541)</f>
        <v/>
      </c>
      <c r="X541" s="5">
        <f>U541/W541</f>
        <v/>
      </c>
      <c r="Y541">
        <f>IF(U541&gt;W541,"high",IF(U541&gt;V541,"medium","low"))</f>
        <v/>
      </c>
      <c r="Z541">
        <f>CHOOSE(MAX(IF(M541="high",2,IF(M541="medium",1,0)),IF(Y541="high",2,IF(Y541="medium",1,0)))+1,"low","medium","high")</f>
        <v/>
      </c>
      <c r="AA541">
        <f>IF(IF(M541="high",2,IF(M541="medium",1,0))=IF(Y541="high",2,IF(Y541="medium",1,0)),"SI และ Rate เท่ากัน",IF(IF(M541="high",2,IF(M541="medium",1,0))&gt;IF(Y541="high",2,IF(Y541="medium",1,0)),"SI","Rate"))</f>
        <v/>
      </c>
    </row>
    <row r="542">
      <c r="A542" t="inlineStr">
        <is>
          <t>zone_470</t>
        </is>
      </c>
      <c r="B542" t="inlineStr">
        <is>
          <t>บางนา - ทางเข้าท่าอากาศยานสุวรรณภูมิ</t>
        </is>
      </c>
      <c r="C542" t="inlineStr">
        <is>
          <t>สมุทรปราการ</t>
        </is>
      </c>
      <c r="D542" t="inlineStr">
        <is>
          <t>34</t>
        </is>
      </c>
      <c r="E542" t="inlineStr">
        <is>
          <t>ทล.</t>
        </is>
      </c>
      <c r="F542" t="inlineStr">
        <is>
          <t>7.7–8</t>
        </is>
      </c>
      <c r="G542" t="inlineStr">
        <is>
          <t>station_id 92 (ทล.34 กม.3+904)</t>
        </is>
      </c>
      <c r="H542" t="inlineStr">
        <is>
          <t>ทล. สถานีตัวแทนตอนควบคุม</t>
        </is>
      </c>
      <c r="I542" t="n">
        <v>5</v>
      </c>
      <c r="J542" t="n">
        <v>1</v>
      </c>
      <c r="K542" t="n">
        <v>3</v>
      </c>
      <c r="L542" s="5" t="n">
        <v>0.8</v>
      </c>
      <c r="M542" t="inlineStr">
        <is>
          <t>low</t>
        </is>
      </c>
      <c r="N542" s="6" t="n">
        <v>212917</v>
      </c>
      <c r="O542" s="6" t="n">
        <v>210163</v>
      </c>
      <c r="P542" s="6" t="n">
        <v>210050</v>
      </c>
      <c r="Q542" s="6">
        <f>AVERAGE(N542:P542)</f>
        <v/>
      </c>
      <c r="R542" t="n">
        <v>3</v>
      </c>
      <c r="S542" t="n">
        <v>1</v>
      </c>
      <c r="T542" s="7">
        <f>365*R542*Q542*S542/1000000</f>
        <v/>
      </c>
      <c r="U542" s="8">
        <f>I542/T542</f>
        <v/>
      </c>
      <c r="V542" s="8">
        <f>SUMIF($E$2:$E$599,E542,$I$2:$I$599)/SUMIF($E$2:$E$599,E542,$T$2:$T$599)</f>
        <v/>
      </c>
      <c r="W542" s="8">
        <f>V542+1.645*SQRT(V542/T542)+1/(2*T542)</f>
        <v/>
      </c>
      <c r="X542" s="5">
        <f>U542/W542</f>
        <v/>
      </c>
      <c r="Y542">
        <f>IF(U542&gt;W542,"high",IF(U542&gt;V542,"medium","low"))</f>
        <v/>
      </c>
      <c r="Z542">
        <f>CHOOSE(MAX(IF(M542="high",2,IF(M542="medium",1,0)),IF(Y542="high",2,IF(Y542="medium",1,0)))+1,"low","medium","high")</f>
        <v/>
      </c>
      <c r="AA542">
        <f>IF(IF(M542="high",2,IF(M542="medium",1,0))=IF(Y542="high",2,IF(Y542="medium",1,0)),"SI และ Rate เท่ากัน",IF(IF(M542="high",2,IF(M542="medium",1,0))&gt;IF(Y542="high",2,IF(Y542="medium",1,0)),"SI","Rate"))</f>
        <v/>
      </c>
    </row>
    <row r="543">
      <c r="A543" t="inlineStr">
        <is>
          <t>zone_159</t>
        </is>
      </c>
      <c r="B543" t="inlineStr">
        <is>
          <t>บางแค - คลองมหาสวัสดิ์</t>
        </is>
      </c>
      <c r="C543" t="inlineStr">
        <is>
          <t>กรุงเทพมหานคร</t>
        </is>
      </c>
      <c r="D543" t="inlineStr">
        <is>
          <t>9</t>
        </is>
      </c>
      <c r="E543" t="inlineStr">
        <is>
          <t>ทล.</t>
        </is>
      </c>
      <c r="F543" t="inlineStr">
        <is>
          <t>22–23.2</t>
        </is>
      </c>
      <c r="G543" t="inlineStr">
        <is>
          <t>station_id 123 (ทล.9 กม.20+430)</t>
        </is>
      </c>
      <c r="H543" t="inlineStr">
        <is>
          <t>ทล. สถานีตัวแทนตอนควบคุม</t>
        </is>
      </c>
      <c r="I543" t="n">
        <v>4</v>
      </c>
      <c r="J543" t="n">
        <v>0</v>
      </c>
      <c r="K543" t="n">
        <v>0</v>
      </c>
      <c r="L543" s="5" t="n">
        <v>0</v>
      </c>
      <c r="M543" t="inlineStr">
        <is>
          <t>low</t>
        </is>
      </c>
      <c r="N543" s="6" t="n">
        <v>161583</v>
      </c>
      <c r="O543" s="6" t="n">
        <v>167210</v>
      </c>
      <c r="P543" s="6" t="n">
        <v>164129</v>
      </c>
      <c r="Q543" s="6">
        <f>AVERAGE(N543:P543)</f>
        <v/>
      </c>
      <c r="R543" t="n">
        <v>3</v>
      </c>
      <c r="S543" t="n">
        <v>1</v>
      </c>
      <c r="T543" s="7">
        <f>365*R543*Q543*S543/1000000</f>
        <v/>
      </c>
      <c r="U543" s="8">
        <f>I543/T543</f>
        <v/>
      </c>
      <c r="V543" s="8">
        <f>SUMIF($E$2:$E$599,E543,$I$2:$I$599)/SUMIF($E$2:$E$599,E543,$T$2:$T$599)</f>
        <v/>
      </c>
      <c r="W543" s="8">
        <f>V543+1.645*SQRT(V543/T543)+1/(2*T543)</f>
        <v/>
      </c>
      <c r="X543" s="5">
        <f>U543/W543</f>
        <v/>
      </c>
      <c r="Y543">
        <f>IF(U543&gt;W543,"high",IF(U543&gt;V543,"medium","low"))</f>
        <v/>
      </c>
      <c r="Z543">
        <f>CHOOSE(MAX(IF(M543="high",2,IF(M543="medium",1,0)),IF(Y543="high",2,IF(Y543="medium",1,0)))+1,"low","medium","high")</f>
        <v/>
      </c>
      <c r="AA543">
        <f>IF(IF(M543="high",2,IF(M543="medium",1,0))=IF(Y543="high",2,IF(Y543="medium",1,0)),"SI และ Rate เท่ากัน",IF(IF(M543="high",2,IF(M543="medium",1,0))&gt;IF(Y543="high",2,IF(Y543="medium",1,0)),"SI","Rate"))</f>
        <v/>
      </c>
    </row>
    <row r="544">
      <c r="A544" t="inlineStr">
        <is>
          <t>zone_401</t>
        </is>
      </c>
      <c r="B544" t="inlineStr">
        <is>
          <t>สะพานคลองเปรม - สะพานข้ามแม่น้ำเจ้าพระยาปทุมธานี</t>
        </is>
      </c>
      <c r="C544" t="inlineStr">
        <is>
          <t>ปทุมธานี</t>
        </is>
      </c>
      <c r="D544" t="inlineStr">
        <is>
          <t>346</t>
        </is>
      </c>
      <c r="E544" t="inlineStr">
        <is>
          <t>ทล.</t>
        </is>
      </c>
      <c r="F544" t="inlineStr">
        <is>
          <t>2.5–2.5</t>
        </is>
      </c>
      <c r="G544" t="inlineStr">
        <is>
          <t>station_id 79 (ทล.346 กม.1+800)</t>
        </is>
      </c>
      <c r="H544" t="inlineStr">
        <is>
          <t>ทล. สถานีตัวแทนตอนควบคุม</t>
        </is>
      </c>
      <c r="I544" t="n">
        <v>4</v>
      </c>
      <c r="J544" t="n">
        <v>0</v>
      </c>
      <c r="K544" t="n">
        <v>3</v>
      </c>
      <c r="L544" s="5" t="n">
        <v>0.75</v>
      </c>
      <c r="M544" t="inlineStr">
        <is>
          <t>low</t>
        </is>
      </c>
      <c r="N544" s="6" t="n">
        <v>160850</v>
      </c>
      <c r="O544" s="6" t="n">
        <v>169108</v>
      </c>
      <c r="P544" s="6" t="n">
        <v>169276</v>
      </c>
      <c r="Q544" s="6">
        <f>AVERAGE(N544:P544)</f>
        <v/>
      </c>
      <c r="R544" t="n">
        <v>3</v>
      </c>
      <c r="S544" t="n">
        <v>1</v>
      </c>
      <c r="T544" s="7">
        <f>365*R544*Q544*S544/1000000</f>
        <v/>
      </c>
      <c r="U544" s="8">
        <f>I544/T544</f>
        <v/>
      </c>
      <c r="V544" s="8">
        <f>SUMIF($E$2:$E$599,E544,$I$2:$I$599)/SUMIF($E$2:$E$599,E544,$T$2:$T$599)</f>
        <v/>
      </c>
      <c r="W544" s="8">
        <f>V544+1.645*SQRT(V544/T544)+1/(2*T544)</f>
        <v/>
      </c>
      <c r="X544" s="5">
        <f>U544/W544</f>
        <v/>
      </c>
      <c r="Y544">
        <f>IF(U544&gt;W544,"high",IF(U544&gt;V544,"medium","low"))</f>
        <v/>
      </c>
      <c r="Z544">
        <f>CHOOSE(MAX(IF(M544="high",2,IF(M544="medium",1,0)),IF(Y544="high",2,IF(Y544="medium",1,0)))+1,"low","medium","high")</f>
        <v/>
      </c>
      <c r="AA544">
        <f>IF(IF(M544="high",2,IF(M544="medium",1,0))=IF(Y544="high",2,IF(Y544="medium",1,0)),"SI และ Rate เท่ากัน",IF(IF(M544="high",2,IF(M544="medium",1,0))&gt;IF(Y544="high",2,IF(Y544="medium",1,0)),"SI","Rate"))</f>
        <v/>
      </c>
    </row>
    <row r="545">
      <c r="A545" t="inlineStr">
        <is>
          <t>zone_418</t>
        </is>
      </c>
      <c r="B545" t="inlineStr">
        <is>
          <t>ต่างระดับคลองหลวง - ประตูน้ำพระอินทร์</t>
        </is>
      </c>
      <c r="C545" t="inlineStr">
        <is>
          <t>ปทุมธานี</t>
        </is>
      </c>
      <c r="D545" t="inlineStr">
        <is>
          <t>1</t>
        </is>
      </c>
      <c r="E545" t="inlineStr">
        <is>
          <t>ทล.</t>
        </is>
      </c>
      <c r="F545" t="inlineStr">
        <is>
          <t>45.63–45.95</t>
        </is>
      </c>
      <c r="G545" t="inlineStr">
        <is>
          <t>station_id 72 (ทล.1 กม.48+100)</t>
        </is>
      </c>
      <c r="H545" t="inlineStr">
        <is>
          <t>ทล. สถานีตัวแทนตอนควบคุม</t>
        </is>
      </c>
      <c r="I545" t="n">
        <v>5</v>
      </c>
      <c r="J545" t="n">
        <v>2</v>
      </c>
      <c r="K545" t="n">
        <v>1</v>
      </c>
      <c r="L545" s="5" t="n">
        <v>0.6</v>
      </c>
      <c r="M545" t="inlineStr">
        <is>
          <t>low</t>
        </is>
      </c>
      <c r="N545" s="6" t="n">
        <v>222582</v>
      </c>
      <c r="O545" s="6" t="n">
        <v>231731</v>
      </c>
      <c r="P545" s="6" t="n">
        <v>231957</v>
      </c>
      <c r="Q545" s="6">
        <f>AVERAGE(N545:P545)</f>
        <v/>
      </c>
      <c r="R545" t="n">
        <v>3</v>
      </c>
      <c r="S545" t="n">
        <v>1</v>
      </c>
      <c r="T545" s="7">
        <f>365*R545*Q545*S545/1000000</f>
        <v/>
      </c>
      <c r="U545" s="8">
        <f>I545/T545</f>
        <v/>
      </c>
      <c r="V545" s="8">
        <f>SUMIF($E$2:$E$599,E545,$I$2:$I$599)/SUMIF($E$2:$E$599,E545,$T$2:$T$599)</f>
        <v/>
      </c>
      <c r="W545" s="8">
        <f>V545+1.645*SQRT(V545/T545)+1/(2*T545)</f>
        <v/>
      </c>
      <c r="X545" s="5">
        <f>U545/W545</f>
        <v/>
      </c>
      <c r="Y545">
        <f>IF(U545&gt;W545,"high",IF(U545&gt;V545,"medium","low"))</f>
        <v/>
      </c>
      <c r="Z545">
        <f>CHOOSE(MAX(IF(M545="high",2,IF(M545="medium",1,0)),IF(Y545="high",2,IF(Y545="medium",1,0)))+1,"low","medium","high")</f>
        <v/>
      </c>
      <c r="AA545">
        <f>IF(IF(M545="high",2,IF(M545="medium",1,0))=IF(Y545="high",2,IF(Y545="medium",1,0)),"SI และ Rate เท่ากัน",IF(IF(M545="high",2,IF(M545="medium",1,0))&gt;IF(Y545="high",2,IF(Y545="medium",1,0)),"SI","Rate"))</f>
        <v/>
      </c>
    </row>
    <row r="546">
      <c r="A546" t="inlineStr">
        <is>
          <t>zone_221</t>
        </is>
      </c>
      <c r="B546" t="inlineStr">
        <is>
          <t>แขวงคลองสองต้นนุ่น - พิมพา</t>
        </is>
      </c>
      <c r="C546" t="inlineStr">
        <is>
          <t>กรุงเทพมหานคร</t>
        </is>
      </c>
      <c r="D546" t="inlineStr">
        <is>
          <t>7</t>
        </is>
      </c>
      <c r="E546" t="inlineStr">
        <is>
          <t>ทล.</t>
        </is>
      </c>
      <c r="F546" t="inlineStr">
        <is>
          <t>19.4–19.6</t>
        </is>
      </c>
      <c r="G546" t="inlineStr">
        <is>
          <t>station_id 345 (ทล.7 กม.17+000)</t>
        </is>
      </c>
      <c r="H546" t="inlineStr">
        <is>
          <t>ทล. สถานีตัวแทนตอนควบคุม</t>
        </is>
      </c>
      <c r="I546" t="n">
        <v>5</v>
      </c>
      <c r="J546" t="n">
        <v>0</v>
      </c>
      <c r="K546" t="n">
        <v>3</v>
      </c>
      <c r="L546" s="5" t="n">
        <v>0.6</v>
      </c>
      <c r="M546" t="inlineStr">
        <is>
          <t>low</t>
        </is>
      </c>
      <c r="N546" s="6" t="n">
        <v>220901</v>
      </c>
      <c r="O546" s="6" t="n">
        <v>242192</v>
      </c>
      <c r="P546" s="6" t="n">
        <v>262343</v>
      </c>
      <c r="Q546" s="6">
        <f>AVERAGE(N546:P546)</f>
        <v/>
      </c>
      <c r="R546" t="n">
        <v>3</v>
      </c>
      <c r="S546" t="n">
        <v>1</v>
      </c>
      <c r="T546" s="7">
        <f>365*R546*Q546*S546/1000000</f>
        <v/>
      </c>
      <c r="U546" s="8">
        <f>I546/T546</f>
        <v/>
      </c>
      <c r="V546" s="8">
        <f>SUMIF($E$2:$E$599,E546,$I$2:$I$599)/SUMIF($E$2:$E$599,E546,$T$2:$T$599)</f>
        <v/>
      </c>
      <c r="W546" s="8">
        <f>V546+1.645*SQRT(V546/T546)+1/(2*T546)</f>
        <v/>
      </c>
      <c r="X546" s="5">
        <f>U546/W546</f>
        <v/>
      </c>
      <c r="Y546">
        <f>IF(U546&gt;W546,"high",IF(U546&gt;V546,"medium","low"))</f>
        <v/>
      </c>
      <c r="Z546">
        <f>CHOOSE(MAX(IF(M546="high",2,IF(M546="medium",1,0)),IF(Y546="high",2,IF(Y546="medium",1,0)))+1,"low","medium","high")</f>
        <v/>
      </c>
      <c r="AA546">
        <f>IF(IF(M546="high",2,IF(M546="medium",1,0))=IF(Y546="high",2,IF(Y546="medium",1,0)),"SI และ Rate เท่ากัน",IF(IF(M546="high",2,IF(M546="medium",1,0))&gt;IF(Y546="high",2,IF(Y546="medium",1,0)),"SI","Rate"))</f>
        <v/>
      </c>
    </row>
    <row r="547">
      <c r="A547" t="inlineStr">
        <is>
          <t>zone_466</t>
        </is>
      </c>
      <c r="B547" t="inlineStr">
        <is>
          <t>แขวงคลองสองต้นนุ่น - พิมพา</t>
        </is>
      </c>
      <c r="C547" t="inlineStr">
        <is>
          <t>สมุทรปราการ</t>
        </is>
      </c>
      <c r="D547" t="inlineStr">
        <is>
          <t>7</t>
        </is>
      </c>
      <c r="E547" t="inlineStr">
        <is>
          <t>ทล.</t>
        </is>
      </c>
      <c r="F547" t="inlineStr">
        <is>
          <t>24.4–24.6</t>
        </is>
      </c>
      <c r="G547" t="inlineStr">
        <is>
          <t>station_id 345 (ทล.7 กม.17+000)</t>
        </is>
      </c>
      <c r="H547" t="inlineStr">
        <is>
          <t>ทล. สถานีตัวแทนตอนควบคุม</t>
        </is>
      </c>
      <c r="I547" t="n">
        <v>5</v>
      </c>
      <c r="J547" t="n">
        <v>0</v>
      </c>
      <c r="K547" t="n">
        <v>1</v>
      </c>
      <c r="L547" s="5" t="n">
        <v>0.2</v>
      </c>
      <c r="M547" t="inlineStr">
        <is>
          <t>low</t>
        </is>
      </c>
      <c r="N547" s="6" t="n">
        <v>220901</v>
      </c>
      <c r="O547" s="6" t="n">
        <v>242192</v>
      </c>
      <c r="P547" s="6" t="n">
        <v>262343</v>
      </c>
      <c r="Q547" s="6">
        <f>AVERAGE(N547:P547)</f>
        <v/>
      </c>
      <c r="R547" t="n">
        <v>3</v>
      </c>
      <c r="S547" t="n">
        <v>1</v>
      </c>
      <c r="T547" s="7">
        <f>365*R547*Q547*S547/1000000</f>
        <v/>
      </c>
      <c r="U547" s="8">
        <f>I547/T547</f>
        <v/>
      </c>
      <c r="V547" s="8">
        <f>SUMIF($E$2:$E$599,E547,$I$2:$I$599)/SUMIF($E$2:$E$599,E547,$T$2:$T$599)</f>
        <v/>
      </c>
      <c r="W547" s="8">
        <f>V547+1.645*SQRT(V547/T547)+1/(2*T547)</f>
        <v/>
      </c>
      <c r="X547" s="5">
        <f>U547/W547</f>
        <v/>
      </c>
      <c r="Y547">
        <f>IF(U547&gt;W547,"high",IF(U547&gt;V547,"medium","low"))</f>
        <v/>
      </c>
      <c r="Z547">
        <f>CHOOSE(MAX(IF(M547="high",2,IF(M547="medium",1,0)),IF(Y547="high",2,IF(Y547="medium",1,0)))+1,"low","medium","high")</f>
        <v/>
      </c>
      <c r="AA547">
        <f>IF(IF(M547="high",2,IF(M547="medium",1,0))=IF(Y547="high",2,IF(Y547="medium",1,0)),"SI และ Rate เท่ากัน",IF(IF(M547="high",2,IF(M547="medium",1,0))&gt;IF(Y547="high",2,IF(Y547="medium",1,0)),"SI","Rate"))</f>
        <v/>
      </c>
    </row>
    <row r="548">
      <c r="A548" t="inlineStr">
        <is>
          <t>zone_449</t>
        </is>
      </c>
      <c r="B548" t="inlineStr">
        <is>
          <t>ทางเข้าท่าอากาศยานสุวรรณภูมิ - บางวัว</t>
        </is>
      </c>
      <c r="C548" t="inlineStr">
        <is>
          <t>สมุทรปราการ</t>
        </is>
      </c>
      <c r="D548" t="inlineStr">
        <is>
          <t>34</t>
        </is>
      </c>
      <c r="E548" t="inlineStr">
        <is>
          <t>ทล.</t>
        </is>
      </c>
      <c r="F548" t="inlineStr">
        <is>
          <t>15–15.3</t>
        </is>
      </c>
      <c r="G548" t="inlineStr">
        <is>
          <t>station_id 95 (ทล.34 กม.15+100)</t>
        </is>
      </c>
      <c r="H548" t="inlineStr">
        <is>
          <t>ทล. สถานีตัวแทนตอนควบคุม</t>
        </is>
      </c>
      <c r="I548" t="n">
        <v>5</v>
      </c>
      <c r="J548" t="n">
        <v>0</v>
      </c>
      <c r="K548" t="n">
        <v>2</v>
      </c>
      <c r="L548" s="5" t="n">
        <v>0.4</v>
      </c>
      <c r="M548" t="inlineStr">
        <is>
          <t>low</t>
        </is>
      </c>
      <c r="N548" s="6" t="n">
        <v>226283</v>
      </c>
      <c r="O548" s="6" t="n">
        <v>252612</v>
      </c>
      <c r="P548" s="6" t="n">
        <v>250222</v>
      </c>
      <c r="Q548" s="6">
        <f>AVERAGE(N548:P548)</f>
        <v/>
      </c>
      <c r="R548" t="n">
        <v>3</v>
      </c>
      <c r="S548" t="n">
        <v>1</v>
      </c>
      <c r="T548" s="7">
        <f>365*R548*Q548*S548/1000000</f>
        <v/>
      </c>
      <c r="U548" s="8">
        <f>I548/T548</f>
        <v/>
      </c>
      <c r="V548" s="8">
        <f>SUMIF($E$2:$E$599,E548,$I$2:$I$599)/SUMIF($E$2:$E$599,E548,$T$2:$T$599)</f>
        <v/>
      </c>
      <c r="W548" s="8">
        <f>V548+1.645*SQRT(V548/T548)+1/(2*T548)</f>
        <v/>
      </c>
      <c r="X548" s="5">
        <f>U548/W548</f>
        <v/>
      </c>
      <c r="Y548">
        <f>IF(U548&gt;W548,"high",IF(U548&gt;V548,"medium","low"))</f>
        <v/>
      </c>
      <c r="Z548">
        <f>CHOOSE(MAX(IF(M548="high",2,IF(M548="medium",1,0)),IF(Y548="high",2,IF(Y548="medium",1,0)))+1,"low","medium","high")</f>
        <v/>
      </c>
      <c r="AA548">
        <f>IF(IF(M548="high",2,IF(M548="medium",1,0))=IF(Y548="high",2,IF(Y548="medium",1,0)),"SI และ Rate เท่ากัน",IF(IF(M548="high",2,IF(M548="medium",1,0))&gt;IF(Y548="high",2,IF(Y548="medium",1,0)),"SI","Rate"))</f>
        <v/>
      </c>
    </row>
    <row r="549">
      <c r="A549" t="inlineStr">
        <is>
          <t>zone_542</t>
        </is>
      </c>
      <c r="B549" t="inlineStr">
        <is>
          <t>ทางเข้าท่าอากาศยานสุวรรณภูมิ - บางวัว</t>
        </is>
      </c>
      <c r="C549" t="inlineStr">
        <is>
          <t>สมุทรปราการ</t>
        </is>
      </c>
      <c r="D549" t="inlineStr">
        <is>
          <t>34</t>
        </is>
      </c>
      <c r="E549" t="inlineStr">
        <is>
          <t>ทล.</t>
        </is>
      </c>
      <c r="F549" t="inlineStr">
        <is>
          <t>33–33.05</t>
        </is>
      </c>
      <c r="G549" t="inlineStr">
        <is>
          <t>station_id 95 (ทล.34 กม.15+100)</t>
        </is>
      </c>
      <c r="H549" t="inlineStr">
        <is>
          <t>ทล. สถานีตัวแทนตอนควบคุม</t>
        </is>
      </c>
      <c r="I549" t="n">
        <v>5</v>
      </c>
      <c r="J549" t="n">
        <v>0</v>
      </c>
      <c r="K549" t="n">
        <v>1</v>
      </c>
      <c r="L549" s="5" t="n">
        <v>0.2</v>
      </c>
      <c r="M549" t="inlineStr">
        <is>
          <t>low</t>
        </is>
      </c>
      <c r="N549" s="6" t="n">
        <v>226283</v>
      </c>
      <c r="O549" s="6" t="n">
        <v>252612</v>
      </c>
      <c r="P549" s="6" t="n">
        <v>250222</v>
      </c>
      <c r="Q549" s="6">
        <f>AVERAGE(N549:P549)</f>
        <v/>
      </c>
      <c r="R549" t="n">
        <v>3</v>
      </c>
      <c r="S549" t="n">
        <v>1</v>
      </c>
      <c r="T549" s="7">
        <f>365*R549*Q549*S549/1000000</f>
        <v/>
      </c>
      <c r="U549" s="8">
        <f>I549/T549</f>
        <v/>
      </c>
      <c r="V549" s="8">
        <f>SUMIF($E$2:$E$599,E549,$I$2:$I$599)/SUMIF($E$2:$E$599,E549,$T$2:$T$599)</f>
        <v/>
      </c>
      <c r="W549" s="8">
        <f>V549+1.645*SQRT(V549/T549)+1/(2*T549)</f>
        <v/>
      </c>
      <c r="X549" s="5">
        <f>U549/W549</f>
        <v/>
      </c>
      <c r="Y549">
        <f>IF(U549&gt;W549,"high",IF(U549&gt;V549,"medium","low"))</f>
        <v/>
      </c>
      <c r="Z549">
        <f>CHOOSE(MAX(IF(M549="high",2,IF(M549="medium",1,0)),IF(Y549="high",2,IF(Y549="medium",1,0)))+1,"low","medium","high")</f>
        <v/>
      </c>
      <c r="AA549">
        <f>IF(IF(M549="high",2,IF(M549="medium",1,0))=IF(Y549="high",2,IF(Y549="medium",1,0)),"SI และ Rate เท่ากัน",IF(IF(M549="high",2,IF(M549="medium",1,0))&gt;IF(Y549="high",2,IF(Y549="medium",1,0)),"SI","Rate"))</f>
        <v/>
      </c>
    </row>
    <row r="550">
      <c r="A550" t="inlineStr">
        <is>
          <t>zone_360</t>
        </is>
      </c>
      <c r="B550" t="inlineStr">
        <is>
          <t>พุทธมณฑลสาย4 - นครชัยศรี</t>
        </is>
      </c>
      <c r="C550" t="inlineStr">
        <is>
          <t>นครปฐม</t>
        </is>
      </c>
      <c r="D550" t="inlineStr">
        <is>
          <t>338</t>
        </is>
      </c>
      <c r="E550" t="inlineStr">
        <is>
          <t>ทล.</t>
        </is>
      </c>
      <c r="F550" t="inlineStr">
        <is>
          <t>21.275–21.7</t>
        </is>
      </c>
      <c r="G550" t="inlineStr">
        <is>
          <t>station_id 63 (ทล.338 กม.22+081)</t>
        </is>
      </c>
      <c r="H550" t="inlineStr">
        <is>
          <t>ทล. สถานีตัวแทนตอนควบคุม</t>
        </is>
      </c>
      <c r="I550" t="n">
        <v>3</v>
      </c>
      <c r="J550" t="n">
        <v>0</v>
      </c>
      <c r="K550" t="n">
        <v>0</v>
      </c>
      <c r="L550" s="5" t="n">
        <v>0</v>
      </c>
      <c r="M550" t="inlineStr">
        <is>
          <t>low</t>
        </is>
      </c>
      <c r="N550" s="6" t="n">
        <v>126567</v>
      </c>
      <c r="O550" s="6" t="n">
        <v>136180</v>
      </c>
      <c r="P550" s="6" t="n">
        <v>141795</v>
      </c>
      <c r="Q550" s="6">
        <f>AVERAGE(N550:P550)</f>
        <v/>
      </c>
      <c r="R550" t="n">
        <v>3</v>
      </c>
      <c r="S550" t="n">
        <v>1</v>
      </c>
      <c r="T550" s="7">
        <f>365*R550*Q550*S550/1000000</f>
        <v/>
      </c>
      <c r="U550" s="8">
        <f>I550/T550</f>
        <v/>
      </c>
      <c r="V550" s="8">
        <f>SUMIF($E$2:$E$599,E550,$I$2:$I$599)/SUMIF($E$2:$E$599,E550,$T$2:$T$599)</f>
        <v/>
      </c>
      <c r="W550" s="8">
        <f>V550+1.645*SQRT(V550/T550)+1/(2*T550)</f>
        <v/>
      </c>
      <c r="X550" s="5">
        <f>U550/W550</f>
        <v/>
      </c>
      <c r="Y550">
        <f>IF(U550&gt;W550,"high",IF(U550&gt;V550,"medium","low"))</f>
        <v/>
      </c>
      <c r="Z550">
        <f>CHOOSE(MAX(IF(M550="high",2,IF(M550="medium",1,0)),IF(Y550="high",2,IF(Y550="medium",1,0)))+1,"low","medium","high")</f>
        <v/>
      </c>
      <c r="AA550">
        <f>IF(IF(M550="high",2,IF(M550="medium",1,0))=IF(Y550="high",2,IF(Y550="medium",1,0)),"SI และ Rate เท่ากัน",IF(IF(M550="high",2,IF(M550="medium",1,0))&gt;IF(Y550="high",2,IF(Y550="medium",1,0)),"SI","Rate"))</f>
        <v/>
      </c>
    </row>
    <row r="551">
      <c r="A551" t="inlineStr">
        <is>
          <t>zone_423</t>
        </is>
      </c>
      <c r="B551" t="inlineStr">
        <is>
          <t>คลองบางหลวง - ต่างระดับเชียงรากน้อย</t>
        </is>
      </c>
      <c r="C551" t="inlineStr">
        <is>
          <t>ปทุมธานี</t>
        </is>
      </c>
      <c r="D551" t="inlineStr">
        <is>
          <t>3902</t>
        </is>
      </c>
      <c r="E551" t="inlineStr">
        <is>
          <t>ทล.</t>
        </is>
      </c>
      <c r="F551" t="inlineStr">
        <is>
          <t>66.637–68.9</t>
        </is>
      </c>
      <c r="G551" t="inlineStr">
        <is>
          <t>station_id 80 (ทล.346 กม.9+500)</t>
        </is>
      </c>
      <c r="H551" t="inlineStr">
        <is>
          <t>ทล. สถานีตัวแทนตอนควบคุม</t>
        </is>
      </c>
      <c r="I551" t="n">
        <v>3</v>
      </c>
      <c r="J551" t="n">
        <v>0</v>
      </c>
      <c r="K551" t="n">
        <v>2</v>
      </c>
      <c r="L551" s="5" t="n">
        <v>0.6667</v>
      </c>
      <c r="M551" t="inlineStr">
        <is>
          <t>low</t>
        </is>
      </c>
      <c r="N551" s="6" t="n">
        <v>136361</v>
      </c>
      <c r="O551" s="6" t="n">
        <v>143360</v>
      </c>
      <c r="P551" s="6" t="n">
        <v>139052</v>
      </c>
      <c r="Q551" s="6">
        <f>AVERAGE(N551:P551)</f>
        <v/>
      </c>
      <c r="R551" t="n">
        <v>3</v>
      </c>
      <c r="S551" t="n">
        <v>1</v>
      </c>
      <c r="T551" s="7">
        <f>365*R551*Q551*S551/1000000</f>
        <v/>
      </c>
      <c r="U551" s="8">
        <f>I551/T551</f>
        <v/>
      </c>
      <c r="V551" s="8">
        <f>SUMIF($E$2:$E$599,E551,$I$2:$I$599)/SUMIF($E$2:$E$599,E551,$T$2:$T$599)</f>
        <v/>
      </c>
      <c r="W551" s="8">
        <f>V551+1.645*SQRT(V551/T551)+1/(2*T551)</f>
        <v/>
      </c>
      <c r="X551" s="5">
        <f>U551/W551</f>
        <v/>
      </c>
      <c r="Y551">
        <f>IF(U551&gt;W551,"high",IF(U551&gt;V551,"medium","low"))</f>
        <v/>
      </c>
      <c r="Z551">
        <f>CHOOSE(MAX(IF(M551="high",2,IF(M551="medium",1,0)),IF(Y551="high",2,IF(Y551="medium",1,0)))+1,"low","medium","high")</f>
        <v/>
      </c>
      <c r="AA551">
        <f>IF(IF(M551="high",2,IF(M551="medium",1,0))=IF(Y551="high",2,IF(Y551="medium",1,0)),"SI และ Rate เท่ากัน",IF(IF(M551="high",2,IF(M551="medium",1,0))&gt;IF(Y551="high",2,IF(Y551="medium",1,0)),"SI","Rate"))</f>
        <v/>
      </c>
    </row>
    <row r="552">
      <c r="A552" t="inlineStr">
        <is>
          <t>zone_572</t>
        </is>
      </c>
      <c r="B552" t="inlineStr">
        <is>
          <t>แสมดำ - สะพานข้ามแม่น้ำท่าจีนฝั่งตะวันตก</t>
        </is>
      </c>
      <c r="C552" t="inlineStr">
        <is>
          <t>สมุทรสาคร</t>
        </is>
      </c>
      <c r="D552" t="inlineStr">
        <is>
          <t>35</t>
        </is>
      </c>
      <c r="E552" t="inlineStr">
        <is>
          <t>ทล.</t>
        </is>
      </c>
      <c r="F552" t="inlineStr">
        <is>
          <t>29.1–29.4</t>
        </is>
      </c>
      <c r="G552" t="inlineStr">
        <is>
          <t>station_id 57 (ทล.35 กม.24+550)</t>
        </is>
      </c>
      <c r="H552" t="inlineStr">
        <is>
          <t>ทล. สถานีตัวแทนตอนควบคุม</t>
        </is>
      </c>
      <c r="I552" t="n">
        <v>3</v>
      </c>
      <c r="J552" t="n">
        <v>0</v>
      </c>
      <c r="K552" t="n">
        <v>1</v>
      </c>
      <c r="L552" s="5" t="n">
        <v>0.3333</v>
      </c>
      <c r="M552" t="inlineStr">
        <is>
          <t>low</t>
        </is>
      </c>
      <c r="N552" s="6" t="n">
        <v>129063</v>
      </c>
      <c r="O552" s="6" t="n">
        <v>149020</v>
      </c>
      <c r="P552" s="6" t="n">
        <v>143116</v>
      </c>
      <c r="Q552" s="6">
        <f>AVERAGE(N552:P552)</f>
        <v/>
      </c>
      <c r="R552" t="n">
        <v>3</v>
      </c>
      <c r="S552" t="n">
        <v>1</v>
      </c>
      <c r="T552" s="7">
        <f>365*R552*Q552*S552/1000000</f>
        <v/>
      </c>
      <c r="U552" s="8">
        <f>I552/T552</f>
        <v/>
      </c>
      <c r="V552" s="8">
        <f>SUMIF($E$2:$E$599,E552,$I$2:$I$599)/SUMIF($E$2:$E$599,E552,$T$2:$T$599)</f>
        <v/>
      </c>
      <c r="W552" s="8">
        <f>V552+1.645*SQRT(V552/T552)+1/(2*T552)</f>
        <v/>
      </c>
      <c r="X552" s="5">
        <f>U552/W552</f>
        <v/>
      </c>
      <c r="Y552">
        <f>IF(U552&gt;W552,"high",IF(U552&gt;V552,"medium","low"))</f>
        <v/>
      </c>
      <c r="Z552">
        <f>CHOOSE(MAX(IF(M552="high",2,IF(M552="medium",1,0)),IF(Y552="high",2,IF(Y552="medium",1,0)))+1,"low","medium","high")</f>
        <v/>
      </c>
      <c r="AA552">
        <f>IF(IF(M552="high",2,IF(M552="medium",1,0))=IF(Y552="high",2,IF(Y552="medium",1,0)),"SI และ Rate เท่ากัน",IF(IF(M552="high",2,IF(M552="medium",1,0))&gt;IF(Y552="high",2,IF(Y552="medium",1,0)),"SI","Rate"))</f>
        <v/>
      </c>
    </row>
    <row r="553">
      <c r="A553" t="inlineStr">
        <is>
          <t>zone_582</t>
        </is>
      </c>
      <c r="B553" t="inlineStr">
        <is>
          <t>แสมดำ - สะพานข้ามแม่น้ำท่าจีนฝั่งตะวันตก</t>
        </is>
      </c>
      <c r="C553" t="inlineStr">
        <is>
          <t>สมุทรสาคร</t>
        </is>
      </c>
      <c r="D553" t="inlineStr">
        <is>
          <t>35</t>
        </is>
      </c>
      <c r="E553" t="inlineStr">
        <is>
          <t>ทล.</t>
        </is>
      </c>
      <c r="F553" t="inlineStr">
        <is>
          <t>25.1–25.1</t>
        </is>
      </c>
      <c r="G553" t="inlineStr">
        <is>
          <t>station_id 57 (ทล.35 กม.24+550)</t>
        </is>
      </c>
      <c r="H553" t="inlineStr">
        <is>
          <t>ทล. สถานีตัวแทนตอนควบคุม</t>
        </is>
      </c>
      <c r="I553" t="n">
        <v>3</v>
      </c>
      <c r="J553" t="n">
        <v>0</v>
      </c>
      <c r="K553" t="n">
        <v>1</v>
      </c>
      <c r="L553" s="5" t="n">
        <v>0.3333</v>
      </c>
      <c r="M553" t="inlineStr">
        <is>
          <t>low</t>
        </is>
      </c>
      <c r="N553" s="6" t="n">
        <v>129063</v>
      </c>
      <c r="O553" s="6" t="n">
        <v>149020</v>
      </c>
      <c r="P553" s="6" t="n">
        <v>143116</v>
      </c>
      <c r="Q553" s="6">
        <f>AVERAGE(N553:P553)</f>
        <v/>
      </c>
      <c r="R553" t="n">
        <v>3</v>
      </c>
      <c r="S553" t="n">
        <v>1</v>
      </c>
      <c r="T553" s="7">
        <f>365*R553*Q553*S553/1000000</f>
        <v/>
      </c>
      <c r="U553" s="8">
        <f>I553/T553</f>
        <v/>
      </c>
      <c r="V553" s="8">
        <f>SUMIF($E$2:$E$599,E553,$I$2:$I$599)/SUMIF($E$2:$E$599,E553,$T$2:$T$599)</f>
        <v/>
      </c>
      <c r="W553" s="8">
        <f>V553+1.645*SQRT(V553/T553)+1/(2*T553)</f>
        <v/>
      </c>
      <c r="X553" s="5">
        <f>U553/W553</f>
        <v/>
      </c>
      <c r="Y553">
        <f>IF(U553&gt;W553,"high",IF(U553&gt;V553,"medium","low"))</f>
        <v/>
      </c>
      <c r="Z553">
        <f>CHOOSE(MAX(IF(M553="high",2,IF(M553="medium",1,0)),IF(Y553="high",2,IF(Y553="medium",1,0)))+1,"low","medium","high")</f>
        <v/>
      </c>
      <c r="AA553">
        <f>IF(IF(M553="high",2,IF(M553="medium",1,0))=IF(Y553="high",2,IF(Y553="medium",1,0)),"SI และ Rate เท่ากัน",IF(IF(M553="high",2,IF(M553="medium",1,0))&gt;IF(Y553="high",2,IF(Y553="medium",1,0)),"SI","Rate"))</f>
        <v/>
      </c>
    </row>
    <row r="554">
      <c r="A554" t="inlineStr">
        <is>
          <t>zone_594</t>
        </is>
      </c>
      <c r="B554" t="inlineStr">
        <is>
          <t>แสมดำ - สะพานข้ามแม่น้ำท่าจีนฝั่งตะวันตก</t>
        </is>
      </c>
      <c r="C554" t="inlineStr">
        <is>
          <t>สมุทรสาคร</t>
        </is>
      </c>
      <c r="D554" t="inlineStr">
        <is>
          <t>35</t>
        </is>
      </c>
      <c r="E554" t="inlineStr">
        <is>
          <t>ทล.</t>
        </is>
      </c>
      <c r="F554" t="inlineStr">
        <is>
          <t>17.6–17.6</t>
        </is>
      </c>
      <c r="G554" t="inlineStr">
        <is>
          <t>station_id 57 (ทล.35 กม.24+550)</t>
        </is>
      </c>
      <c r="H554" t="inlineStr">
        <is>
          <t>ทล. สถานีตัวแทนตอนควบคุม</t>
        </is>
      </c>
      <c r="I554" t="n">
        <v>3</v>
      </c>
      <c r="J554" t="n">
        <v>0</v>
      </c>
      <c r="K554" t="n">
        <v>2</v>
      </c>
      <c r="L554" s="5" t="n">
        <v>0.6667</v>
      </c>
      <c r="M554" t="inlineStr">
        <is>
          <t>low</t>
        </is>
      </c>
      <c r="N554" s="6" t="n">
        <v>129063</v>
      </c>
      <c r="O554" s="6" t="n">
        <v>149020</v>
      </c>
      <c r="P554" s="6" t="n">
        <v>143116</v>
      </c>
      <c r="Q554" s="6">
        <f>AVERAGE(N554:P554)</f>
        <v/>
      </c>
      <c r="R554" t="n">
        <v>3</v>
      </c>
      <c r="S554" t="n">
        <v>1</v>
      </c>
      <c r="T554" s="7">
        <f>365*R554*Q554*S554/1000000</f>
        <v/>
      </c>
      <c r="U554" s="8">
        <f>I554/T554</f>
        <v/>
      </c>
      <c r="V554" s="8">
        <f>SUMIF($E$2:$E$599,E554,$I$2:$I$599)/SUMIF($E$2:$E$599,E554,$T$2:$T$599)</f>
        <v/>
      </c>
      <c r="W554" s="8">
        <f>V554+1.645*SQRT(V554/T554)+1/(2*T554)</f>
        <v/>
      </c>
      <c r="X554" s="5">
        <f>U554/W554</f>
        <v/>
      </c>
      <c r="Y554">
        <f>IF(U554&gt;W554,"high",IF(U554&gt;V554,"medium","low"))</f>
        <v/>
      </c>
      <c r="Z554">
        <f>CHOOSE(MAX(IF(M554="high",2,IF(M554="medium",1,0)),IF(Y554="high",2,IF(Y554="medium",1,0)))+1,"low","medium","high")</f>
        <v/>
      </c>
      <c r="AA554">
        <f>IF(IF(M554="high",2,IF(M554="medium",1,0))=IF(Y554="high",2,IF(Y554="medium",1,0)),"SI และ Rate เท่ากัน",IF(IF(M554="high",2,IF(M554="medium",1,0))&gt;IF(Y554="high",2,IF(Y554="medium",1,0)),"SI","Rate"))</f>
        <v/>
      </c>
    </row>
    <row r="555">
      <c r="A555" t="inlineStr">
        <is>
          <t>zone_598</t>
        </is>
      </c>
      <c r="B555" t="inlineStr">
        <is>
          <t>แสมดำ - สะพานข้ามแม่น้ำท่าจีนฝั่งตะวันตก</t>
        </is>
      </c>
      <c r="C555" t="inlineStr">
        <is>
          <t>สมุทรสาคร</t>
        </is>
      </c>
      <c r="D555" t="inlineStr">
        <is>
          <t>35</t>
        </is>
      </c>
      <c r="E555" t="inlineStr">
        <is>
          <t>ทล.</t>
        </is>
      </c>
      <c r="F555" t="inlineStr">
        <is>
          <t>28.7–28.725</t>
        </is>
      </c>
      <c r="G555" t="inlineStr">
        <is>
          <t>station_id 57 (ทล.35 กม.24+550)</t>
        </is>
      </c>
      <c r="H555" t="inlineStr">
        <is>
          <t>ทล. สถานีตัวแทนตอนควบคุม</t>
        </is>
      </c>
      <c r="I555" t="n">
        <v>3</v>
      </c>
      <c r="J555" t="n">
        <v>0</v>
      </c>
      <c r="K555" t="n">
        <v>0</v>
      </c>
      <c r="L555" s="5" t="n">
        <v>0</v>
      </c>
      <c r="M555" t="inlineStr">
        <is>
          <t>low</t>
        </is>
      </c>
      <c r="N555" s="6" t="n">
        <v>129063</v>
      </c>
      <c r="O555" s="6" t="n">
        <v>149020</v>
      </c>
      <c r="P555" s="6" t="n">
        <v>143116</v>
      </c>
      <c r="Q555" s="6">
        <f>AVERAGE(N555:P555)</f>
        <v/>
      </c>
      <c r="R555" t="n">
        <v>3</v>
      </c>
      <c r="S555" t="n">
        <v>1</v>
      </c>
      <c r="T555" s="7">
        <f>365*R555*Q555*S555/1000000</f>
        <v/>
      </c>
      <c r="U555" s="8">
        <f>I555/T555</f>
        <v/>
      </c>
      <c r="V555" s="8">
        <f>SUMIF($E$2:$E$599,E555,$I$2:$I$599)/SUMIF($E$2:$E$599,E555,$T$2:$T$599)</f>
        <v/>
      </c>
      <c r="W555" s="8">
        <f>V555+1.645*SQRT(V555/T555)+1/(2*T555)</f>
        <v/>
      </c>
      <c r="X555" s="5">
        <f>U555/W555</f>
        <v/>
      </c>
      <c r="Y555">
        <f>IF(U555&gt;W555,"high",IF(U555&gt;V555,"medium","low"))</f>
        <v/>
      </c>
      <c r="Z555">
        <f>CHOOSE(MAX(IF(M555="high",2,IF(M555="medium",1,0)),IF(Y555="high",2,IF(Y555="medium",1,0)))+1,"low","medium","high")</f>
        <v/>
      </c>
      <c r="AA555">
        <f>IF(IF(M555="high",2,IF(M555="medium",1,0))=IF(Y555="high",2,IF(Y555="medium",1,0)),"SI และ Rate เท่ากัน",IF(IF(M555="high",2,IF(M555="medium",1,0))&gt;IF(Y555="high",2,IF(Y555="medium",1,0)),"SI","Rate"))</f>
        <v/>
      </c>
    </row>
    <row r="556">
      <c r="A556" t="inlineStr">
        <is>
          <t>zone_599</t>
        </is>
      </c>
      <c r="B556" t="inlineStr">
        <is>
          <t>แสมดำ - สะพานข้ามแม่น้ำท่าจีนฝั่งตะวันตก</t>
        </is>
      </c>
      <c r="C556" t="inlineStr">
        <is>
          <t>สมุทรสาคร</t>
        </is>
      </c>
      <c r="D556" t="inlineStr">
        <is>
          <t>35</t>
        </is>
      </c>
      <c r="E556" t="inlineStr">
        <is>
          <t>ทล.</t>
        </is>
      </c>
      <c r="F556" t="inlineStr">
        <is>
          <t>28.3–28.45</t>
        </is>
      </c>
      <c r="G556" t="inlineStr">
        <is>
          <t>station_id 57 (ทล.35 กม.24+550)</t>
        </is>
      </c>
      <c r="H556" t="inlineStr">
        <is>
          <t>ทล. สถานีตัวแทนตอนควบคุม</t>
        </is>
      </c>
      <c r="I556" t="n">
        <v>3</v>
      </c>
      <c r="J556" t="n">
        <v>0</v>
      </c>
      <c r="K556" t="n">
        <v>1</v>
      </c>
      <c r="L556" s="5" t="n">
        <v>0.3333</v>
      </c>
      <c r="M556" t="inlineStr">
        <is>
          <t>low</t>
        </is>
      </c>
      <c r="N556" s="6" t="n">
        <v>129063</v>
      </c>
      <c r="O556" s="6" t="n">
        <v>149020</v>
      </c>
      <c r="P556" s="6" t="n">
        <v>143116</v>
      </c>
      <c r="Q556" s="6">
        <f>AVERAGE(N556:P556)</f>
        <v/>
      </c>
      <c r="R556" t="n">
        <v>3</v>
      </c>
      <c r="S556" t="n">
        <v>1</v>
      </c>
      <c r="T556" s="7">
        <f>365*R556*Q556*S556/1000000</f>
        <v/>
      </c>
      <c r="U556" s="8">
        <f>I556/T556</f>
        <v/>
      </c>
      <c r="V556" s="8">
        <f>SUMIF($E$2:$E$599,E556,$I$2:$I$599)/SUMIF($E$2:$E$599,E556,$T$2:$T$599)</f>
        <v/>
      </c>
      <c r="W556" s="8">
        <f>V556+1.645*SQRT(V556/T556)+1/(2*T556)</f>
        <v/>
      </c>
      <c r="X556" s="5">
        <f>U556/W556</f>
        <v/>
      </c>
      <c r="Y556">
        <f>IF(U556&gt;W556,"high",IF(U556&gt;V556,"medium","low"))</f>
        <v/>
      </c>
      <c r="Z556">
        <f>CHOOSE(MAX(IF(M556="high",2,IF(M556="medium",1,0)),IF(Y556="high",2,IF(Y556="medium",1,0)))+1,"low","medium","high")</f>
        <v/>
      </c>
      <c r="AA556">
        <f>IF(IF(M556="high",2,IF(M556="medium",1,0))=IF(Y556="high",2,IF(Y556="medium",1,0)),"SI และ Rate เท่ากัน",IF(IF(M556="high",2,IF(M556="medium",1,0))&gt;IF(Y556="high",2,IF(Y556="medium",1,0)),"SI","Rate"))</f>
        <v/>
      </c>
    </row>
    <row r="557">
      <c r="A557" t="inlineStr">
        <is>
          <t>zone_627</t>
        </is>
      </c>
      <c r="B557" t="inlineStr">
        <is>
          <t>แสมดำ - สะพานข้ามแม่น้ำท่าจีนฝั่งตะวันตก</t>
        </is>
      </c>
      <c r="C557" t="inlineStr">
        <is>
          <t>สมุทรสาคร</t>
        </is>
      </c>
      <c r="D557" t="inlineStr">
        <is>
          <t>35</t>
        </is>
      </c>
      <c r="E557" t="inlineStr">
        <is>
          <t>ทล.</t>
        </is>
      </c>
      <c r="F557" t="inlineStr">
        <is>
          <t>19.21–22.3</t>
        </is>
      </c>
      <c r="G557" t="inlineStr">
        <is>
          <t>station_id 57 (ทล.35 กม.24+550)</t>
        </is>
      </c>
      <c r="H557" t="inlineStr">
        <is>
          <t>ทล. สถานีตัวแทนตอนควบคุม</t>
        </is>
      </c>
      <c r="I557" t="n">
        <v>3</v>
      </c>
      <c r="J557" t="n">
        <v>0</v>
      </c>
      <c r="K557" t="n">
        <v>1</v>
      </c>
      <c r="L557" s="5" t="n">
        <v>0.3333</v>
      </c>
      <c r="M557" t="inlineStr">
        <is>
          <t>low</t>
        </is>
      </c>
      <c r="N557" s="6" t="n">
        <v>129063</v>
      </c>
      <c r="O557" s="6" t="n">
        <v>149020</v>
      </c>
      <c r="P557" s="6" t="n">
        <v>143116</v>
      </c>
      <c r="Q557" s="6">
        <f>AVERAGE(N557:P557)</f>
        <v/>
      </c>
      <c r="R557" t="n">
        <v>3</v>
      </c>
      <c r="S557" t="n">
        <v>1</v>
      </c>
      <c r="T557" s="7">
        <f>365*R557*Q557*S557/1000000</f>
        <v/>
      </c>
      <c r="U557" s="8">
        <f>I557/T557</f>
        <v/>
      </c>
      <c r="V557" s="8">
        <f>SUMIF($E$2:$E$599,E557,$I$2:$I$599)/SUMIF($E$2:$E$599,E557,$T$2:$T$599)</f>
        <v/>
      </c>
      <c r="W557" s="8">
        <f>V557+1.645*SQRT(V557/T557)+1/(2*T557)</f>
        <v/>
      </c>
      <c r="X557" s="5">
        <f>U557/W557</f>
        <v/>
      </c>
      <c r="Y557">
        <f>IF(U557&gt;W557,"high",IF(U557&gt;V557,"medium","low"))</f>
        <v/>
      </c>
      <c r="Z557">
        <f>CHOOSE(MAX(IF(M557="high",2,IF(M557="medium",1,0)),IF(Y557="high",2,IF(Y557="medium",1,0)))+1,"low","medium","high")</f>
        <v/>
      </c>
      <c r="AA557">
        <f>IF(IF(M557="high",2,IF(M557="medium",1,0))=IF(Y557="high",2,IF(Y557="medium",1,0)),"SI และ Rate เท่ากัน",IF(IF(M557="high",2,IF(M557="medium",1,0))&gt;IF(Y557="high",2,IF(Y557="medium",1,0)),"SI","Rate"))</f>
        <v/>
      </c>
    </row>
    <row r="558">
      <c r="A558" t="inlineStr">
        <is>
          <t>zone_34</t>
        </is>
      </c>
      <c r="B558" t="inlineStr">
        <is>
          <t>ดาวคะนอง -  แสมดำ</t>
        </is>
      </c>
      <c r="C558" t="inlineStr">
        <is>
          <t>กรุงเทพมหานคร</t>
        </is>
      </c>
      <c r="D558" t="inlineStr">
        <is>
          <t>35</t>
        </is>
      </c>
      <c r="E558" t="inlineStr">
        <is>
          <t>ทล.</t>
        </is>
      </c>
      <c r="F558" t="inlineStr">
        <is>
          <t>2.53–2.727</t>
        </is>
      </c>
      <c r="G558" t="inlineStr">
        <is>
          <t>station_id 127 (ทล.35 กม.6+500)</t>
        </is>
      </c>
      <c r="H558" t="inlineStr">
        <is>
          <t>ทล. สถานีตัวแทนตอนควบคุม</t>
        </is>
      </c>
      <c r="I558" t="n">
        <v>5</v>
      </c>
      <c r="J558" t="n">
        <v>0</v>
      </c>
      <c r="K558" t="n">
        <v>3</v>
      </c>
      <c r="L558" s="5" t="n">
        <v>0.6</v>
      </c>
      <c r="M558" t="inlineStr">
        <is>
          <t>low</t>
        </is>
      </c>
      <c r="N558" s="6" t="n">
        <v>256167</v>
      </c>
      <c r="O558" s="6" t="n">
        <v>260090</v>
      </c>
      <c r="P558" s="6" t="n">
        <v>259277</v>
      </c>
      <c r="Q558" s="6">
        <f>AVERAGE(N558:P558)</f>
        <v/>
      </c>
      <c r="R558" t="n">
        <v>3</v>
      </c>
      <c r="S558" t="n">
        <v>1</v>
      </c>
      <c r="T558" s="7">
        <f>365*R558*Q558*S558/1000000</f>
        <v/>
      </c>
      <c r="U558" s="8">
        <f>I558/T558</f>
        <v/>
      </c>
      <c r="V558" s="8">
        <f>SUMIF($E$2:$E$599,E558,$I$2:$I$599)/SUMIF($E$2:$E$599,E558,$T$2:$T$599)</f>
        <v/>
      </c>
      <c r="W558" s="8">
        <f>V558+1.645*SQRT(V558/T558)+1/(2*T558)</f>
        <v/>
      </c>
      <c r="X558" s="5">
        <f>U558/W558</f>
        <v/>
      </c>
      <c r="Y558">
        <f>IF(U558&gt;W558,"high",IF(U558&gt;V558,"medium","low"))</f>
        <v/>
      </c>
      <c r="Z558">
        <f>CHOOSE(MAX(IF(M558="high",2,IF(M558="medium",1,0)),IF(Y558="high",2,IF(Y558="medium",1,0)))+1,"low","medium","high")</f>
        <v/>
      </c>
      <c r="AA558">
        <f>IF(IF(M558="high",2,IF(M558="medium",1,0))=IF(Y558="high",2,IF(Y558="medium",1,0)),"SI และ Rate เท่ากัน",IF(IF(M558="high",2,IF(M558="medium",1,0))&gt;IF(Y558="high",2,IF(Y558="medium",1,0)),"SI","Rate"))</f>
        <v/>
      </c>
    </row>
    <row r="559">
      <c r="A559" t="inlineStr">
        <is>
          <t>zone_42</t>
        </is>
      </c>
      <c r="B559" t="inlineStr">
        <is>
          <t>ดาวคะนอง -  แสมดำ</t>
        </is>
      </c>
      <c r="C559" t="inlineStr">
        <is>
          <t>กรุงเทพมหานคร</t>
        </is>
      </c>
      <c r="D559" t="inlineStr">
        <is>
          <t>35</t>
        </is>
      </c>
      <c r="E559" t="inlineStr">
        <is>
          <t>ทล.</t>
        </is>
      </c>
      <c r="F559" t="inlineStr">
        <is>
          <t>8.5–8.65</t>
        </is>
      </c>
      <c r="G559" t="inlineStr">
        <is>
          <t>station_id 127 (ทล.35 กม.6+500)</t>
        </is>
      </c>
      <c r="H559" t="inlineStr">
        <is>
          <t>ทล. สถานีตัวแทนตอนควบคุม</t>
        </is>
      </c>
      <c r="I559" t="n">
        <v>5</v>
      </c>
      <c r="J559" t="n">
        <v>1</v>
      </c>
      <c r="K559" t="n">
        <v>1</v>
      </c>
      <c r="L559" s="5" t="n">
        <v>0.4</v>
      </c>
      <c r="M559" t="inlineStr">
        <is>
          <t>low</t>
        </is>
      </c>
      <c r="N559" s="6" t="n">
        <v>256167</v>
      </c>
      <c r="O559" s="6" t="n">
        <v>260090</v>
      </c>
      <c r="P559" s="6" t="n">
        <v>259277</v>
      </c>
      <c r="Q559" s="6">
        <f>AVERAGE(N559:P559)</f>
        <v/>
      </c>
      <c r="R559" t="n">
        <v>3</v>
      </c>
      <c r="S559" t="n">
        <v>1</v>
      </c>
      <c r="T559" s="7">
        <f>365*R559*Q559*S559/1000000</f>
        <v/>
      </c>
      <c r="U559" s="8">
        <f>I559/T559</f>
        <v/>
      </c>
      <c r="V559" s="8">
        <f>SUMIF($E$2:$E$599,E559,$I$2:$I$599)/SUMIF($E$2:$E$599,E559,$T$2:$T$599)</f>
        <v/>
      </c>
      <c r="W559" s="8">
        <f>V559+1.645*SQRT(V559/T559)+1/(2*T559)</f>
        <v/>
      </c>
      <c r="X559" s="5">
        <f>U559/W559</f>
        <v/>
      </c>
      <c r="Y559">
        <f>IF(U559&gt;W559,"high",IF(U559&gt;V559,"medium","low"))</f>
        <v/>
      </c>
      <c r="Z559">
        <f>CHOOSE(MAX(IF(M559="high",2,IF(M559="medium",1,0)),IF(Y559="high",2,IF(Y559="medium",1,0)))+1,"low","medium","high")</f>
        <v/>
      </c>
      <c r="AA559">
        <f>IF(IF(M559="high",2,IF(M559="medium",1,0))=IF(Y559="high",2,IF(Y559="medium",1,0)),"SI และ Rate เท่ากัน",IF(IF(M559="high",2,IF(M559="medium",1,0))&gt;IF(Y559="high",2,IF(Y559="medium",1,0)),"SI","Rate"))</f>
        <v/>
      </c>
    </row>
    <row r="560">
      <c r="A560" t="inlineStr">
        <is>
          <t>zone_44</t>
        </is>
      </c>
      <c r="B560" t="inlineStr">
        <is>
          <t>ดาวคะนอง -  แสมดำ</t>
        </is>
      </c>
      <c r="C560" t="inlineStr">
        <is>
          <t>กรุงเทพมหานคร</t>
        </is>
      </c>
      <c r="D560" t="inlineStr">
        <is>
          <t>35</t>
        </is>
      </c>
      <c r="E560" t="inlineStr">
        <is>
          <t>ทล.</t>
        </is>
      </c>
      <c r="F560" t="inlineStr">
        <is>
          <t>11.2–11.275</t>
        </is>
      </c>
      <c r="G560" t="inlineStr">
        <is>
          <t>station_id 127 (ทล.35 กม.6+500)</t>
        </is>
      </c>
      <c r="H560" t="inlineStr">
        <is>
          <t>ทล. สถานีตัวแทนตอนควบคุม</t>
        </is>
      </c>
      <c r="I560" t="n">
        <v>5</v>
      </c>
      <c r="J560" t="n">
        <v>1</v>
      </c>
      <c r="K560" t="n">
        <v>3</v>
      </c>
      <c r="L560" s="5" t="n">
        <v>0.8</v>
      </c>
      <c r="M560" t="inlineStr">
        <is>
          <t>low</t>
        </is>
      </c>
      <c r="N560" s="6" t="n">
        <v>256167</v>
      </c>
      <c r="O560" s="6" t="n">
        <v>260090</v>
      </c>
      <c r="P560" s="6" t="n">
        <v>259277</v>
      </c>
      <c r="Q560" s="6">
        <f>AVERAGE(N560:P560)</f>
        <v/>
      </c>
      <c r="R560" t="n">
        <v>3</v>
      </c>
      <c r="S560" t="n">
        <v>1</v>
      </c>
      <c r="T560" s="7">
        <f>365*R560*Q560*S560/1000000</f>
        <v/>
      </c>
      <c r="U560" s="8">
        <f>I560/T560</f>
        <v/>
      </c>
      <c r="V560" s="8">
        <f>SUMIF($E$2:$E$599,E560,$I$2:$I$599)/SUMIF($E$2:$E$599,E560,$T$2:$T$599)</f>
        <v/>
      </c>
      <c r="W560" s="8">
        <f>V560+1.645*SQRT(V560/T560)+1/(2*T560)</f>
        <v/>
      </c>
      <c r="X560" s="5">
        <f>U560/W560</f>
        <v/>
      </c>
      <c r="Y560">
        <f>IF(U560&gt;W560,"high",IF(U560&gt;V560,"medium","low"))</f>
        <v/>
      </c>
      <c r="Z560">
        <f>CHOOSE(MAX(IF(M560="high",2,IF(M560="medium",1,0)),IF(Y560="high",2,IF(Y560="medium",1,0)))+1,"low","medium","high")</f>
        <v/>
      </c>
      <c r="AA560">
        <f>IF(IF(M560="high",2,IF(M560="medium",1,0))=IF(Y560="high",2,IF(Y560="medium",1,0)),"SI และ Rate เท่ากัน",IF(IF(M560="high",2,IF(M560="medium",1,0))&gt;IF(Y560="high",2,IF(Y560="medium",1,0)),"SI","Rate"))</f>
        <v/>
      </c>
    </row>
    <row r="561">
      <c r="A561" t="inlineStr">
        <is>
          <t>zone_574</t>
        </is>
      </c>
      <c r="B561" t="inlineStr">
        <is>
          <t>สะพานข้ามแม่น้ำท่าจีนฝั่งตะวันตก - นาโคก</t>
        </is>
      </c>
      <c r="C561" t="inlineStr">
        <is>
          <t>สมุทรสาคร</t>
        </is>
      </c>
      <c r="D561" t="inlineStr">
        <is>
          <t>35</t>
        </is>
      </c>
      <c r="E561" t="inlineStr">
        <is>
          <t>ทล.</t>
        </is>
      </c>
      <c r="F561" t="inlineStr">
        <is>
          <t>30.5–31</t>
        </is>
      </c>
      <c r="G561" t="inlineStr">
        <is>
          <t>station_id 59 (ทล.35 กม.30+700)</t>
        </is>
      </c>
      <c r="H561" t="inlineStr">
        <is>
          <t>ทล. สถานีตัวแทนตอนควบคุม</t>
        </is>
      </c>
      <c r="I561" t="n">
        <v>3</v>
      </c>
      <c r="J561" t="n">
        <v>0</v>
      </c>
      <c r="K561" t="n">
        <v>1</v>
      </c>
      <c r="L561" s="5" t="n">
        <v>0.3333</v>
      </c>
      <c r="M561" t="inlineStr">
        <is>
          <t>low</t>
        </is>
      </c>
      <c r="N561" s="6" t="n">
        <v>134343</v>
      </c>
      <c r="O561" s="6" t="n">
        <v>149180</v>
      </c>
      <c r="P561" s="6" t="n">
        <v>149785</v>
      </c>
      <c r="Q561" s="6">
        <f>AVERAGE(N561:P561)</f>
        <v/>
      </c>
      <c r="R561" t="n">
        <v>3</v>
      </c>
      <c r="S561" t="n">
        <v>1</v>
      </c>
      <c r="T561" s="7">
        <f>365*R561*Q561*S561/1000000</f>
        <v/>
      </c>
      <c r="U561" s="8">
        <f>I561/T561</f>
        <v/>
      </c>
      <c r="V561" s="8">
        <f>SUMIF($E$2:$E$599,E561,$I$2:$I$599)/SUMIF($E$2:$E$599,E561,$T$2:$T$599)</f>
        <v/>
      </c>
      <c r="W561" s="8">
        <f>V561+1.645*SQRT(V561/T561)+1/(2*T561)</f>
        <v/>
      </c>
      <c r="X561" s="5">
        <f>U561/W561</f>
        <v/>
      </c>
      <c r="Y561">
        <f>IF(U561&gt;W561,"high",IF(U561&gt;V561,"medium","low"))</f>
        <v/>
      </c>
      <c r="Z561">
        <f>CHOOSE(MAX(IF(M561="high",2,IF(M561="medium",1,0)),IF(Y561="high",2,IF(Y561="medium",1,0)))+1,"low","medium","high")</f>
        <v/>
      </c>
      <c r="AA561">
        <f>IF(IF(M561="high",2,IF(M561="medium",1,0))=IF(Y561="high",2,IF(Y561="medium",1,0)),"SI และ Rate เท่ากัน",IF(IF(M561="high",2,IF(M561="medium",1,0))&gt;IF(Y561="high",2,IF(Y561="medium",1,0)),"SI","Rate"))</f>
        <v/>
      </c>
    </row>
    <row r="562">
      <c r="A562" t="inlineStr">
        <is>
          <t>zone_580</t>
        </is>
      </c>
      <c r="B562" t="inlineStr">
        <is>
          <t>สะพานข้ามแม่น้ำท่าจีนฝั่งตะวันตก - นาโคก</t>
        </is>
      </c>
      <c r="C562" t="inlineStr">
        <is>
          <t>สมุทรสาคร</t>
        </is>
      </c>
      <c r="D562" t="inlineStr">
        <is>
          <t>35</t>
        </is>
      </c>
      <c r="E562" t="inlineStr">
        <is>
          <t>ทล.</t>
        </is>
      </c>
      <c r="F562" t="inlineStr">
        <is>
          <t>30.5–30.5</t>
        </is>
      </c>
      <c r="G562" t="inlineStr">
        <is>
          <t>station_id 59 (ทล.35 กม.30+700)</t>
        </is>
      </c>
      <c r="H562" t="inlineStr">
        <is>
          <t>ทล. สถานีตัวแทนตอนควบคุม</t>
        </is>
      </c>
      <c r="I562" t="n">
        <v>3</v>
      </c>
      <c r="J562" t="n">
        <v>0</v>
      </c>
      <c r="K562" t="n">
        <v>0</v>
      </c>
      <c r="L562" s="5" t="n">
        <v>0</v>
      </c>
      <c r="M562" t="inlineStr">
        <is>
          <t>low</t>
        </is>
      </c>
      <c r="N562" s="6" t="n">
        <v>134343</v>
      </c>
      <c r="O562" s="6" t="n">
        <v>149180</v>
      </c>
      <c r="P562" s="6" t="n">
        <v>149785</v>
      </c>
      <c r="Q562" s="6">
        <f>AVERAGE(N562:P562)</f>
        <v/>
      </c>
      <c r="R562" t="n">
        <v>3</v>
      </c>
      <c r="S562" t="n">
        <v>1</v>
      </c>
      <c r="T562" s="7">
        <f>365*R562*Q562*S562/1000000</f>
        <v/>
      </c>
      <c r="U562" s="8">
        <f>I562/T562</f>
        <v/>
      </c>
      <c r="V562" s="8">
        <f>SUMIF($E$2:$E$599,E562,$I$2:$I$599)/SUMIF($E$2:$E$599,E562,$T$2:$T$599)</f>
        <v/>
      </c>
      <c r="W562" s="8">
        <f>V562+1.645*SQRT(V562/T562)+1/(2*T562)</f>
        <v/>
      </c>
      <c r="X562" s="5">
        <f>U562/W562</f>
        <v/>
      </c>
      <c r="Y562">
        <f>IF(U562&gt;W562,"high",IF(U562&gt;V562,"medium","low"))</f>
        <v/>
      </c>
      <c r="Z562">
        <f>CHOOSE(MAX(IF(M562="high",2,IF(M562="medium",1,0)),IF(Y562="high",2,IF(Y562="medium",1,0)))+1,"low","medium","high")</f>
        <v/>
      </c>
      <c r="AA562">
        <f>IF(IF(M562="high",2,IF(M562="medium",1,0))=IF(Y562="high",2,IF(Y562="medium",1,0)),"SI และ Rate เท่ากัน",IF(IF(M562="high",2,IF(M562="medium",1,0))&gt;IF(Y562="high",2,IF(Y562="medium",1,0)),"SI","Rate"))</f>
        <v/>
      </c>
    </row>
    <row r="563">
      <c r="A563" t="inlineStr">
        <is>
          <t>zone_591</t>
        </is>
      </c>
      <c r="B563" t="inlineStr">
        <is>
          <t>สะพานข้ามแม่น้ำท่าจีนฝั่งตะวันตก - นาโคก</t>
        </is>
      </c>
      <c r="C563" t="inlineStr">
        <is>
          <t>สมุทรสาคร</t>
        </is>
      </c>
      <c r="D563" t="inlineStr">
        <is>
          <t>35</t>
        </is>
      </c>
      <c r="E563" t="inlineStr">
        <is>
          <t>ทล.</t>
        </is>
      </c>
      <c r="F563" t="inlineStr">
        <is>
          <t>43.57–43.6</t>
        </is>
      </c>
      <c r="G563" t="inlineStr">
        <is>
          <t>station_id 59 (ทล.35 กม.30+700)</t>
        </is>
      </c>
      <c r="H563" t="inlineStr">
        <is>
          <t>ทล. สถานีตัวแทนตอนควบคุม</t>
        </is>
      </c>
      <c r="I563" t="n">
        <v>3</v>
      </c>
      <c r="J563" t="n">
        <v>0</v>
      </c>
      <c r="K563" t="n">
        <v>1</v>
      </c>
      <c r="L563" s="5" t="n">
        <v>0.3333</v>
      </c>
      <c r="M563" t="inlineStr">
        <is>
          <t>low</t>
        </is>
      </c>
      <c r="N563" s="6" t="n">
        <v>134343</v>
      </c>
      <c r="O563" s="6" t="n">
        <v>149180</v>
      </c>
      <c r="P563" s="6" t="n">
        <v>149785</v>
      </c>
      <c r="Q563" s="6">
        <f>AVERAGE(N563:P563)</f>
        <v/>
      </c>
      <c r="R563" t="n">
        <v>3</v>
      </c>
      <c r="S563" t="n">
        <v>1</v>
      </c>
      <c r="T563" s="7">
        <f>365*R563*Q563*S563/1000000</f>
        <v/>
      </c>
      <c r="U563" s="8">
        <f>I563/T563</f>
        <v/>
      </c>
      <c r="V563" s="8">
        <f>SUMIF($E$2:$E$599,E563,$I$2:$I$599)/SUMIF($E$2:$E$599,E563,$T$2:$T$599)</f>
        <v/>
      </c>
      <c r="W563" s="8">
        <f>V563+1.645*SQRT(V563/T563)+1/(2*T563)</f>
        <v/>
      </c>
      <c r="X563" s="5">
        <f>U563/W563</f>
        <v/>
      </c>
      <c r="Y563">
        <f>IF(U563&gt;W563,"high",IF(U563&gt;V563,"medium","low"))</f>
        <v/>
      </c>
      <c r="Z563">
        <f>CHOOSE(MAX(IF(M563="high",2,IF(M563="medium",1,0)),IF(Y563="high",2,IF(Y563="medium",1,0)))+1,"low","medium","high")</f>
        <v/>
      </c>
      <c r="AA563">
        <f>IF(IF(M563="high",2,IF(M563="medium",1,0))=IF(Y563="high",2,IF(Y563="medium",1,0)),"SI และ Rate เท่ากัน",IF(IF(M563="high",2,IF(M563="medium",1,0))&gt;IF(Y563="high",2,IF(Y563="medium",1,0)),"SI","Rate"))</f>
        <v/>
      </c>
    </row>
    <row r="564">
      <c r="A564" t="inlineStr">
        <is>
          <t>zone_601</t>
        </is>
      </c>
      <c r="B564" t="inlineStr">
        <is>
          <t>สะพานข้ามแม่น้ำท่าจีนฝั่งตะวันตก - นาโคก</t>
        </is>
      </c>
      <c r="C564" t="inlineStr">
        <is>
          <t>สมุทรสาคร</t>
        </is>
      </c>
      <c r="D564" t="inlineStr">
        <is>
          <t>35</t>
        </is>
      </c>
      <c r="E564" t="inlineStr">
        <is>
          <t>ทล.</t>
        </is>
      </c>
      <c r="F564" t="inlineStr">
        <is>
          <t>42.02–42.15</t>
        </is>
      </c>
      <c r="G564" t="inlineStr">
        <is>
          <t>station_id 59 (ทล.35 กม.30+700)</t>
        </is>
      </c>
      <c r="H564" t="inlineStr">
        <is>
          <t>ทล. สถานีตัวแทนตอนควบคุม</t>
        </is>
      </c>
      <c r="I564" t="n">
        <v>3</v>
      </c>
      <c r="J564" t="n">
        <v>0</v>
      </c>
      <c r="K564" t="n">
        <v>1</v>
      </c>
      <c r="L564" s="5" t="n">
        <v>0.3333</v>
      </c>
      <c r="M564" t="inlineStr">
        <is>
          <t>low</t>
        </is>
      </c>
      <c r="N564" s="6" t="n">
        <v>134343</v>
      </c>
      <c r="O564" s="6" t="n">
        <v>149180</v>
      </c>
      <c r="P564" s="6" t="n">
        <v>149785</v>
      </c>
      <c r="Q564" s="6">
        <f>AVERAGE(N564:P564)</f>
        <v/>
      </c>
      <c r="R564" t="n">
        <v>3</v>
      </c>
      <c r="S564" t="n">
        <v>1</v>
      </c>
      <c r="T564" s="7">
        <f>365*R564*Q564*S564/1000000</f>
        <v/>
      </c>
      <c r="U564" s="8">
        <f>I564/T564</f>
        <v/>
      </c>
      <c r="V564" s="8">
        <f>SUMIF($E$2:$E$599,E564,$I$2:$I$599)/SUMIF($E$2:$E$599,E564,$T$2:$T$599)</f>
        <v/>
      </c>
      <c r="W564" s="8">
        <f>V564+1.645*SQRT(V564/T564)+1/(2*T564)</f>
        <v/>
      </c>
      <c r="X564" s="5">
        <f>U564/W564</f>
        <v/>
      </c>
      <c r="Y564">
        <f>IF(U564&gt;W564,"high",IF(U564&gt;V564,"medium","low"))</f>
        <v/>
      </c>
      <c r="Z564">
        <f>CHOOSE(MAX(IF(M564="high",2,IF(M564="medium",1,0)),IF(Y564="high",2,IF(Y564="medium",1,0)))+1,"low","medium","high")</f>
        <v/>
      </c>
      <c r="AA564">
        <f>IF(IF(M564="high",2,IF(M564="medium",1,0))=IF(Y564="high",2,IF(Y564="medium",1,0)),"SI และ Rate เท่ากัน",IF(IF(M564="high",2,IF(M564="medium",1,0))&gt;IF(Y564="high",2,IF(Y564="medium",1,0)),"SI","Rate"))</f>
        <v/>
      </c>
    </row>
    <row r="565">
      <c r="A565" t="inlineStr">
        <is>
          <t>zone_620</t>
        </is>
      </c>
      <c r="B565" t="inlineStr">
        <is>
          <t>สะพานข้ามแม่น้ำท่าจีนฝั่งตะวันตก - นาโคก</t>
        </is>
      </c>
      <c r="C565" t="inlineStr">
        <is>
          <t>สมุทรสาคร</t>
        </is>
      </c>
      <c r="D565" t="inlineStr">
        <is>
          <t>35</t>
        </is>
      </c>
      <c r="E565" t="inlineStr">
        <is>
          <t>ทล.</t>
        </is>
      </c>
      <c r="F565" t="inlineStr">
        <is>
          <t>47.45–47.55</t>
        </is>
      </c>
      <c r="G565" t="inlineStr">
        <is>
          <t>station_id 59 (ทล.35 กม.30+700)</t>
        </is>
      </c>
      <c r="H565" t="inlineStr">
        <is>
          <t>ทล. สถานีตัวแทนตอนควบคุม</t>
        </is>
      </c>
      <c r="I565" t="n">
        <v>3</v>
      </c>
      <c r="J565" t="n">
        <v>0</v>
      </c>
      <c r="K565" t="n">
        <v>2</v>
      </c>
      <c r="L565" s="5" t="n">
        <v>0.6667</v>
      </c>
      <c r="M565" t="inlineStr">
        <is>
          <t>low</t>
        </is>
      </c>
      <c r="N565" s="6" t="n">
        <v>134343</v>
      </c>
      <c r="O565" s="6" t="n">
        <v>149180</v>
      </c>
      <c r="P565" s="6" t="n">
        <v>149785</v>
      </c>
      <c r="Q565" s="6">
        <f>AVERAGE(N565:P565)</f>
        <v/>
      </c>
      <c r="R565" t="n">
        <v>3</v>
      </c>
      <c r="S565" t="n">
        <v>1</v>
      </c>
      <c r="T565" s="7">
        <f>365*R565*Q565*S565/1000000</f>
        <v/>
      </c>
      <c r="U565" s="8">
        <f>I565/T565</f>
        <v/>
      </c>
      <c r="V565" s="8">
        <f>SUMIF($E$2:$E$599,E565,$I$2:$I$599)/SUMIF($E$2:$E$599,E565,$T$2:$T$599)</f>
        <v/>
      </c>
      <c r="W565" s="8">
        <f>V565+1.645*SQRT(V565/T565)+1/(2*T565)</f>
        <v/>
      </c>
      <c r="X565" s="5">
        <f>U565/W565</f>
        <v/>
      </c>
      <c r="Y565">
        <f>IF(U565&gt;W565,"high",IF(U565&gt;V565,"medium","low"))</f>
        <v/>
      </c>
      <c r="Z565">
        <f>CHOOSE(MAX(IF(M565="high",2,IF(M565="medium",1,0)),IF(Y565="high",2,IF(Y565="medium",1,0)))+1,"low","medium","high")</f>
        <v/>
      </c>
      <c r="AA565">
        <f>IF(IF(M565="high",2,IF(M565="medium",1,0))=IF(Y565="high",2,IF(Y565="medium",1,0)),"SI และ Rate เท่ากัน",IF(IF(M565="high",2,IF(M565="medium",1,0))&gt;IF(Y565="high",2,IF(Y565="medium",1,0)),"SI","Rate"))</f>
        <v/>
      </c>
    </row>
    <row r="566">
      <c r="A566" t="inlineStr">
        <is>
          <t>zone_624</t>
        </is>
      </c>
      <c r="B566" t="inlineStr">
        <is>
          <t>สะพานข้ามแม่น้ำท่าจีนฝั่งตะวันตก - นาโคก</t>
        </is>
      </c>
      <c r="C566" t="inlineStr">
        <is>
          <t>สมุทรสาคร</t>
        </is>
      </c>
      <c r="D566" t="inlineStr">
        <is>
          <t>35</t>
        </is>
      </c>
      <c r="E566" t="inlineStr">
        <is>
          <t>ทล.</t>
        </is>
      </c>
      <c r="F566" t="inlineStr">
        <is>
          <t>48.7–48.74</t>
        </is>
      </c>
      <c r="G566" t="inlineStr">
        <is>
          <t>station_id 59 (ทล.35 กม.30+700)</t>
        </is>
      </c>
      <c r="H566" t="inlineStr">
        <is>
          <t>ทล. สถานีตัวแทนตอนควบคุม</t>
        </is>
      </c>
      <c r="I566" t="n">
        <v>3</v>
      </c>
      <c r="J566" t="n">
        <v>0</v>
      </c>
      <c r="K566" t="n">
        <v>2</v>
      </c>
      <c r="L566" s="5" t="n">
        <v>0.6667</v>
      </c>
      <c r="M566" t="inlineStr">
        <is>
          <t>low</t>
        </is>
      </c>
      <c r="N566" s="6" t="n">
        <v>134343</v>
      </c>
      <c r="O566" s="6" t="n">
        <v>149180</v>
      </c>
      <c r="P566" s="6" t="n">
        <v>149785</v>
      </c>
      <c r="Q566" s="6">
        <f>AVERAGE(N566:P566)</f>
        <v/>
      </c>
      <c r="R566" t="n">
        <v>3</v>
      </c>
      <c r="S566" t="n">
        <v>1</v>
      </c>
      <c r="T566" s="7">
        <f>365*R566*Q566*S566/1000000</f>
        <v/>
      </c>
      <c r="U566" s="8">
        <f>I566/T566</f>
        <v/>
      </c>
      <c r="V566" s="8">
        <f>SUMIF($E$2:$E$599,E566,$I$2:$I$599)/SUMIF($E$2:$E$599,E566,$T$2:$T$599)</f>
        <v/>
      </c>
      <c r="W566" s="8">
        <f>V566+1.645*SQRT(V566/T566)+1/(2*T566)</f>
        <v/>
      </c>
      <c r="X566" s="5">
        <f>U566/W566</f>
        <v/>
      </c>
      <c r="Y566">
        <f>IF(U566&gt;W566,"high",IF(U566&gt;V566,"medium","low"))</f>
        <v/>
      </c>
      <c r="Z566">
        <f>CHOOSE(MAX(IF(M566="high",2,IF(M566="medium",1,0)),IF(Y566="high",2,IF(Y566="medium",1,0)))+1,"low","medium","high")</f>
        <v/>
      </c>
      <c r="AA566">
        <f>IF(IF(M566="high",2,IF(M566="medium",1,0))=IF(Y566="high",2,IF(Y566="medium",1,0)),"SI และ Rate เท่ากัน",IF(IF(M566="high",2,IF(M566="medium",1,0))&gt;IF(Y566="high",2,IF(Y566="medium",1,0)),"SI","Rate"))</f>
        <v/>
      </c>
    </row>
    <row r="567">
      <c r="A567" t="inlineStr">
        <is>
          <t>zone_625</t>
        </is>
      </c>
      <c r="B567" t="inlineStr">
        <is>
          <t>สะพานข้ามแม่น้ำท่าจีนฝั่งตะวันตก - นาโคก</t>
        </is>
      </c>
      <c r="C567" t="inlineStr">
        <is>
          <t>สมุทรสาคร</t>
        </is>
      </c>
      <c r="D567" t="inlineStr">
        <is>
          <t>35</t>
        </is>
      </c>
      <c r="E567" t="inlineStr">
        <is>
          <t>ทล.</t>
        </is>
      </c>
      <c r="F567" t="inlineStr">
        <is>
          <t>42.84–42.95</t>
        </is>
      </c>
      <c r="G567" t="inlineStr">
        <is>
          <t>station_id 59 (ทล.35 กม.30+700)</t>
        </is>
      </c>
      <c r="H567" t="inlineStr">
        <is>
          <t>ทล. สถานีตัวแทนตอนควบคุม</t>
        </is>
      </c>
      <c r="I567" t="n">
        <v>3</v>
      </c>
      <c r="J567" t="n">
        <v>0</v>
      </c>
      <c r="K567" t="n">
        <v>0</v>
      </c>
      <c r="L567" s="5" t="n">
        <v>0</v>
      </c>
      <c r="M567" t="inlineStr">
        <is>
          <t>low</t>
        </is>
      </c>
      <c r="N567" s="6" t="n">
        <v>134343</v>
      </c>
      <c r="O567" s="6" t="n">
        <v>149180</v>
      </c>
      <c r="P567" s="6" t="n">
        <v>149785</v>
      </c>
      <c r="Q567" s="6">
        <f>AVERAGE(N567:P567)</f>
        <v/>
      </c>
      <c r="R567" t="n">
        <v>3</v>
      </c>
      <c r="S567" t="n">
        <v>1</v>
      </c>
      <c r="T567" s="7">
        <f>365*R567*Q567*S567/1000000</f>
        <v/>
      </c>
      <c r="U567" s="8">
        <f>I567/T567</f>
        <v/>
      </c>
      <c r="V567" s="8">
        <f>SUMIF($E$2:$E$599,E567,$I$2:$I$599)/SUMIF($E$2:$E$599,E567,$T$2:$T$599)</f>
        <v/>
      </c>
      <c r="W567" s="8">
        <f>V567+1.645*SQRT(V567/T567)+1/(2*T567)</f>
        <v/>
      </c>
      <c r="X567" s="5">
        <f>U567/W567</f>
        <v/>
      </c>
      <c r="Y567">
        <f>IF(U567&gt;W567,"high",IF(U567&gt;V567,"medium","low"))</f>
        <v/>
      </c>
      <c r="Z567">
        <f>CHOOSE(MAX(IF(M567="high",2,IF(M567="medium",1,0)),IF(Y567="high",2,IF(Y567="medium",1,0)))+1,"low","medium","high")</f>
        <v/>
      </c>
      <c r="AA567">
        <f>IF(IF(M567="high",2,IF(M567="medium",1,0))=IF(Y567="high",2,IF(Y567="medium",1,0)),"SI และ Rate เท่ากัน",IF(IF(M567="high",2,IF(M567="medium",1,0))&gt;IF(Y567="high",2,IF(Y567="medium",1,0)),"SI","Rate"))</f>
        <v/>
      </c>
    </row>
    <row r="568">
      <c r="A568" t="inlineStr">
        <is>
          <t>zone_347</t>
        </is>
      </c>
      <c r="B568" t="inlineStr">
        <is>
          <t>คลองบางไผ่ - คลองบางหลวง</t>
        </is>
      </c>
      <c r="C568" t="inlineStr">
        <is>
          <t>นนทบุรี</t>
        </is>
      </c>
      <c r="D568" t="inlineStr">
        <is>
          <t>9</t>
        </is>
      </c>
      <c r="E568" t="inlineStr">
        <is>
          <t>ทล.</t>
        </is>
      </c>
      <c r="F568" t="inlineStr">
        <is>
          <t>46.53–48.2</t>
        </is>
      </c>
      <c r="G568" t="inlineStr">
        <is>
          <t>station_id 107 (ทล.9 กม.47+744)</t>
        </is>
      </c>
      <c r="H568" t="inlineStr">
        <is>
          <t>ทล. สถานีตัวแทนตอนควบคุม</t>
        </is>
      </c>
      <c r="I568" t="n">
        <v>3</v>
      </c>
      <c r="J568" t="n">
        <v>0</v>
      </c>
      <c r="K568" t="n">
        <v>1</v>
      </c>
      <c r="L568" s="5" t="n">
        <v>0.3333</v>
      </c>
      <c r="M568" t="inlineStr">
        <is>
          <t>low</t>
        </is>
      </c>
      <c r="N568" s="6" t="n">
        <v>142738</v>
      </c>
      <c r="O568" s="6" t="n">
        <v>149877</v>
      </c>
      <c r="P568" s="6" t="n">
        <v>155949</v>
      </c>
      <c r="Q568" s="6">
        <f>AVERAGE(N568:P568)</f>
        <v/>
      </c>
      <c r="R568" t="n">
        <v>3</v>
      </c>
      <c r="S568" t="n">
        <v>1</v>
      </c>
      <c r="T568" s="7">
        <f>365*R568*Q568*S568/1000000</f>
        <v/>
      </c>
      <c r="U568" s="8">
        <f>I568/T568</f>
        <v/>
      </c>
      <c r="V568" s="8">
        <f>SUMIF($E$2:$E$599,E568,$I$2:$I$599)/SUMIF($E$2:$E$599,E568,$T$2:$T$599)</f>
        <v/>
      </c>
      <c r="W568" s="8">
        <f>V568+1.645*SQRT(V568/T568)+1/(2*T568)</f>
        <v/>
      </c>
      <c r="X568" s="5">
        <f>U568/W568</f>
        <v/>
      </c>
      <c r="Y568">
        <f>IF(U568&gt;W568,"high",IF(U568&gt;V568,"medium","low"))</f>
        <v/>
      </c>
      <c r="Z568">
        <f>CHOOSE(MAX(IF(M568="high",2,IF(M568="medium",1,0)),IF(Y568="high",2,IF(Y568="medium",1,0)))+1,"low","medium","high")</f>
        <v/>
      </c>
      <c r="AA568">
        <f>IF(IF(M568="high",2,IF(M568="medium",1,0))=IF(Y568="high",2,IF(Y568="medium",1,0)),"SI และ Rate เท่ากัน",IF(IF(M568="high",2,IF(M568="medium",1,0))&gt;IF(Y568="high",2,IF(Y568="medium",1,0)),"SI","Rate"))</f>
        <v/>
      </c>
    </row>
    <row r="569">
      <c r="A569" t="inlineStr">
        <is>
          <t>zone_422</t>
        </is>
      </c>
      <c r="B569" t="inlineStr">
        <is>
          <t>คลองบางไผ่ - คลองบางหลวง</t>
        </is>
      </c>
      <c r="C569" t="inlineStr">
        <is>
          <t>ปทุมธานี</t>
        </is>
      </c>
      <c r="D569" t="inlineStr">
        <is>
          <t>9</t>
        </is>
      </c>
      <c r="E569" t="inlineStr">
        <is>
          <t>ทล.</t>
        </is>
      </c>
      <c r="F569" t="inlineStr">
        <is>
          <t>57.533–57.666</t>
        </is>
      </c>
      <c r="G569" t="inlineStr">
        <is>
          <t>station_id 107 (ทล.9 กม.47+744)</t>
        </is>
      </c>
      <c r="H569" t="inlineStr">
        <is>
          <t>ทล. สถานีตัวแทนตอนควบคุม</t>
        </is>
      </c>
      <c r="I569" t="n">
        <v>3</v>
      </c>
      <c r="J569" t="n">
        <v>0</v>
      </c>
      <c r="K569" t="n">
        <v>0</v>
      </c>
      <c r="L569" s="5" t="n">
        <v>0</v>
      </c>
      <c r="M569" t="inlineStr">
        <is>
          <t>low</t>
        </is>
      </c>
      <c r="N569" s="6" t="n">
        <v>142738</v>
      </c>
      <c r="O569" s="6" t="n">
        <v>149877</v>
      </c>
      <c r="P569" s="6" t="n">
        <v>155949</v>
      </c>
      <c r="Q569" s="6">
        <f>AVERAGE(N569:P569)</f>
        <v/>
      </c>
      <c r="R569" t="n">
        <v>3</v>
      </c>
      <c r="S569" t="n">
        <v>1</v>
      </c>
      <c r="T569" s="7">
        <f>365*R569*Q569*S569/1000000</f>
        <v/>
      </c>
      <c r="U569" s="8">
        <f>I569/T569</f>
        <v/>
      </c>
      <c r="V569" s="8">
        <f>SUMIF($E$2:$E$599,E569,$I$2:$I$599)/SUMIF($E$2:$E$599,E569,$T$2:$T$599)</f>
        <v/>
      </c>
      <c r="W569" s="8">
        <f>V569+1.645*SQRT(V569/T569)+1/(2*T569)</f>
        <v/>
      </c>
      <c r="X569" s="5">
        <f>U569/W569</f>
        <v/>
      </c>
      <c r="Y569">
        <f>IF(U569&gt;W569,"high",IF(U569&gt;V569,"medium","low"))</f>
        <v/>
      </c>
      <c r="Z569">
        <f>CHOOSE(MAX(IF(M569="high",2,IF(M569="medium",1,0)),IF(Y569="high",2,IF(Y569="medium",1,0)))+1,"low","medium","high")</f>
        <v/>
      </c>
      <c r="AA569">
        <f>IF(IF(M569="high",2,IF(M569="medium",1,0))=IF(Y569="high",2,IF(Y569="medium",1,0)),"SI และ Rate เท่ากัน",IF(IF(M569="high",2,IF(M569="medium",1,0))&gt;IF(Y569="high",2,IF(Y569="medium",1,0)),"SI","Rate"))</f>
        <v/>
      </c>
    </row>
    <row r="570">
      <c r="A570" t="inlineStr">
        <is>
          <t>zone_469</t>
        </is>
      </c>
      <c r="B570" t="inlineStr">
        <is>
          <t>บางนา - ทางเข้าท่าอากาศยานสุวรรณภูมิ</t>
        </is>
      </c>
      <c r="C570" t="inlineStr">
        <is>
          <t>สมุทรปราการ</t>
        </is>
      </c>
      <c r="D570" t="inlineStr">
        <is>
          <t>34</t>
        </is>
      </c>
      <c r="E570" t="inlineStr">
        <is>
          <t>ทล.</t>
        </is>
      </c>
      <c r="F570" t="inlineStr">
        <is>
          <t>7.3–7.35</t>
        </is>
      </c>
      <c r="G570" t="inlineStr">
        <is>
          <t>station_id 92 (ทล.34 กม.3+904)</t>
        </is>
      </c>
      <c r="H570" t="inlineStr">
        <is>
          <t>ทล. สถานีตัวแทนตอนควบคุม</t>
        </is>
      </c>
      <c r="I570" t="n">
        <v>4</v>
      </c>
      <c r="J570" t="n">
        <v>0</v>
      </c>
      <c r="K570" t="n">
        <v>0</v>
      </c>
      <c r="L570" s="5" t="n">
        <v>0</v>
      </c>
      <c r="M570" t="inlineStr">
        <is>
          <t>low</t>
        </is>
      </c>
      <c r="N570" s="6" t="n">
        <v>212917</v>
      </c>
      <c r="O570" s="6" t="n">
        <v>210163</v>
      </c>
      <c r="P570" s="6" t="n">
        <v>210050</v>
      </c>
      <c r="Q570" s="6">
        <f>AVERAGE(N570:P570)</f>
        <v/>
      </c>
      <c r="R570" t="n">
        <v>3</v>
      </c>
      <c r="S570" t="n">
        <v>1</v>
      </c>
      <c r="T570" s="7">
        <f>365*R570*Q570*S570/1000000</f>
        <v/>
      </c>
      <c r="U570" s="8">
        <f>I570/T570</f>
        <v/>
      </c>
      <c r="V570" s="8">
        <f>SUMIF($E$2:$E$599,E570,$I$2:$I$599)/SUMIF($E$2:$E$599,E570,$T$2:$T$599)</f>
        <v/>
      </c>
      <c r="W570" s="8">
        <f>V570+1.645*SQRT(V570/T570)+1/(2*T570)</f>
        <v/>
      </c>
      <c r="X570" s="5">
        <f>U570/W570</f>
        <v/>
      </c>
      <c r="Y570">
        <f>IF(U570&gt;W570,"high",IF(U570&gt;V570,"medium","low"))</f>
        <v/>
      </c>
      <c r="Z570">
        <f>CHOOSE(MAX(IF(M570="high",2,IF(M570="medium",1,0)),IF(Y570="high",2,IF(Y570="medium",1,0)))+1,"low","medium","high")</f>
        <v/>
      </c>
      <c r="AA570">
        <f>IF(IF(M570="high",2,IF(M570="medium",1,0))=IF(Y570="high",2,IF(Y570="medium",1,0)),"SI และ Rate เท่ากัน",IF(IF(M570="high",2,IF(M570="medium",1,0))&gt;IF(Y570="high",2,IF(Y570="medium",1,0)),"SI","Rate"))</f>
        <v/>
      </c>
    </row>
    <row r="571">
      <c r="A571" t="inlineStr">
        <is>
          <t>zone_114</t>
        </is>
      </c>
      <c r="B571" t="inlineStr">
        <is>
          <t>บางปะอิน - แขวงรามอินทรา</t>
        </is>
      </c>
      <c r="C571" t="inlineStr">
        <is>
          <t>กรุงเทพมหานคร</t>
        </is>
      </c>
      <c r="D571" t="inlineStr">
        <is>
          <t>9</t>
        </is>
      </c>
      <c r="E571" t="inlineStr">
        <is>
          <t>ทล.</t>
        </is>
      </c>
      <c r="F571" t="inlineStr">
        <is>
          <t>40.5–40.6</t>
        </is>
      </c>
      <c r="G571" t="inlineStr">
        <is>
          <t>station_id 347 (ทล.9 กม.1+500)</t>
        </is>
      </c>
      <c r="H571" t="inlineStr">
        <is>
          <t>ทล. สถานีตัวแทนตอนควบคุม</t>
        </is>
      </c>
      <c r="I571" t="n">
        <v>3</v>
      </c>
      <c r="J571" t="n">
        <v>0</v>
      </c>
      <c r="K571" t="n">
        <v>2</v>
      </c>
      <c r="L571" s="5" t="n">
        <v>0.6667</v>
      </c>
      <c r="M571" t="inlineStr">
        <is>
          <t>low</t>
        </is>
      </c>
      <c r="N571" s="6" t="n">
        <v>146870</v>
      </c>
      <c r="O571" s="6" t="n">
        <v>165212</v>
      </c>
      <c r="P571" s="6" t="n">
        <v>160792</v>
      </c>
      <c r="Q571" s="6">
        <f>AVERAGE(N571:P571)</f>
        <v/>
      </c>
      <c r="R571" t="n">
        <v>3</v>
      </c>
      <c r="S571" t="n">
        <v>1</v>
      </c>
      <c r="T571" s="7">
        <f>365*R571*Q571*S571/1000000</f>
        <v/>
      </c>
      <c r="U571" s="8">
        <f>I571/T571</f>
        <v/>
      </c>
      <c r="V571" s="8">
        <f>SUMIF($E$2:$E$599,E571,$I$2:$I$599)/SUMIF($E$2:$E$599,E571,$T$2:$T$599)</f>
        <v/>
      </c>
      <c r="W571" s="8">
        <f>V571+1.645*SQRT(V571/T571)+1/(2*T571)</f>
        <v/>
      </c>
      <c r="X571" s="5">
        <f>U571/W571</f>
        <v/>
      </c>
      <c r="Y571">
        <f>IF(U571&gt;W571,"high",IF(U571&gt;V571,"medium","low"))</f>
        <v/>
      </c>
      <c r="Z571">
        <f>CHOOSE(MAX(IF(M571="high",2,IF(M571="medium",1,0)),IF(Y571="high",2,IF(Y571="medium",1,0)))+1,"low","medium","high")</f>
        <v/>
      </c>
      <c r="AA571">
        <f>IF(IF(M571="high",2,IF(M571="medium",1,0))=IF(Y571="high",2,IF(Y571="medium",1,0)),"SI และ Rate เท่ากัน",IF(IF(M571="high",2,IF(M571="medium",1,0))&gt;IF(Y571="high",2,IF(Y571="medium",1,0)),"SI","Rate"))</f>
        <v/>
      </c>
    </row>
    <row r="572">
      <c r="A572" t="inlineStr">
        <is>
          <t>zone_387</t>
        </is>
      </c>
      <c r="B572" t="inlineStr">
        <is>
          <t>บางปะอิน - แขวงรามอินทรา</t>
        </is>
      </c>
      <c r="C572" t="inlineStr">
        <is>
          <t>ปทุมธานี</t>
        </is>
      </c>
      <c r="D572" t="inlineStr">
        <is>
          <t>9</t>
        </is>
      </c>
      <c r="E572" t="inlineStr">
        <is>
          <t>ทล.</t>
        </is>
      </c>
      <c r="F572" t="inlineStr">
        <is>
          <t>23.3–23.5</t>
        </is>
      </c>
      <c r="G572" t="inlineStr">
        <is>
          <t>station_id 347 (ทล.9 กม.1+500)</t>
        </is>
      </c>
      <c r="H572" t="inlineStr">
        <is>
          <t>ทล. สถานีตัวแทนตอนควบคุม</t>
        </is>
      </c>
      <c r="I572" t="n">
        <v>3</v>
      </c>
      <c r="J572" t="n">
        <v>0</v>
      </c>
      <c r="K572" t="n">
        <v>0</v>
      </c>
      <c r="L572" s="5" t="n">
        <v>0</v>
      </c>
      <c r="M572" t="inlineStr">
        <is>
          <t>low</t>
        </is>
      </c>
      <c r="N572" s="6" t="n">
        <v>146870</v>
      </c>
      <c r="O572" s="6" t="n">
        <v>165212</v>
      </c>
      <c r="P572" s="6" t="n">
        <v>160792</v>
      </c>
      <c r="Q572" s="6">
        <f>AVERAGE(N572:P572)</f>
        <v/>
      </c>
      <c r="R572" t="n">
        <v>3</v>
      </c>
      <c r="S572" t="n">
        <v>1</v>
      </c>
      <c r="T572" s="7">
        <f>365*R572*Q572*S572/1000000</f>
        <v/>
      </c>
      <c r="U572" s="8">
        <f>I572/T572</f>
        <v/>
      </c>
      <c r="V572" s="8">
        <f>SUMIF($E$2:$E$599,E572,$I$2:$I$599)/SUMIF($E$2:$E$599,E572,$T$2:$T$599)</f>
        <v/>
      </c>
      <c r="W572" s="8">
        <f>V572+1.645*SQRT(V572/T572)+1/(2*T572)</f>
        <v/>
      </c>
      <c r="X572" s="5">
        <f>U572/W572</f>
        <v/>
      </c>
      <c r="Y572">
        <f>IF(U572&gt;W572,"high",IF(U572&gt;V572,"medium","low"))</f>
        <v/>
      </c>
      <c r="Z572">
        <f>CHOOSE(MAX(IF(M572="high",2,IF(M572="medium",1,0)),IF(Y572="high",2,IF(Y572="medium",1,0)))+1,"low","medium","high")</f>
        <v/>
      </c>
      <c r="AA572">
        <f>IF(IF(M572="high",2,IF(M572="medium",1,0))=IF(Y572="high",2,IF(Y572="medium",1,0)),"SI และ Rate เท่ากัน",IF(IF(M572="high",2,IF(M572="medium",1,0))&gt;IF(Y572="high",2,IF(Y572="medium",1,0)),"SI","Rate"))</f>
        <v/>
      </c>
    </row>
    <row r="573">
      <c r="A573" t="inlineStr">
        <is>
          <t>zone_394</t>
        </is>
      </c>
      <c r="B573" t="inlineStr">
        <is>
          <t>บางปะอิน - แขวงรามอินทรา</t>
        </is>
      </c>
      <c r="C573" t="inlineStr">
        <is>
          <t>ปทุมธานี</t>
        </is>
      </c>
      <c r="D573" t="inlineStr">
        <is>
          <t>9</t>
        </is>
      </c>
      <c r="E573" t="inlineStr">
        <is>
          <t>ทล.</t>
        </is>
      </c>
      <c r="F573" t="inlineStr">
        <is>
          <t>16.325–16.9</t>
        </is>
      </c>
      <c r="G573" t="inlineStr">
        <is>
          <t>station_id 347 (ทล.9 กม.1+500)</t>
        </is>
      </c>
      <c r="H573" t="inlineStr">
        <is>
          <t>ทล. สถานีตัวแทนตอนควบคุม</t>
        </is>
      </c>
      <c r="I573" t="n">
        <v>3</v>
      </c>
      <c r="J573" t="n">
        <v>0</v>
      </c>
      <c r="K573" t="n">
        <v>1</v>
      </c>
      <c r="L573" s="5" t="n">
        <v>0.3333</v>
      </c>
      <c r="M573" t="inlineStr">
        <is>
          <t>low</t>
        </is>
      </c>
      <c r="N573" s="6" t="n">
        <v>146870</v>
      </c>
      <c r="O573" s="6" t="n">
        <v>165212</v>
      </c>
      <c r="P573" s="6" t="n">
        <v>160792</v>
      </c>
      <c r="Q573" s="6">
        <f>AVERAGE(N573:P573)</f>
        <v/>
      </c>
      <c r="R573" t="n">
        <v>3</v>
      </c>
      <c r="S573" t="n">
        <v>1</v>
      </c>
      <c r="T573" s="7">
        <f>365*R573*Q573*S573/1000000</f>
        <v/>
      </c>
      <c r="U573" s="8">
        <f>I573/T573</f>
        <v/>
      </c>
      <c r="V573" s="8">
        <f>SUMIF($E$2:$E$599,E573,$I$2:$I$599)/SUMIF($E$2:$E$599,E573,$T$2:$T$599)</f>
        <v/>
      </c>
      <c r="W573" s="8">
        <f>V573+1.645*SQRT(V573/T573)+1/(2*T573)</f>
        <v/>
      </c>
      <c r="X573" s="5">
        <f>U573/W573</f>
        <v/>
      </c>
      <c r="Y573">
        <f>IF(U573&gt;W573,"high",IF(U573&gt;V573,"medium","low"))</f>
        <v/>
      </c>
      <c r="Z573">
        <f>CHOOSE(MAX(IF(M573="high",2,IF(M573="medium",1,0)),IF(Y573="high",2,IF(Y573="medium",1,0)))+1,"low","medium","high")</f>
        <v/>
      </c>
      <c r="AA573">
        <f>IF(IF(M573="high",2,IF(M573="medium",1,0))=IF(Y573="high",2,IF(Y573="medium",1,0)),"SI และ Rate เท่ากัน",IF(IF(M573="high",2,IF(M573="medium",1,0))&gt;IF(Y573="high",2,IF(Y573="medium",1,0)),"SI","Rate"))</f>
        <v/>
      </c>
    </row>
    <row r="574">
      <c r="A574" t="inlineStr">
        <is>
          <t>zone_399</t>
        </is>
      </c>
      <c r="B574" t="inlineStr">
        <is>
          <t>บางปะอิน - แขวงรามอินทรา</t>
        </is>
      </c>
      <c r="C574" t="inlineStr">
        <is>
          <t>ปทุมธานี</t>
        </is>
      </c>
      <c r="D574" t="inlineStr">
        <is>
          <t>9</t>
        </is>
      </c>
      <c r="E574" t="inlineStr">
        <is>
          <t>ทล.</t>
        </is>
      </c>
      <c r="F574" t="inlineStr">
        <is>
          <t>10.7–10.9</t>
        </is>
      </c>
      <c r="G574" t="inlineStr">
        <is>
          <t>station_id 347 (ทล.9 กม.1+500)</t>
        </is>
      </c>
      <c r="H574" t="inlineStr">
        <is>
          <t>ทล. สถานีตัวแทนตอนควบคุม</t>
        </is>
      </c>
      <c r="I574" t="n">
        <v>3</v>
      </c>
      <c r="J574" t="n">
        <v>0</v>
      </c>
      <c r="K574" t="n">
        <v>0</v>
      </c>
      <c r="L574" s="5" t="n">
        <v>0</v>
      </c>
      <c r="M574" t="inlineStr">
        <is>
          <t>low</t>
        </is>
      </c>
      <c r="N574" s="6" t="n">
        <v>146870</v>
      </c>
      <c r="O574" s="6" t="n">
        <v>165212</v>
      </c>
      <c r="P574" s="6" t="n">
        <v>160792</v>
      </c>
      <c r="Q574" s="6">
        <f>AVERAGE(N574:P574)</f>
        <v/>
      </c>
      <c r="R574" t="n">
        <v>3</v>
      </c>
      <c r="S574" t="n">
        <v>1</v>
      </c>
      <c r="T574" s="7">
        <f>365*R574*Q574*S574/1000000</f>
        <v/>
      </c>
      <c r="U574" s="8">
        <f>I574/T574</f>
        <v/>
      </c>
      <c r="V574" s="8">
        <f>SUMIF($E$2:$E$599,E574,$I$2:$I$599)/SUMIF($E$2:$E$599,E574,$T$2:$T$599)</f>
        <v/>
      </c>
      <c r="W574" s="8">
        <f>V574+1.645*SQRT(V574/T574)+1/(2*T574)</f>
        <v/>
      </c>
      <c r="X574" s="5">
        <f>U574/W574</f>
        <v/>
      </c>
      <c r="Y574">
        <f>IF(U574&gt;W574,"high",IF(U574&gt;V574,"medium","low"))</f>
        <v/>
      </c>
      <c r="Z574">
        <f>CHOOSE(MAX(IF(M574="high",2,IF(M574="medium",1,0)),IF(Y574="high",2,IF(Y574="medium",1,0)))+1,"low","medium","high")</f>
        <v/>
      </c>
      <c r="AA574">
        <f>IF(IF(M574="high",2,IF(M574="medium",1,0))=IF(Y574="high",2,IF(Y574="medium",1,0)),"SI และ Rate เท่ากัน",IF(IF(M574="high",2,IF(M574="medium",1,0))&gt;IF(Y574="high",2,IF(Y574="medium",1,0)),"SI","Rate"))</f>
        <v/>
      </c>
    </row>
    <row r="575">
      <c r="A575" t="inlineStr">
        <is>
          <t>zone_407</t>
        </is>
      </c>
      <c r="B575" t="inlineStr">
        <is>
          <t>บางปะอิน - แขวงรามอินทรา</t>
        </is>
      </c>
      <c r="C575" t="inlineStr">
        <is>
          <t>ปทุมธานี</t>
        </is>
      </c>
      <c r="D575" t="inlineStr">
        <is>
          <t>9</t>
        </is>
      </c>
      <c r="E575" t="inlineStr">
        <is>
          <t>ทล.</t>
        </is>
      </c>
      <c r="F575" t="inlineStr">
        <is>
          <t>19.1–19.2</t>
        </is>
      </c>
      <c r="G575" t="inlineStr">
        <is>
          <t>station_id 347 (ทล.9 กม.1+500)</t>
        </is>
      </c>
      <c r="H575" t="inlineStr">
        <is>
          <t>ทล. สถานีตัวแทนตอนควบคุม</t>
        </is>
      </c>
      <c r="I575" t="n">
        <v>3</v>
      </c>
      <c r="J575" t="n">
        <v>0</v>
      </c>
      <c r="K575" t="n">
        <v>1</v>
      </c>
      <c r="L575" s="5" t="n">
        <v>0.3333</v>
      </c>
      <c r="M575" t="inlineStr">
        <is>
          <t>low</t>
        </is>
      </c>
      <c r="N575" s="6" t="n">
        <v>146870</v>
      </c>
      <c r="O575" s="6" t="n">
        <v>165212</v>
      </c>
      <c r="P575" s="6" t="n">
        <v>160792</v>
      </c>
      <c r="Q575" s="6">
        <f>AVERAGE(N575:P575)</f>
        <v/>
      </c>
      <c r="R575" t="n">
        <v>3</v>
      </c>
      <c r="S575" t="n">
        <v>1</v>
      </c>
      <c r="T575" s="7">
        <f>365*R575*Q575*S575/1000000</f>
        <v/>
      </c>
      <c r="U575" s="8">
        <f>I575/T575</f>
        <v/>
      </c>
      <c r="V575" s="8">
        <f>SUMIF($E$2:$E$599,E575,$I$2:$I$599)/SUMIF($E$2:$E$599,E575,$T$2:$T$599)</f>
        <v/>
      </c>
      <c r="W575" s="8">
        <f>V575+1.645*SQRT(V575/T575)+1/(2*T575)</f>
        <v/>
      </c>
      <c r="X575" s="5">
        <f>U575/W575</f>
        <v/>
      </c>
      <c r="Y575">
        <f>IF(U575&gt;W575,"high",IF(U575&gt;V575,"medium","low"))</f>
        <v/>
      </c>
      <c r="Z575">
        <f>CHOOSE(MAX(IF(M575="high",2,IF(M575="medium",1,0)),IF(Y575="high",2,IF(Y575="medium",1,0)))+1,"low","medium","high")</f>
        <v/>
      </c>
      <c r="AA575">
        <f>IF(IF(M575="high",2,IF(M575="medium",1,0))=IF(Y575="high",2,IF(Y575="medium",1,0)),"SI และ Rate เท่ากัน",IF(IF(M575="high",2,IF(M575="medium",1,0))&gt;IF(Y575="high",2,IF(Y575="medium",1,0)),"SI","Rate"))</f>
        <v/>
      </c>
    </row>
    <row r="576">
      <c r="A576" t="inlineStr">
        <is>
          <t>zone_67</t>
        </is>
      </c>
      <c r="B576" t="inlineStr">
        <is>
          <t>พระประแดง - บางแค</t>
        </is>
      </c>
      <c r="C576" t="inlineStr">
        <is>
          <t>กรุงเทพมหานคร</t>
        </is>
      </c>
      <c r="D576" t="inlineStr">
        <is>
          <t>9</t>
        </is>
      </c>
      <c r="E576" t="inlineStr">
        <is>
          <t>ทล.</t>
        </is>
      </c>
      <c r="F576" t="inlineStr">
        <is>
          <t>10.25–16.3</t>
        </is>
      </c>
      <c r="G576" t="inlineStr">
        <is>
          <t>station_id 123 (ทล.9 กม.20+430)</t>
        </is>
      </c>
      <c r="H576" t="inlineStr">
        <is>
          <t>ทล. สถานีตัวแทนตอนควบคุม</t>
        </is>
      </c>
      <c r="I576" t="n">
        <v>3</v>
      </c>
      <c r="J576" t="n">
        <v>0</v>
      </c>
      <c r="K576" t="n">
        <v>2</v>
      </c>
      <c r="L576" s="5" t="n">
        <v>0.6667</v>
      </c>
      <c r="M576" t="inlineStr">
        <is>
          <t>low</t>
        </is>
      </c>
      <c r="N576" s="6" t="n">
        <v>161583</v>
      </c>
      <c r="O576" s="6" t="n">
        <v>167210</v>
      </c>
      <c r="P576" s="6" t="n">
        <v>164129</v>
      </c>
      <c r="Q576" s="6">
        <f>AVERAGE(N576:P576)</f>
        <v/>
      </c>
      <c r="R576" t="n">
        <v>3</v>
      </c>
      <c r="S576" t="n">
        <v>1</v>
      </c>
      <c r="T576" s="7">
        <f>365*R576*Q576*S576/1000000</f>
        <v/>
      </c>
      <c r="U576" s="8">
        <f>I576/T576</f>
        <v/>
      </c>
      <c r="V576" s="8">
        <f>SUMIF($E$2:$E$599,E576,$I$2:$I$599)/SUMIF($E$2:$E$599,E576,$T$2:$T$599)</f>
        <v/>
      </c>
      <c r="W576" s="8">
        <f>V576+1.645*SQRT(V576/T576)+1/(2*T576)</f>
        <v/>
      </c>
      <c r="X576" s="5">
        <f>U576/W576</f>
        <v/>
      </c>
      <c r="Y576">
        <f>IF(U576&gt;W576,"high",IF(U576&gt;V576,"medium","low"))</f>
        <v/>
      </c>
      <c r="Z576">
        <f>CHOOSE(MAX(IF(M576="high",2,IF(M576="medium",1,0)),IF(Y576="high",2,IF(Y576="medium",1,0)))+1,"low","medium","high")</f>
        <v/>
      </c>
      <c r="AA576">
        <f>IF(IF(M576="high",2,IF(M576="medium",1,0))=IF(Y576="high",2,IF(Y576="medium",1,0)),"SI และ Rate เท่ากัน",IF(IF(M576="high",2,IF(M576="medium",1,0))&gt;IF(Y576="high",2,IF(Y576="medium",1,0)),"SI","Rate"))</f>
        <v/>
      </c>
    </row>
    <row r="577">
      <c r="A577" t="inlineStr">
        <is>
          <t>zone_400</t>
        </is>
      </c>
      <c r="B577" t="inlineStr">
        <is>
          <t>สะพานคลองเปรม - สะพานข้ามแม่น้ำเจ้าพระยาปทุมธานี</t>
        </is>
      </c>
      <c r="C577" t="inlineStr">
        <is>
          <t>ปทุมธานี</t>
        </is>
      </c>
      <c r="D577" t="inlineStr">
        <is>
          <t>346</t>
        </is>
      </c>
      <c r="E577" t="inlineStr">
        <is>
          <t>ทล.</t>
        </is>
      </c>
      <c r="F577" t="inlineStr">
        <is>
          <t>2.5–2.5</t>
        </is>
      </c>
      <c r="G577" t="inlineStr">
        <is>
          <t>station_id 79 (ทล.346 กม.1+800)</t>
        </is>
      </c>
      <c r="H577" t="inlineStr">
        <is>
          <t>ทล. สถานีตัวแทนตอนควบคุม</t>
        </is>
      </c>
      <c r="I577" t="n">
        <v>3</v>
      </c>
      <c r="J577" t="n">
        <v>1</v>
      </c>
      <c r="K577" t="n">
        <v>0</v>
      </c>
      <c r="L577" s="5" t="n">
        <v>0.3333</v>
      </c>
      <c r="M577" t="inlineStr">
        <is>
          <t>low</t>
        </is>
      </c>
      <c r="N577" s="6" t="n">
        <v>160850</v>
      </c>
      <c r="O577" s="6" t="n">
        <v>169108</v>
      </c>
      <c r="P577" s="6" t="n">
        <v>169276</v>
      </c>
      <c r="Q577" s="6">
        <f>AVERAGE(N577:P577)</f>
        <v/>
      </c>
      <c r="R577" t="n">
        <v>3</v>
      </c>
      <c r="S577" t="n">
        <v>1</v>
      </c>
      <c r="T577" s="7">
        <f>365*R577*Q577*S577/1000000</f>
        <v/>
      </c>
      <c r="U577" s="8">
        <f>I577/T577</f>
        <v/>
      </c>
      <c r="V577" s="8">
        <f>SUMIF($E$2:$E$599,E577,$I$2:$I$599)/SUMIF($E$2:$E$599,E577,$T$2:$T$599)</f>
        <v/>
      </c>
      <c r="W577" s="8">
        <f>V577+1.645*SQRT(V577/T577)+1/(2*T577)</f>
        <v/>
      </c>
      <c r="X577" s="5">
        <f>U577/W577</f>
        <v/>
      </c>
      <c r="Y577">
        <f>IF(U577&gt;W577,"high",IF(U577&gt;V577,"medium","low"))</f>
        <v/>
      </c>
      <c r="Z577">
        <f>CHOOSE(MAX(IF(M577="high",2,IF(M577="medium",1,0)),IF(Y577="high",2,IF(Y577="medium",1,0)))+1,"low","medium","high")</f>
        <v/>
      </c>
      <c r="AA577">
        <f>IF(IF(M577="high",2,IF(M577="medium",1,0))=IF(Y577="high",2,IF(Y577="medium",1,0)),"SI และ Rate เท่ากัน",IF(IF(M577="high",2,IF(M577="medium",1,0))&gt;IF(Y577="high",2,IF(Y577="medium",1,0)),"SI","Rate"))</f>
        <v/>
      </c>
    </row>
    <row r="578">
      <c r="A578" t="inlineStr">
        <is>
          <t>zone_453</t>
        </is>
      </c>
      <c r="B578" t="inlineStr">
        <is>
          <t>แขวงคลองสองต้นนุ่น - พิมพา</t>
        </is>
      </c>
      <c r="C578" t="inlineStr">
        <is>
          <t>สมุทรปราการ</t>
        </is>
      </c>
      <c r="D578" t="inlineStr">
        <is>
          <t>7</t>
        </is>
      </c>
      <c r="E578" t="inlineStr">
        <is>
          <t>ทล.</t>
        </is>
      </c>
      <c r="F578" t="inlineStr">
        <is>
          <t>31.9–32.2</t>
        </is>
      </c>
      <c r="G578" t="inlineStr">
        <is>
          <t>station_id 345 (ทล.7 กม.17+000)</t>
        </is>
      </c>
      <c r="H578" t="inlineStr">
        <is>
          <t>ทล. สถานีตัวแทนตอนควบคุม</t>
        </is>
      </c>
      <c r="I578" t="n">
        <v>4</v>
      </c>
      <c r="J578" t="n">
        <v>0</v>
      </c>
      <c r="K578" t="n">
        <v>0</v>
      </c>
      <c r="L578" s="5" t="n">
        <v>0</v>
      </c>
      <c r="M578" t="inlineStr">
        <is>
          <t>low</t>
        </is>
      </c>
      <c r="N578" s="6" t="n">
        <v>220901</v>
      </c>
      <c r="O578" s="6" t="n">
        <v>242192</v>
      </c>
      <c r="P578" s="6" t="n">
        <v>262343</v>
      </c>
      <c r="Q578" s="6">
        <f>AVERAGE(N578:P578)</f>
        <v/>
      </c>
      <c r="R578" t="n">
        <v>3</v>
      </c>
      <c r="S578" t="n">
        <v>1</v>
      </c>
      <c r="T578" s="7">
        <f>365*R578*Q578*S578/1000000</f>
        <v/>
      </c>
      <c r="U578" s="8">
        <f>I578/T578</f>
        <v/>
      </c>
      <c r="V578" s="8">
        <f>SUMIF($E$2:$E$599,E578,$I$2:$I$599)/SUMIF($E$2:$E$599,E578,$T$2:$T$599)</f>
        <v/>
      </c>
      <c r="W578" s="8">
        <f>V578+1.645*SQRT(V578/T578)+1/(2*T578)</f>
        <v/>
      </c>
      <c r="X578" s="5">
        <f>U578/W578</f>
        <v/>
      </c>
      <c r="Y578">
        <f>IF(U578&gt;W578,"high",IF(U578&gt;V578,"medium","low"))</f>
        <v/>
      </c>
      <c r="Z578">
        <f>CHOOSE(MAX(IF(M578="high",2,IF(M578="medium",1,0)),IF(Y578="high",2,IF(Y578="medium",1,0)))+1,"low","medium","high")</f>
        <v/>
      </c>
      <c r="AA578">
        <f>IF(IF(M578="high",2,IF(M578="medium",1,0))=IF(Y578="high",2,IF(Y578="medium",1,0)),"SI และ Rate เท่ากัน",IF(IF(M578="high",2,IF(M578="medium",1,0))&gt;IF(Y578="high",2,IF(Y578="medium",1,0)),"SI","Rate"))</f>
        <v/>
      </c>
    </row>
    <row r="579">
      <c r="A579" t="inlineStr">
        <is>
          <t>zone_455</t>
        </is>
      </c>
      <c r="B579" t="inlineStr">
        <is>
          <t>แขวงคลองสองต้นนุ่น - พิมพา</t>
        </is>
      </c>
      <c r="C579" t="inlineStr">
        <is>
          <t>สมุทรปราการ</t>
        </is>
      </c>
      <c r="D579" t="inlineStr">
        <is>
          <t>7</t>
        </is>
      </c>
      <c r="E579" t="inlineStr">
        <is>
          <t>ทล.</t>
        </is>
      </c>
      <c r="F579" t="inlineStr">
        <is>
          <t>32.5–32.6</t>
        </is>
      </c>
      <c r="G579" t="inlineStr">
        <is>
          <t>station_id 345 (ทล.7 กม.17+000)</t>
        </is>
      </c>
      <c r="H579" t="inlineStr">
        <is>
          <t>ทล. สถานีตัวแทนตอนควบคุม</t>
        </is>
      </c>
      <c r="I579" t="n">
        <v>4</v>
      </c>
      <c r="J579" t="n">
        <v>0</v>
      </c>
      <c r="K579" t="n">
        <v>3</v>
      </c>
      <c r="L579" s="5" t="n">
        <v>0.75</v>
      </c>
      <c r="M579" t="inlineStr">
        <is>
          <t>low</t>
        </is>
      </c>
      <c r="N579" s="6" t="n">
        <v>220901</v>
      </c>
      <c r="O579" s="6" t="n">
        <v>242192</v>
      </c>
      <c r="P579" s="6" t="n">
        <v>262343</v>
      </c>
      <c r="Q579" s="6">
        <f>AVERAGE(N579:P579)</f>
        <v/>
      </c>
      <c r="R579" t="n">
        <v>3</v>
      </c>
      <c r="S579" t="n">
        <v>1</v>
      </c>
      <c r="T579" s="7">
        <f>365*R579*Q579*S579/1000000</f>
        <v/>
      </c>
      <c r="U579" s="8">
        <f>I579/T579</f>
        <v/>
      </c>
      <c r="V579" s="8">
        <f>SUMIF($E$2:$E$599,E579,$I$2:$I$599)/SUMIF($E$2:$E$599,E579,$T$2:$T$599)</f>
        <v/>
      </c>
      <c r="W579" s="8">
        <f>V579+1.645*SQRT(V579/T579)+1/(2*T579)</f>
        <v/>
      </c>
      <c r="X579" s="5">
        <f>U579/W579</f>
        <v/>
      </c>
      <c r="Y579">
        <f>IF(U579&gt;W579,"high",IF(U579&gt;V579,"medium","low"))</f>
        <v/>
      </c>
      <c r="Z579">
        <f>CHOOSE(MAX(IF(M579="high",2,IF(M579="medium",1,0)),IF(Y579="high",2,IF(Y579="medium",1,0)))+1,"low","medium","high")</f>
        <v/>
      </c>
      <c r="AA579">
        <f>IF(IF(M579="high",2,IF(M579="medium",1,0))=IF(Y579="high",2,IF(Y579="medium",1,0)),"SI และ Rate เท่ากัน",IF(IF(M579="high",2,IF(M579="medium",1,0))&gt;IF(Y579="high",2,IF(Y579="medium",1,0)),"SI","Rate"))</f>
        <v/>
      </c>
    </row>
    <row r="580">
      <c r="A580" t="inlineStr">
        <is>
          <t>zone_462</t>
        </is>
      </c>
      <c r="B580" t="inlineStr">
        <is>
          <t>แขวงคลองสองต้นนุ่น - พิมพา</t>
        </is>
      </c>
      <c r="C580" t="inlineStr">
        <is>
          <t>สมุทรปราการ</t>
        </is>
      </c>
      <c r="D580" t="inlineStr">
        <is>
          <t>7</t>
        </is>
      </c>
      <c r="E580" t="inlineStr">
        <is>
          <t>ทล.</t>
        </is>
      </c>
      <c r="F580" t="inlineStr">
        <is>
          <t>29.6–29.8</t>
        </is>
      </c>
      <c r="G580" t="inlineStr">
        <is>
          <t>station_id 345 (ทล.7 กม.17+000)</t>
        </is>
      </c>
      <c r="H580" t="inlineStr">
        <is>
          <t>ทล. สถานีตัวแทนตอนควบคุม</t>
        </is>
      </c>
      <c r="I580" t="n">
        <v>4</v>
      </c>
      <c r="J580" t="n">
        <v>0</v>
      </c>
      <c r="K580" t="n">
        <v>2</v>
      </c>
      <c r="L580" s="5" t="n">
        <v>0.5</v>
      </c>
      <c r="M580" t="inlineStr">
        <is>
          <t>low</t>
        </is>
      </c>
      <c r="N580" s="6" t="n">
        <v>220901</v>
      </c>
      <c r="O580" s="6" t="n">
        <v>242192</v>
      </c>
      <c r="P580" s="6" t="n">
        <v>262343</v>
      </c>
      <c r="Q580" s="6">
        <f>AVERAGE(N580:P580)</f>
        <v/>
      </c>
      <c r="R580" t="n">
        <v>3</v>
      </c>
      <c r="S580" t="n">
        <v>1</v>
      </c>
      <c r="T580" s="7">
        <f>365*R580*Q580*S580/1000000</f>
        <v/>
      </c>
      <c r="U580" s="8">
        <f>I580/T580</f>
        <v/>
      </c>
      <c r="V580" s="8">
        <f>SUMIF($E$2:$E$599,E580,$I$2:$I$599)/SUMIF($E$2:$E$599,E580,$T$2:$T$599)</f>
        <v/>
      </c>
      <c r="W580" s="8">
        <f>V580+1.645*SQRT(V580/T580)+1/(2*T580)</f>
        <v/>
      </c>
      <c r="X580" s="5">
        <f>U580/W580</f>
        <v/>
      </c>
      <c r="Y580">
        <f>IF(U580&gt;W580,"high",IF(U580&gt;V580,"medium","low"))</f>
        <v/>
      </c>
      <c r="Z580">
        <f>CHOOSE(MAX(IF(M580="high",2,IF(M580="medium",1,0)),IF(Y580="high",2,IF(Y580="medium",1,0)))+1,"low","medium","high")</f>
        <v/>
      </c>
      <c r="AA580">
        <f>IF(IF(M580="high",2,IF(M580="medium",1,0))=IF(Y580="high",2,IF(Y580="medium",1,0)),"SI และ Rate เท่ากัน",IF(IF(M580="high",2,IF(M580="medium",1,0))&gt;IF(Y580="high",2,IF(Y580="medium",1,0)),"SI","Rate"))</f>
        <v/>
      </c>
    </row>
    <row r="581">
      <c r="A581" t="inlineStr">
        <is>
          <t>zone_536</t>
        </is>
      </c>
      <c r="B581" t="inlineStr">
        <is>
          <t>ทางเข้าท่าอากาศยานสุวรรณภูมิ - บางวัว</t>
        </is>
      </c>
      <c r="C581" t="inlineStr">
        <is>
          <t>สมุทรปราการ</t>
        </is>
      </c>
      <c r="D581" t="inlineStr">
        <is>
          <t>34</t>
        </is>
      </c>
      <c r="E581" t="inlineStr">
        <is>
          <t>ทล.</t>
        </is>
      </c>
      <c r="F581" t="inlineStr">
        <is>
          <t>34–34.1</t>
        </is>
      </c>
      <c r="G581" t="inlineStr">
        <is>
          <t>station_id 95 (ทล.34 กม.15+100)</t>
        </is>
      </c>
      <c r="H581" t="inlineStr">
        <is>
          <t>ทล. สถานีตัวแทนตอนควบคุม</t>
        </is>
      </c>
      <c r="I581" t="n">
        <v>4</v>
      </c>
      <c r="J581" t="n">
        <v>0</v>
      </c>
      <c r="K581" t="n">
        <v>0</v>
      </c>
      <c r="L581" s="5" t="n">
        <v>0</v>
      </c>
      <c r="M581" t="inlineStr">
        <is>
          <t>low</t>
        </is>
      </c>
      <c r="N581" s="6" t="n">
        <v>226283</v>
      </c>
      <c r="O581" s="6" t="n">
        <v>252612</v>
      </c>
      <c r="P581" s="6" t="n">
        <v>250222</v>
      </c>
      <c r="Q581" s="6">
        <f>AVERAGE(N581:P581)</f>
        <v/>
      </c>
      <c r="R581" t="n">
        <v>3</v>
      </c>
      <c r="S581" t="n">
        <v>1</v>
      </c>
      <c r="T581" s="7">
        <f>365*R581*Q581*S581/1000000</f>
        <v/>
      </c>
      <c r="U581" s="8">
        <f>I581/T581</f>
        <v/>
      </c>
      <c r="V581" s="8">
        <f>SUMIF($E$2:$E$599,E581,$I$2:$I$599)/SUMIF($E$2:$E$599,E581,$T$2:$T$599)</f>
        <v/>
      </c>
      <c r="W581" s="8">
        <f>V581+1.645*SQRT(V581/T581)+1/(2*T581)</f>
        <v/>
      </c>
      <c r="X581" s="5">
        <f>U581/W581</f>
        <v/>
      </c>
      <c r="Y581">
        <f>IF(U581&gt;W581,"high",IF(U581&gt;V581,"medium","low"))</f>
        <v/>
      </c>
      <c r="Z581">
        <f>CHOOSE(MAX(IF(M581="high",2,IF(M581="medium",1,0)),IF(Y581="high",2,IF(Y581="medium",1,0)))+1,"low","medium","high")</f>
        <v/>
      </c>
      <c r="AA581">
        <f>IF(IF(M581="high",2,IF(M581="medium",1,0))=IF(Y581="high",2,IF(Y581="medium",1,0)),"SI และ Rate เท่ากัน",IF(IF(M581="high",2,IF(M581="medium",1,0))&gt;IF(Y581="high",2,IF(Y581="medium",1,0)),"SI","Rate"))</f>
        <v/>
      </c>
    </row>
    <row r="582">
      <c r="A582" t="inlineStr">
        <is>
          <t>zone_354</t>
        </is>
      </c>
      <c r="B582" t="inlineStr">
        <is>
          <t>คลองมหาสวัสดิ์ - คลองบางไผ่</t>
        </is>
      </c>
      <c r="C582" t="inlineStr">
        <is>
          <t>นนทบุรี</t>
        </is>
      </c>
      <c r="D582" t="inlineStr">
        <is>
          <t>9</t>
        </is>
      </c>
      <c r="E582" t="inlineStr">
        <is>
          <t>ทล.</t>
        </is>
      </c>
      <c r="F582" t="inlineStr">
        <is>
          <t>33.7–33.82</t>
        </is>
      </c>
      <c r="G582" t="inlineStr">
        <is>
          <t>station_id 103 (ทล.9 กม.36+594)</t>
        </is>
      </c>
      <c r="H582" t="inlineStr">
        <is>
          <t>ทล. สถานีตัวแทนตอนควบคุม</t>
        </is>
      </c>
      <c r="I582" t="n">
        <v>3</v>
      </c>
      <c r="J582" t="n">
        <v>0</v>
      </c>
      <c r="K582" t="n">
        <v>0</v>
      </c>
      <c r="L582" s="5" t="n">
        <v>0</v>
      </c>
      <c r="M582" t="inlineStr">
        <is>
          <t>low</t>
        </is>
      </c>
      <c r="N582" s="6" t="n">
        <v>176042</v>
      </c>
      <c r="O582" s="6" t="n">
        <v>180288</v>
      </c>
      <c r="P582" s="6" t="n">
        <v>185932</v>
      </c>
      <c r="Q582" s="6">
        <f>AVERAGE(N582:P582)</f>
        <v/>
      </c>
      <c r="R582" t="n">
        <v>3</v>
      </c>
      <c r="S582" t="n">
        <v>1</v>
      </c>
      <c r="T582" s="7">
        <f>365*R582*Q582*S582/1000000</f>
        <v/>
      </c>
      <c r="U582" s="8">
        <f>I582/T582</f>
        <v/>
      </c>
      <c r="V582" s="8">
        <f>SUMIF($E$2:$E$599,E582,$I$2:$I$599)/SUMIF($E$2:$E$599,E582,$T$2:$T$599)</f>
        <v/>
      </c>
      <c r="W582" s="8">
        <f>V582+1.645*SQRT(V582/T582)+1/(2*T582)</f>
        <v/>
      </c>
      <c r="X582" s="5">
        <f>U582/W582</f>
        <v/>
      </c>
      <c r="Y582">
        <f>IF(U582&gt;W582,"high",IF(U582&gt;V582,"medium","low"))</f>
        <v/>
      </c>
      <c r="Z582">
        <f>CHOOSE(MAX(IF(M582="high",2,IF(M582="medium",1,0)),IF(Y582="high",2,IF(Y582="medium",1,0)))+1,"low","medium","high")</f>
        <v/>
      </c>
      <c r="AA582">
        <f>IF(IF(M582="high",2,IF(M582="medium",1,0))=IF(Y582="high",2,IF(Y582="medium",1,0)),"SI และ Rate เท่ากัน",IF(IF(M582="high",2,IF(M582="medium",1,0))&gt;IF(Y582="high",2,IF(Y582="medium",1,0)),"SI","Rate"))</f>
        <v/>
      </c>
    </row>
    <row r="583">
      <c r="A583" t="inlineStr">
        <is>
          <t>zone_59</t>
        </is>
      </c>
      <c r="B583" t="inlineStr">
        <is>
          <t>ดาวคะนอง -  แสมดำ</t>
        </is>
      </c>
      <c r="C583" t="inlineStr">
        <is>
          <t>กรุงเทพมหานคร</t>
        </is>
      </c>
      <c r="D583" t="inlineStr">
        <is>
          <t>35</t>
        </is>
      </c>
      <c r="E583" t="inlineStr">
        <is>
          <t>ทล.</t>
        </is>
      </c>
      <c r="F583" t="inlineStr">
        <is>
          <t>13.645–13.76</t>
        </is>
      </c>
      <c r="G583" t="inlineStr">
        <is>
          <t>station_id 127 (ทล.35 กม.6+500)</t>
        </is>
      </c>
      <c r="H583" t="inlineStr">
        <is>
          <t>ทล. สถานีตัวแทนตอนควบคุม</t>
        </is>
      </c>
      <c r="I583" t="n">
        <v>4</v>
      </c>
      <c r="J583" t="n">
        <v>1</v>
      </c>
      <c r="K583" t="n">
        <v>1</v>
      </c>
      <c r="L583" s="5" t="n">
        <v>0.5</v>
      </c>
      <c r="M583" t="inlineStr">
        <is>
          <t>low</t>
        </is>
      </c>
      <c r="N583" s="6" t="n">
        <v>256167</v>
      </c>
      <c r="O583" s="6" t="n">
        <v>260090</v>
      </c>
      <c r="P583" s="6" t="n">
        <v>259277</v>
      </c>
      <c r="Q583" s="6">
        <f>AVERAGE(N583:P583)</f>
        <v/>
      </c>
      <c r="R583" t="n">
        <v>3</v>
      </c>
      <c r="S583" t="n">
        <v>1</v>
      </c>
      <c r="T583" s="7">
        <f>365*R583*Q583*S583/1000000</f>
        <v/>
      </c>
      <c r="U583" s="8">
        <f>I583/T583</f>
        <v/>
      </c>
      <c r="V583" s="8">
        <f>SUMIF($E$2:$E$599,E583,$I$2:$I$599)/SUMIF($E$2:$E$599,E583,$T$2:$T$599)</f>
        <v/>
      </c>
      <c r="W583" s="8">
        <f>V583+1.645*SQRT(V583/T583)+1/(2*T583)</f>
        <v/>
      </c>
      <c r="X583" s="5">
        <f>U583/W583</f>
        <v/>
      </c>
      <c r="Y583">
        <f>IF(U583&gt;W583,"high",IF(U583&gt;V583,"medium","low"))</f>
        <v/>
      </c>
      <c r="Z583">
        <f>CHOOSE(MAX(IF(M583="high",2,IF(M583="medium",1,0)),IF(Y583="high",2,IF(Y583="medium",1,0)))+1,"low","medium","high")</f>
        <v/>
      </c>
      <c r="AA583">
        <f>IF(IF(M583="high",2,IF(M583="medium",1,0))=IF(Y583="high",2,IF(Y583="medium",1,0)),"SI และ Rate เท่ากัน",IF(IF(M583="high",2,IF(M583="medium",1,0))&gt;IF(Y583="high",2,IF(Y583="medium",1,0)),"SI","Rate"))</f>
        <v/>
      </c>
    </row>
    <row r="584">
      <c r="A584" t="inlineStr">
        <is>
          <t>zone_435</t>
        </is>
      </c>
      <c r="B584" t="inlineStr">
        <is>
          <t>สนามกีฬาธูปะเตมีย์ - ต่างระดับคลองหลวง</t>
        </is>
      </c>
      <c r="C584" t="inlineStr">
        <is>
          <t>ปทุมธานี</t>
        </is>
      </c>
      <c r="D584" t="inlineStr">
        <is>
          <t>1</t>
        </is>
      </c>
      <c r="E584" t="inlineStr">
        <is>
          <t>ทล.</t>
        </is>
      </c>
      <c r="F584" t="inlineStr">
        <is>
          <t>30.4–30.5</t>
        </is>
      </c>
      <c r="G584" t="inlineStr">
        <is>
          <t>station_id 76 (ทล.1 กม.35+550)</t>
        </is>
      </c>
      <c r="H584" t="inlineStr">
        <is>
          <t>ทล. สถานีตัวแทนตอนควบคุม</t>
        </is>
      </c>
      <c r="I584" t="n">
        <v>3</v>
      </c>
      <c r="J584" t="n">
        <v>2</v>
      </c>
      <c r="K584" t="n">
        <v>0</v>
      </c>
      <c r="L584" s="5" t="n">
        <v>0.6667</v>
      </c>
      <c r="M584" t="inlineStr">
        <is>
          <t>low</t>
        </is>
      </c>
      <c r="N584" s="6" t="n">
        <v>200760</v>
      </c>
      <c r="O584" s="6" t="n">
        <v>201603</v>
      </c>
      <c r="P584" s="6" t="n">
        <v>204800</v>
      </c>
      <c r="Q584" s="6">
        <f>AVERAGE(N584:P584)</f>
        <v/>
      </c>
      <c r="R584" t="n">
        <v>3</v>
      </c>
      <c r="S584" t="n">
        <v>1</v>
      </c>
      <c r="T584" s="7">
        <f>365*R584*Q584*S584/1000000</f>
        <v/>
      </c>
      <c r="U584" s="8">
        <f>I584/T584</f>
        <v/>
      </c>
      <c r="V584" s="8">
        <f>SUMIF($E$2:$E$599,E584,$I$2:$I$599)/SUMIF($E$2:$E$599,E584,$T$2:$T$599)</f>
        <v/>
      </c>
      <c r="W584" s="8">
        <f>V584+1.645*SQRT(V584/T584)+1/(2*T584)</f>
        <v/>
      </c>
      <c r="X584" s="5">
        <f>U584/W584</f>
        <v/>
      </c>
      <c r="Y584">
        <f>IF(U584&gt;W584,"high",IF(U584&gt;V584,"medium","low"))</f>
        <v/>
      </c>
      <c r="Z584">
        <f>CHOOSE(MAX(IF(M584="high",2,IF(M584="medium",1,0)),IF(Y584="high",2,IF(Y584="medium",1,0)))+1,"low","medium","high")</f>
        <v/>
      </c>
      <c r="AA584">
        <f>IF(IF(M584="high",2,IF(M584="medium",1,0))=IF(Y584="high",2,IF(Y584="medium",1,0)),"SI และ Rate เท่ากัน",IF(IF(M584="high",2,IF(M584="medium",1,0))&gt;IF(Y584="high",2,IF(Y584="medium",1,0)),"SI","Rate"))</f>
        <v/>
      </c>
    </row>
    <row r="585">
      <c r="A585" t="inlineStr">
        <is>
          <t>zone_445</t>
        </is>
      </c>
      <c r="B585" t="inlineStr">
        <is>
          <t>สนามกีฬาธูปะเตมีย์ - ต่างระดับคลองหลวง</t>
        </is>
      </c>
      <c r="C585" t="inlineStr">
        <is>
          <t>ปทุมธานี</t>
        </is>
      </c>
      <c r="D585" t="inlineStr">
        <is>
          <t>1</t>
        </is>
      </c>
      <c r="E585" t="inlineStr">
        <is>
          <t>ทล.</t>
        </is>
      </c>
      <c r="F585" t="inlineStr">
        <is>
          <t>31.06–31.224</t>
        </is>
      </c>
      <c r="G585" t="inlineStr">
        <is>
          <t>station_id 76 (ทล.1 กม.35+550)</t>
        </is>
      </c>
      <c r="H585" t="inlineStr">
        <is>
          <t>ทล. สถานีตัวแทนตอนควบคุม</t>
        </is>
      </c>
      <c r="I585" t="n">
        <v>3</v>
      </c>
      <c r="J585" t="n">
        <v>0</v>
      </c>
      <c r="K585" t="n">
        <v>0</v>
      </c>
      <c r="L585" s="5" t="n">
        <v>0</v>
      </c>
      <c r="M585" t="inlineStr">
        <is>
          <t>low</t>
        </is>
      </c>
      <c r="N585" s="6" t="n">
        <v>200760</v>
      </c>
      <c r="O585" s="6" t="n">
        <v>201603</v>
      </c>
      <c r="P585" s="6" t="n">
        <v>204800</v>
      </c>
      <c r="Q585" s="6">
        <f>AVERAGE(N585:P585)</f>
        <v/>
      </c>
      <c r="R585" t="n">
        <v>3</v>
      </c>
      <c r="S585" t="n">
        <v>1</v>
      </c>
      <c r="T585" s="7">
        <f>365*R585*Q585*S585/1000000</f>
        <v/>
      </c>
      <c r="U585" s="8">
        <f>I585/T585</f>
        <v/>
      </c>
      <c r="V585" s="8">
        <f>SUMIF($E$2:$E$599,E585,$I$2:$I$599)/SUMIF($E$2:$E$599,E585,$T$2:$T$599)</f>
        <v/>
      </c>
      <c r="W585" s="8">
        <f>V585+1.645*SQRT(V585/T585)+1/(2*T585)</f>
        <v/>
      </c>
      <c r="X585" s="5">
        <f>U585/W585</f>
        <v/>
      </c>
      <c r="Y585">
        <f>IF(U585&gt;W585,"high",IF(U585&gt;V585,"medium","low"))</f>
        <v/>
      </c>
      <c r="Z585">
        <f>CHOOSE(MAX(IF(M585="high",2,IF(M585="medium",1,0)),IF(Y585="high",2,IF(Y585="medium",1,0)))+1,"low","medium","high")</f>
        <v/>
      </c>
      <c r="AA585">
        <f>IF(IF(M585="high",2,IF(M585="medium",1,0))=IF(Y585="high",2,IF(Y585="medium",1,0)),"SI และ Rate เท่ากัน",IF(IF(M585="high",2,IF(M585="medium",1,0))&gt;IF(Y585="high",2,IF(Y585="medium",1,0)),"SI","Rate"))</f>
        <v/>
      </c>
    </row>
    <row r="586">
      <c r="A586" t="inlineStr">
        <is>
          <t>zone_514</t>
        </is>
      </c>
      <c r="B586" t="inlineStr">
        <is>
          <t>บางนา - ทางเข้าท่าอากาศยานสุวรรณภูมิ</t>
        </is>
      </c>
      <c r="C586" t="inlineStr">
        <is>
          <t>สมุทรปราการ</t>
        </is>
      </c>
      <c r="D586" t="inlineStr">
        <is>
          <t>34</t>
        </is>
      </c>
      <c r="E586" t="inlineStr">
        <is>
          <t>ทล.</t>
        </is>
      </c>
      <c r="F586" t="inlineStr">
        <is>
          <t>9.8–10</t>
        </is>
      </c>
      <c r="G586" t="inlineStr">
        <is>
          <t>station_id 92 (ทล.34 กม.3+904)</t>
        </is>
      </c>
      <c r="H586" t="inlineStr">
        <is>
          <t>ทล. สถานีตัวแทนตอนควบคุม</t>
        </is>
      </c>
      <c r="I586" t="n">
        <v>3</v>
      </c>
      <c r="J586" t="n">
        <v>1</v>
      </c>
      <c r="K586" t="n">
        <v>1</v>
      </c>
      <c r="L586" s="5" t="n">
        <v>0.6667</v>
      </c>
      <c r="M586" t="inlineStr">
        <is>
          <t>low</t>
        </is>
      </c>
      <c r="N586" s="6" t="n">
        <v>212917</v>
      </c>
      <c r="O586" s="6" t="n">
        <v>210163</v>
      </c>
      <c r="P586" s="6" t="n">
        <v>210050</v>
      </c>
      <c r="Q586" s="6">
        <f>AVERAGE(N586:P586)</f>
        <v/>
      </c>
      <c r="R586" t="n">
        <v>3</v>
      </c>
      <c r="S586" t="n">
        <v>1</v>
      </c>
      <c r="T586" s="7">
        <f>365*R586*Q586*S586/1000000</f>
        <v/>
      </c>
      <c r="U586" s="8">
        <f>I586/T586</f>
        <v/>
      </c>
      <c r="V586" s="8">
        <f>SUMIF($E$2:$E$599,E586,$I$2:$I$599)/SUMIF($E$2:$E$599,E586,$T$2:$T$599)</f>
        <v/>
      </c>
      <c r="W586" s="8">
        <f>V586+1.645*SQRT(V586/T586)+1/(2*T586)</f>
        <v/>
      </c>
      <c r="X586" s="5">
        <f>U586/W586</f>
        <v/>
      </c>
      <c r="Y586">
        <f>IF(U586&gt;W586,"high",IF(U586&gt;V586,"medium","low"))</f>
        <v/>
      </c>
      <c r="Z586">
        <f>CHOOSE(MAX(IF(M586="high",2,IF(M586="medium",1,0)),IF(Y586="high",2,IF(Y586="medium",1,0)))+1,"low","medium","high")</f>
        <v/>
      </c>
      <c r="AA586">
        <f>IF(IF(M586="high",2,IF(M586="medium",1,0))=IF(Y586="high",2,IF(Y586="medium",1,0)),"SI และ Rate เท่ากัน",IF(IF(M586="high",2,IF(M586="medium",1,0))&gt;IF(Y586="high",2,IF(Y586="medium",1,0)),"SI","Rate"))</f>
        <v/>
      </c>
    </row>
    <row r="587">
      <c r="A587" t="inlineStr">
        <is>
          <t>zone_420</t>
        </is>
      </c>
      <c r="B587" t="inlineStr">
        <is>
          <t>ต่างระดับคลองหลวง - ประตูน้ำพระอินทร์</t>
        </is>
      </c>
      <c r="C587" t="inlineStr">
        <is>
          <t>ปทุมธานี</t>
        </is>
      </c>
      <c r="D587" t="inlineStr">
        <is>
          <t>1</t>
        </is>
      </c>
      <c r="E587" t="inlineStr">
        <is>
          <t>ทล.</t>
        </is>
      </c>
      <c r="F587" t="inlineStr">
        <is>
          <t>43.5–43.6</t>
        </is>
      </c>
      <c r="G587" t="inlineStr">
        <is>
          <t>station_id 72 (ทล.1 กม.48+100)</t>
        </is>
      </c>
      <c r="H587" t="inlineStr">
        <is>
          <t>ทล. สถานีตัวแทนตอนควบคุม</t>
        </is>
      </c>
      <c r="I587" t="n">
        <v>3</v>
      </c>
      <c r="J587" t="n">
        <v>1</v>
      </c>
      <c r="K587" t="n">
        <v>0</v>
      </c>
      <c r="L587" s="5" t="n">
        <v>0.3333</v>
      </c>
      <c r="M587" t="inlineStr">
        <is>
          <t>low</t>
        </is>
      </c>
      <c r="N587" s="6" t="n">
        <v>222582</v>
      </c>
      <c r="O587" s="6" t="n">
        <v>231731</v>
      </c>
      <c r="P587" s="6" t="n">
        <v>231957</v>
      </c>
      <c r="Q587" s="6">
        <f>AVERAGE(N587:P587)</f>
        <v/>
      </c>
      <c r="R587" t="n">
        <v>3</v>
      </c>
      <c r="S587" t="n">
        <v>1</v>
      </c>
      <c r="T587" s="7">
        <f>365*R587*Q587*S587/1000000</f>
        <v/>
      </c>
      <c r="U587" s="8">
        <f>I587/T587</f>
        <v/>
      </c>
      <c r="V587" s="8">
        <f>SUMIF($E$2:$E$599,E587,$I$2:$I$599)/SUMIF($E$2:$E$599,E587,$T$2:$T$599)</f>
        <v/>
      </c>
      <c r="W587" s="8">
        <f>V587+1.645*SQRT(V587/T587)+1/(2*T587)</f>
        <v/>
      </c>
      <c r="X587" s="5">
        <f>U587/W587</f>
        <v/>
      </c>
      <c r="Y587">
        <f>IF(U587&gt;W587,"high",IF(U587&gt;V587,"medium","low"))</f>
        <v/>
      </c>
      <c r="Z587">
        <f>CHOOSE(MAX(IF(M587="high",2,IF(M587="medium",1,0)),IF(Y587="high",2,IF(Y587="medium",1,0)))+1,"low","medium","high")</f>
        <v/>
      </c>
      <c r="AA587">
        <f>IF(IF(M587="high",2,IF(M587="medium",1,0))=IF(Y587="high",2,IF(Y587="medium",1,0)),"SI และ Rate เท่ากัน",IF(IF(M587="high",2,IF(M587="medium",1,0))&gt;IF(Y587="high",2,IF(Y587="medium",1,0)),"SI","Rate"))</f>
        <v/>
      </c>
    </row>
    <row r="588">
      <c r="A588" t="inlineStr">
        <is>
          <t>zone_107</t>
        </is>
      </c>
      <c r="B588" t="inlineStr">
        <is>
          <t>ถนนศรีนครินทร - แขวงคลองสองต้นนุ่น</t>
        </is>
      </c>
      <c r="C588" t="inlineStr">
        <is>
          <t>กรุงเทพมหานคร</t>
        </is>
      </c>
      <c r="D588" t="inlineStr">
        <is>
          <t>7</t>
        </is>
      </c>
      <c r="E588" t="inlineStr">
        <is>
          <t>ทล.</t>
        </is>
      </c>
      <c r="F588" t="inlineStr">
        <is>
          <t>3.7–3.7</t>
        </is>
      </c>
      <c r="G588" t="inlineStr">
        <is>
          <t>station_id 345 (ทล.7 กม.17+000)</t>
        </is>
      </c>
      <c r="H588" t="inlineStr">
        <is>
          <t>ทล. สถานีตัวแทนตอนควบคุม</t>
        </is>
      </c>
      <c r="I588" t="n">
        <v>3</v>
      </c>
      <c r="J588" t="n">
        <v>0</v>
      </c>
      <c r="K588" t="n">
        <v>2</v>
      </c>
      <c r="L588" s="5" t="n">
        <v>0.6667</v>
      </c>
      <c r="M588" t="inlineStr">
        <is>
          <t>low</t>
        </is>
      </c>
      <c r="N588" s="6" t="n">
        <v>220901</v>
      </c>
      <c r="O588" s="6" t="n">
        <v>242192</v>
      </c>
      <c r="P588" s="6" t="n">
        <v>262343</v>
      </c>
      <c r="Q588" s="6">
        <f>AVERAGE(N588:P588)</f>
        <v/>
      </c>
      <c r="R588" t="n">
        <v>3</v>
      </c>
      <c r="S588" t="n">
        <v>1</v>
      </c>
      <c r="T588" s="7">
        <f>365*R588*Q588*S588/1000000</f>
        <v/>
      </c>
      <c r="U588" s="8">
        <f>I588/T588</f>
        <v/>
      </c>
      <c r="V588" s="8">
        <f>SUMIF($E$2:$E$599,E588,$I$2:$I$599)/SUMIF($E$2:$E$599,E588,$T$2:$T$599)</f>
        <v/>
      </c>
      <c r="W588" s="8">
        <f>V588+1.645*SQRT(V588/T588)+1/(2*T588)</f>
        <v/>
      </c>
      <c r="X588" s="5">
        <f>U588/W588</f>
        <v/>
      </c>
      <c r="Y588">
        <f>IF(U588&gt;W588,"high",IF(U588&gt;V588,"medium","low"))</f>
        <v/>
      </c>
      <c r="Z588">
        <f>CHOOSE(MAX(IF(M588="high",2,IF(M588="medium",1,0)),IF(Y588="high",2,IF(Y588="medium",1,0)))+1,"low","medium","high")</f>
        <v/>
      </c>
      <c r="AA588">
        <f>IF(IF(M588="high",2,IF(M588="medium",1,0))=IF(Y588="high",2,IF(Y588="medium",1,0)),"SI และ Rate เท่ากัน",IF(IF(M588="high",2,IF(M588="medium",1,0))&gt;IF(Y588="high",2,IF(Y588="medium",1,0)),"SI","Rate"))</f>
        <v/>
      </c>
    </row>
    <row r="589">
      <c r="A589" t="inlineStr">
        <is>
          <t>zone_113</t>
        </is>
      </c>
      <c r="B589" t="inlineStr">
        <is>
          <t>ถนนศรีนครินทร - แขวงคลองสองต้นนุ่น</t>
        </is>
      </c>
      <c r="C589" t="inlineStr">
        <is>
          <t>กรุงเทพมหานคร</t>
        </is>
      </c>
      <c r="D589" t="inlineStr">
        <is>
          <t>7</t>
        </is>
      </c>
      <c r="E589" t="inlineStr">
        <is>
          <t>ทล.</t>
        </is>
      </c>
      <c r="F589" t="inlineStr">
        <is>
          <t>1.5–1.6</t>
        </is>
      </c>
      <c r="G589" t="inlineStr">
        <is>
          <t>station_id 345 (ทล.7 กม.17+000)</t>
        </is>
      </c>
      <c r="H589" t="inlineStr">
        <is>
          <t>ทล. สถานีตัวแทนตอนควบคุม</t>
        </is>
      </c>
      <c r="I589" t="n">
        <v>3</v>
      </c>
      <c r="J589" t="n">
        <v>0</v>
      </c>
      <c r="K589" t="n">
        <v>1</v>
      </c>
      <c r="L589" s="5" t="n">
        <v>0.3333</v>
      </c>
      <c r="M589" t="inlineStr">
        <is>
          <t>low</t>
        </is>
      </c>
      <c r="N589" s="6" t="n">
        <v>220901</v>
      </c>
      <c r="O589" s="6" t="n">
        <v>242192</v>
      </c>
      <c r="P589" s="6" t="n">
        <v>262343</v>
      </c>
      <c r="Q589" s="6">
        <f>AVERAGE(N589:P589)</f>
        <v/>
      </c>
      <c r="R589" t="n">
        <v>3</v>
      </c>
      <c r="S589" t="n">
        <v>1</v>
      </c>
      <c r="T589" s="7">
        <f>365*R589*Q589*S589/1000000</f>
        <v/>
      </c>
      <c r="U589" s="8">
        <f>I589/T589</f>
        <v/>
      </c>
      <c r="V589" s="8">
        <f>SUMIF($E$2:$E$599,E589,$I$2:$I$599)/SUMIF($E$2:$E$599,E589,$T$2:$T$599)</f>
        <v/>
      </c>
      <c r="W589" s="8">
        <f>V589+1.645*SQRT(V589/T589)+1/(2*T589)</f>
        <v/>
      </c>
      <c r="X589" s="5">
        <f>U589/W589</f>
        <v/>
      </c>
      <c r="Y589">
        <f>IF(U589&gt;W589,"high",IF(U589&gt;V589,"medium","low"))</f>
        <v/>
      </c>
      <c r="Z589">
        <f>CHOOSE(MAX(IF(M589="high",2,IF(M589="medium",1,0)),IF(Y589="high",2,IF(Y589="medium",1,0)))+1,"low","medium","high")</f>
        <v/>
      </c>
      <c r="AA589">
        <f>IF(IF(M589="high",2,IF(M589="medium",1,0))=IF(Y589="high",2,IF(Y589="medium",1,0)),"SI และ Rate เท่ากัน",IF(IF(M589="high",2,IF(M589="medium",1,0))&gt;IF(Y589="high",2,IF(Y589="medium",1,0)),"SI","Rate"))</f>
        <v/>
      </c>
    </row>
    <row r="590">
      <c r="A590" t="inlineStr">
        <is>
          <t>zone_150</t>
        </is>
      </c>
      <c r="B590" t="inlineStr">
        <is>
          <t>แขวงคลองสองต้นนุ่น - พิมพา</t>
        </is>
      </c>
      <c r="C590" t="inlineStr">
        <is>
          <t>สมุทรปราการ</t>
        </is>
      </c>
      <c r="D590" t="inlineStr">
        <is>
          <t>7</t>
        </is>
      </c>
      <c r="E590" t="inlineStr">
        <is>
          <t>ทล.</t>
        </is>
      </c>
      <c r="F590" t="inlineStr">
        <is>
          <t>23.6–23.7</t>
        </is>
      </c>
      <c r="G590" t="inlineStr">
        <is>
          <t>station_id 345 (ทล.7 กม.17+000)</t>
        </is>
      </c>
      <c r="H590" t="inlineStr">
        <is>
          <t>ทล. สถานีตัวแทนตอนควบคุม</t>
        </is>
      </c>
      <c r="I590" t="n">
        <v>3</v>
      </c>
      <c r="J590" t="n">
        <v>0</v>
      </c>
      <c r="K590" t="n">
        <v>1</v>
      </c>
      <c r="L590" s="5" t="n">
        <v>0.3333</v>
      </c>
      <c r="M590" t="inlineStr">
        <is>
          <t>low</t>
        </is>
      </c>
      <c r="N590" s="6" t="n">
        <v>220901</v>
      </c>
      <c r="O590" s="6" t="n">
        <v>242192</v>
      </c>
      <c r="P590" s="6" t="n">
        <v>262343</v>
      </c>
      <c r="Q590" s="6">
        <f>AVERAGE(N590:P590)</f>
        <v/>
      </c>
      <c r="R590" t="n">
        <v>3</v>
      </c>
      <c r="S590" t="n">
        <v>1</v>
      </c>
      <c r="T590" s="7">
        <f>365*R590*Q590*S590/1000000</f>
        <v/>
      </c>
      <c r="U590" s="8">
        <f>I590/T590</f>
        <v/>
      </c>
      <c r="V590" s="8">
        <f>SUMIF($E$2:$E$599,E590,$I$2:$I$599)/SUMIF($E$2:$E$599,E590,$T$2:$T$599)</f>
        <v/>
      </c>
      <c r="W590" s="8">
        <f>V590+1.645*SQRT(V590/T590)+1/(2*T590)</f>
        <v/>
      </c>
      <c r="X590" s="5">
        <f>U590/W590</f>
        <v/>
      </c>
      <c r="Y590">
        <f>IF(U590&gt;W590,"high",IF(U590&gt;V590,"medium","low"))</f>
        <v/>
      </c>
      <c r="Z590">
        <f>CHOOSE(MAX(IF(M590="high",2,IF(M590="medium",1,0)),IF(Y590="high",2,IF(Y590="medium",1,0)))+1,"low","medium","high")</f>
        <v/>
      </c>
      <c r="AA590">
        <f>IF(IF(M590="high",2,IF(M590="medium",1,0))=IF(Y590="high",2,IF(Y590="medium",1,0)),"SI และ Rate เท่ากัน",IF(IF(M590="high",2,IF(M590="medium",1,0))&gt;IF(Y590="high",2,IF(Y590="medium",1,0)),"SI","Rate"))</f>
        <v/>
      </c>
    </row>
    <row r="591">
      <c r="A591" t="inlineStr">
        <is>
          <t>zone_468</t>
        </is>
      </c>
      <c r="B591" t="inlineStr">
        <is>
          <t>แขวงคลองสองต้นนุ่น - พิมพา</t>
        </is>
      </c>
      <c r="C591" t="inlineStr">
        <is>
          <t>สมุทรปราการ</t>
        </is>
      </c>
      <c r="D591" t="inlineStr">
        <is>
          <t>7</t>
        </is>
      </c>
      <c r="E591" t="inlineStr">
        <is>
          <t>ทล.</t>
        </is>
      </c>
      <c r="F591" t="inlineStr">
        <is>
          <t>30–30.1</t>
        </is>
      </c>
      <c r="G591" t="inlineStr">
        <is>
          <t>station_id 345 (ทล.7 กม.17+000)</t>
        </is>
      </c>
      <c r="H591" t="inlineStr">
        <is>
          <t>ทล. สถานีตัวแทนตอนควบคุม</t>
        </is>
      </c>
      <c r="I591" t="n">
        <v>3</v>
      </c>
      <c r="J591" t="n">
        <v>0</v>
      </c>
      <c r="K591" t="n">
        <v>0</v>
      </c>
      <c r="L591" s="5" t="n">
        <v>0</v>
      </c>
      <c r="M591" t="inlineStr">
        <is>
          <t>low</t>
        </is>
      </c>
      <c r="N591" s="6" t="n">
        <v>220901</v>
      </c>
      <c r="O591" s="6" t="n">
        <v>242192</v>
      </c>
      <c r="P591" s="6" t="n">
        <v>262343</v>
      </c>
      <c r="Q591" s="6">
        <f>AVERAGE(N591:P591)</f>
        <v/>
      </c>
      <c r="R591" t="n">
        <v>3</v>
      </c>
      <c r="S591" t="n">
        <v>1</v>
      </c>
      <c r="T591" s="7">
        <f>365*R591*Q591*S591/1000000</f>
        <v/>
      </c>
      <c r="U591" s="8">
        <f>I591/T591</f>
        <v/>
      </c>
      <c r="V591" s="8">
        <f>SUMIF($E$2:$E$599,E591,$I$2:$I$599)/SUMIF($E$2:$E$599,E591,$T$2:$T$599)</f>
        <v/>
      </c>
      <c r="W591" s="8">
        <f>V591+1.645*SQRT(V591/T591)+1/(2*T591)</f>
        <v/>
      </c>
      <c r="X591" s="5">
        <f>U591/W591</f>
        <v/>
      </c>
      <c r="Y591">
        <f>IF(U591&gt;W591,"high",IF(U591&gt;V591,"medium","low"))</f>
        <v/>
      </c>
      <c r="Z591">
        <f>CHOOSE(MAX(IF(M591="high",2,IF(M591="medium",1,0)),IF(Y591="high",2,IF(Y591="medium",1,0)))+1,"low","medium","high")</f>
        <v/>
      </c>
      <c r="AA591">
        <f>IF(IF(M591="high",2,IF(M591="medium",1,0))=IF(Y591="high",2,IF(Y591="medium",1,0)),"SI และ Rate เท่ากัน",IF(IF(M591="high",2,IF(M591="medium",1,0))&gt;IF(Y591="high",2,IF(Y591="medium",1,0)),"SI","Rate"))</f>
        <v/>
      </c>
    </row>
    <row r="592">
      <c r="A592" t="inlineStr">
        <is>
          <t>zone_474</t>
        </is>
      </c>
      <c r="B592" t="inlineStr">
        <is>
          <t>ทางเข้าท่าอากาศยานสุวรรณภูมิ - บางวัว</t>
        </is>
      </c>
      <c r="C592" t="inlineStr">
        <is>
          <t>สมุทรปราการ</t>
        </is>
      </c>
      <c r="D592" t="inlineStr">
        <is>
          <t>34</t>
        </is>
      </c>
      <c r="E592" t="inlineStr">
        <is>
          <t>ทล.</t>
        </is>
      </c>
      <c r="F592" t="inlineStr">
        <is>
          <t>31.3–31.3</t>
        </is>
      </c>
      <c r="G592" t="inlineStr">
        <is>
          <t>station_id 95 (ทล.34 กม.15+100)</t>
        </is>
      </c>
      <c r="H592" t="inlineStr">
        <is>
          <t>ทล. สถานีตัวแทนตอนควบคุม</t>
        </is>
      </c>
      <c r="I592" t="n">
        <v>3</v>
      </c>
      <c r="J592" t="n">
        <v>0</v>
      </c>
      <c r="K592" t="n">
        <v>0</v>
      </c>
      <c r="L592" s="5" t="n">
        <v>0</v>
      </c>
      <c r="M592" t="inlineStr">
        <is>
          <t>low</t>
        </is>
      </c>
      <c r="N592" s="6" t="n">
        <v>226283</v>
      </c>
      <c r="O592" s="6" t="n">
        <v>252612</v>
      </c>
      <c r="P592" s="6" t="n">
        <v>250222</v>
      </c>
      <c r="Q592" s="6">
        <f>AVERAGE(N592:P592)</f>
        <v/>
      </c>
      <c r="R592" t="n">
        <v>3</v>
      </c>
      <c r="S592" t="n">
        <v>1</v>
      </c>
      <c r="T592" s="7">
        <f>365*R592*Q592*S592/1000000</f>
        <v/>
      </c>
      <c r="U592" s="8">
        <f>I592/T592</f>
        <v/>
      </c>
      <c r="V592" s="8">
        <f>SUMIF($E$2:$E$599,E592,$I$2:$I$599)/SUMIF($E$2:$E$599,E592,$T$2:$T$599)</f>
        <v/>
      </c>
      <c r="W592" s="8">
        <f>V592+1.645*SQRT(V592/T592)+1/(2*T592)</f>
        <v/>
      </c>
      <c r="X592" s="5">
        <f>U592/W592</f>
        <v/>
      </c>
      <c r="Y592">
        <f>IF(U592&gt;W592,"high",IF(U592&gt;V592,"medium","low"))</f>
        <v/>
      </c>
      <c r="Z592">
        <f>CHOOSE(MAX(IF(M592="high",2,IF(M592="medium",1,0)),IF(Y592="high",2,IF(Y592="medium",1,0)))+1,"low","medium","high")</f>
        <v/>
      </c>
      <c r="AA592">
        <f>IF(IF(M592="high",2,IF(M592="medium",1,0))=IF(Y592="high",2,IF(Y592="medium",1,0)),"SI และ Rate เท่ากัน",IF(IF(M592="high",2,IF(M592="medium",1,0))&gt;IF(Y592="high",2,IF(Y592="medium",1,0)),"SI","Rate"))</f>
        <v/>
      </c>
    </row>
    <row r="593">
      <c r="A593" t="inlineStr">
        <is>
          <t>zone_484</t>
        </is>
      </c>
      <c r="B593" t="inlineStr">
        <is>
          <t>ทางเข้าท่าอากาศยานสุวรรณภูมิ - บางวัว</t>
        </is>
      </c>
      <c r="C593" t="inlineStr">
        <is>
          <t>สมุทรปราการ</t>
        </is>
      </c>
      <c r="D593" t="inlineStr">
        <is>
          <t>34</t>
        </is>
      </c>
      <c r="E593" t="inlineStr">
        <is>
          <t>ทล.</t>
        </is>
      </c>
      <c r="F593" t="inlineStr">
        <is>
          <t>17.7–18</t>
        </is>
      </c>
      <c r="G593" t="inlineStr">
        <is>
          <t>station_id 95 (ทล.34 กม.15+100)</t>
        </is>
      </c>
      <c r="H593" t="inlineStr">
        <is>
          <t>ทล. สถานีตัวแทนตอนควบคุม</t>
        </is>
      </c>
      <c r="I593" t="n">
        <v>3</v>
      </c>
      <c r="J593" t="n">
        <v>0</v>
      </c>
      <c r="K593" t="n">
        <v>2</v>
      </c>
      <c r="L593" s="5" t="n">
        <v>0.6667</v>
      </c>
      <c r="M593" t="inlineStr">
        <is>
          <t>low</t>
        </is>
      </c>
      <c r="N593" s="6" t="n">
        <v>226283</v>
      </c>
      <c r="O593" s="6" t="n">
        <v>252612</v>
      </c>
      <c r="P593" s="6" t="n">
        <v>250222</v>
      </c>
      <c r="Q593" s="6">
        <f>AVERAGE(N593:P593)</f>
        <v/>
      </c>
      <c r="R593" t="n">
        <v>3</v>
      </c>
      <c r="S593" t="n">
        <v>1</v>
      </c>
      <c r="T593" s="7">
        <f>365*R593*Q593*S593/1000000</f>
        <v/>
      </c>
      <c r="U593" s="8">
        <f>I593/T593</f>
        <v/>
      </c>
      <c r="V593" s="8">
        <f>SUMIF($E$2:$E$599,E593,$I$2:$I$599)/SUMIF($E$2:$E$599,E593,$T$2:$T$599)</f>
        <v/>
      </c>
      <c r="W593" s="8">
        <f>V593+1.645*SQRT(V593/T593)+1/(2*T593)</f>
        <v/>
      </c>
      <c r="X593" s="5">
        <f>U593/W593</f>
        <v/>
      </c>
      <c r="Y593">
        <f>IF(U593&gt;W593,"high",IF(U593&gt;V593,"medium","low"))</f>
        <v/>
      </c>
      <c r="Z593">
        <f>CHOOSE(MAX(IF(M593="high",2,IF(M593="medium",1,0)),IF(Y593="high",2,IF(Y593="medium",1,0)))+1,"low","medium","high")</f>
        <v/>
      </c>
      <c r="AA593">
        <f>IF(IF(M593="high",2,IF(M593="medium",1,0))=IF(Y593="high",2,IF(Y593="medium",1,0)),"SI และ Rate เท่ากัน",IF(IF(M593="high",2,IF(M593="medium",1,0))&gt;IF(Y593="high",2,IF(Y593="medium",1,0)),"SI","Rate"))</f>
        <v/>
      </c>
    </row>
    <row r="594">
      <c r="A594" t="inlineStr">
        <is>
          <t>zone_485</t>
        </is>
      </c>
      <c r="B594" t="inlineStr">
        <is>
          <t>ทางเข้าท่าอากาศยานสุวรรณภูมิ - บางวัว</t>
        </is>
      </c>
      <c r="C594" t="inlineStr">
        <is>
          <t>สมุทรปราการ</t>
        </is>
      </c>
      <c r="D594" t="inlineStr">
        <is>
          <t>34</t>
        </is>
      </c>
      <c r="E594" t="inlineStr">
        <is>
          <t>ทล.</t>
        </is>
      </c>
      <c r="F594" t="inlineStr">
        <is>
          <t>16–16</t>
        </is>
      </c>
      <c r="G594" t="inlineStr">
        <is>
          <t>station_id 95 (ทล.34 กม.15+100)</t>
        </is>
      </c>
      <c r="H594" t="inlineStr">
        <is>
          <t>ทล. สถานีตัวแทนตอนควบคุม</t>
        </is>
      </c>
      <c r="I594" t="n">
        <v>3</v>
      </c>
      <c r="J594" t="n">
        <v>1</v>
      </c>
      <c r="K594" t="n">
        <v>1</v>
      </c>
      <c r="L594" s="5" t="n">
        <v>0.6667</v>
      </c>
      <c r="M594" t="inlineStr">
        <is>
          <t>low</t>
        </is>
      </c>
      <c r="N594" s="6" t="n">
        <v>226283</v>
      </c>
      <c r="O594" s="6" t="n">
        <v>252612</v>
      </c>
      <c r="P594" s="6" t="n">
        <v>250222</v>
      </c>
      <c r="Q594" s="6">
        <f>AVERAGE(N594:P594)</f>
        <v/>
      </c>
      <c r="R594" t="n">
        <v>3</v>
      </c>
      <c r="S594" t="n">
        <v>1</v>
      </c>
      <c r="T594" s="7">
        <f>365*R594*Q594*S594/1000000</f>
        <v/>
      </c>
      <c r="U594" s="8">
        <f>I594/T594</f>
        <v/>
      </c>
      <c r="V594" s="8">
        <f>SUMIF($E$2:$E$599,E594,$I$2:$I$599)/SUMIF($E$2:$E$599,E594,$T$2:$T$599)</f>
        <v/>
      </c>
      <c r="W594" s="8">
        <f>V594+1.645*SQRT(V594/T594)+1/(2*T594)</f>
        <v/>
      </c>
      <c r="X594" s="5">
        <f>U594/W594</f>
        <v/>
      </c>
      <c r="Y594">
        <f>IF(U594&gt;W594,"high",IF(U594&gt;V594,"medium","low"))</f>
        <v/>
      </c>
      <c r="Z594">
        <f>CHOOSE(MAX(IF(M594="high",2,IF(M594="medium",1,0)),IF(Y594="high",2,IF(Y594="medium",1,0)))+1,"low","medium","high")</f>
        <v/>
      </c>
      <c r="AA594">
        <f>IF(IF(M594="high",2,IF(M594="medium",1,0))=IF(Y594="high",2,IF(Y594="medium",1,0)),"SI และ Rate เท่ากัน",IF(IF(M594="high",2,IF(M594="medium",1,0))&gt;IF(Y594="high",2,IF(Y594="medium",1,0)),"SI","Rate"))</f>
        <v/>
      </c>
    </row>
    <row r="595">
      <c r="A595" t="inlineStr">
        <is>
          <t>zone_508</t>
        </is>
      </c>
      <c r="B595" t="inlineStr">
        <is>
          <t>ทางเข้าท่าอากาศยานสุวรรณภูมิ - บางวัว</t>
        </is>
      </c>
      <c r="C595" t="inlineStr">
        <is>
          <t>สมุทรปราการ</t>
        </is>
      </c>
      <c r="D595" t="inlineStr">
        <is>
          <t>34</t>
        </is>
      </c>
      <c r="E595" t="inlineStr">
        <is>
          <t>ทล.</t>
        </is>
      </c>
      <c r="F595" t="inlineStr">
        <is>
          <t>19.7–19.8</t>
        </is>
      </c>
      <c r="G595" t="inlineStr">
        <is>
          <t>station_id 95 (ทล.34 กม.15+100)</t>
        </is>
      </c>
      <c r="H595" t="inlineStr">
        <is>
          <t>ทล. สถานีตัวแทนตอนควบคุม</t>
        </is>
      </c>
      <c r="I595" t="n">
        <v>3</v>
      </c>
      <c r="J595" t="n">
        <v>2</v>
      </c>
      <c r="K595" t="n">
        <v>0</v>
      </c>
      <c r="L595" s="5" t="n">
        <v>0.6667</v>
      </c>
      <c r="M595" t="inlineStr">
        <is>
          <t>low</t>
        </is>
      </c>
      <c r="N595" s="6" t="n">
        <v>226283</v>
      </c>
      <c r="O595" s="6" t="n">
        <v>252612</v>
      </c>
      <c r="P595" s="6" t="n">
        <v>250222</v>
      </c>
      <c r="Q595" s="6">
        <f>AVERAGE(N595:P595)</f>
        <v/>
      </c>
      <c r="R595" t="n">
        <v>3</v>
      </c>
      <c r="S595" t="n">
        <v>1</v>
      </c>
      <c r="T595" s="7">
        <f>365*R595*Q595*S595/1000000</f>
        <v/>
      </c>
      <c r="U595" s="8">
        <f>I595/T595</f>
        <v/>
      </c>
      <c r="V595" s="8">
        <f>SUMIF($E$2:$E$599,E595,$I$2:$I$599)/SUMIF($E$2:$E$599,E595,$T$2:$T$599)</f>
        <v/>
      </c>
      <c r="W595" s="8">
        <f>V595+1.645*SQRT(V595/T595)+1/(2*T595)</f>
        <v/>
      </c>
      <c r="X595" s="5">
        <f>U595/W595</f>
        <v/>
      </c>
      <c r="Y595">
        <f>IF(U595&gt;W595,"high",IF(U595&gt;V595,"medium","low"))</f>
        <v/>
      </c>
      <c r="Z595">
        <f>CHOOSE(MAX(IF(M595="high",2,IF(M595="medium",1,0)),IF(Y595="high",2,IF(Y595="medium",1,0)))+1,"low","medium","high")</f>
        <v/>
      </c>
      <c r="AA595">
        <f>IF(IF(M595="high",2,IF(M595="medium",1,0))=IF(Y595="high",2,IF(Y595="medium",1,0)),"SI และ Rate เท่ากัน",IF(IF(M595="high",2,IF(M595="medium",1,0))&gt;IF(Y595="high",2,IF(Y595="medium",1,0)),"SI","Rate"))</f>
        <v/>
      </c>
    </row>
    <row r="596">
      <c r="A596" t="inlineStr">
        <is>
          <t>zone_527</t>
        </is>
      </c>
      <c r="B596" t="inlineStr">
        <is>
          <t>ทางเข้าท่าอากาศยานสุวรรณภูมิ - บางวัว</t>
        </is>
      </c>
      <c r="C596" t="inlineStr">
        <is>
          <t>สมุทรปราการ</t>
        </is>
      </c>
      <c r="D596" t="inlineStr">
        <is>
          <t>34</t>
        </is>
      </c>
      <c r="E596" t="inlineStr">
        <is>
          <t>ทล.</t>
        </is>
      </c>
      <c r="F596" t="inlineStr">
        <is>
          <t>28–28</t>
        </is>
      </c>
      <c r="G596" t="inlineStr">
        <is>
          <t>station_id 95 (ทล.34 กม.15+100)</t>
        </is>
      </c>
      <c r="H596" t="inlineStr">
        <is>
          <t>ทล. สถานีตัวแทนตอนควบคุม</t>
        </is>
      </c>
      <c r="I596" t="n">
        <v>3</v>
      </c>
      <c r="J596" t="n">
        <v>0</v>
      </c>
      <c r="K596" t="n">
        <v>0</v>
      </c>
      <c r="L596" s="5" t="n">
        <v>0</v>
      </c>
      <c r="M596" t="inlineStr">
        <is>
          <t>low</t>
        </is>
      </c>
      <c r="N596" s="6" t="n">
        <v>226283</v>
      </c>
      <c r="O596" s="6" t="n">
        <v>252612</v>
      </c>
      <c r="P596" s="6" t="n">
        <v>250222</v>
      </c>
      <c r="Q596" s="6">
        <f>AVERAGE(N596:P596)</f>
        <v/>
      </c>
      <c r="R596" t="n">
        <v>3</v>
      </c>
      <c r="S596" t="n">
        <v>1</v>
      </c>
      <c r="T596" s="7">
        <f>365*R596*Q596*S596/1000000</f>
        <v/>
      </c>
      <c r="U596" s="8">
        <f>I596/T596</f>
        <v/>
      </c>
      <c r="V596" s="8">
        <f>SUMIF($E$2:$E$599,E596,$I$2:$I$599)/SUMIF($E$2:$E$599,E596,$T$2:$T$599)</f>
        <v/>
      </c>
      <c r="W596" s="8">
        <f>V596+1.645*SQRT(V596/T596)+1/(2*T596)</f>
        <v/>
      </c>
      <c r="X596" s="5">
        <f>U596/W596</f>
        <v/>
      </c>
      <c r="Y596">
        <f>IF(U596&gt;W596,"high",IF(U596&gt;V596,"medium","low"))</f>
        <v/>
      </c>
      <c r="Z596">
        <f>CHOOSE(MAX(IF(M596="high",2,IF(M596="medium",1,0)),IF(Y596="high",2,IF(Y596="medium",1,0)))+1,"low","medium","high")</f>
        <v/>
      </c>
      <c r="AA596">
        <f>IF(IF(M596="high",2,IF(M596="medium",1,0))=IF(Y596="high",2,IF(Y596="medium",1,0)),"SI และ Rate เท่ากัน",IF(IF(M596="high",2,IF(M596="medium",1,0))&gt;IF(Y596="high",2,IF(Y596="medium",1,0)),"SI","Rate"))</f>
        <v/>
      </c>
    </row>
    <row r="597">
      <c r="A597" t="inlineStr">
        <is>
          <t>zone_538</t>
        </is>
      </c>
      <c r="B597" t="inlineStr">
        <is>
          <t>ทางเข้าท่าอากาศยานสุวรรณภูมิ - บางวัว</t>
        </is>
      </c>
      <c r="C597" t="inlineStr">
        <is>
          <t>สมุทรปราการ</t>
        </is>
      </c>
      <c r="D597" t="inlineStr">
        <is>
          <t>34</t>
        </is>
      </c>
      <c r="E597" t="inlineStr">
        <is>
          <t>ทล.</t>
        </is>
      </c>
      <c r="F597" t="inlineStr">
        <is>
          <t>23.9–24</t>
        </is>
      </c>
      <c r="G597" t="inlineStr">
        <is>
          <t>station_id 95 (ทล.34 กม.15+100)</t>
        </is>
      </c>
      <c r="H597" t="inlineStr">
        <is>
          <t>ทล. สถานีตัวแทนตอนควบคุม</t>
        </is>
      </c>
      <c r="I597" t="n">
        <v>3</v>
      </c>
      <c r="J597" t="n">
        <v>0</v>
      </c>
      <c r="K597" t="n">
        <v>2</v>
      </c>
      <c r="L597" s="5" t="n">
        <v>0.6667</v>
      </c>
      <c r="M597" t="inlineStr">
        <is>
          <t>low</t>
        </is>
      </c>
      <c r="N597" s="6" t="n">
        <v>226283</v>
      </c>
      <c r="O597" s="6" t="n">
        <v>252612</v>
      </c>
      <c r="P597" s="6" t="n">
        <v>250222</v>
      </c>
      <c r="Q597" s="6">
        <f>AVERAGE(N597:P597)</f>
        <v/>
      </c>
      <c r="R597" t="n">
        <v>3</v>
      </c>
      <c r="S597" t="n">
        <v>1</v>
      </c>
      <c r="T597" s="7">
        <f>365*R597*Q597*S597/1000000</f>
        <v/>
      </c>
      <c r="U597" s="8">
        <f>I597/T597</f>
        <v/>
      </c>
      <c r="V597" s="8">
        <f>SUMIF($E$2:$E$599,E597,$I$2:$I$599)/SUMIF($E$2:$E$599,E597,$T$2:$T$599)</f>
        <v/>
      </c>
      <c r="W597" s="8">
        <f>V597+1.645*SQRT(V597/T597)+1/(2*T597)</f>
        <v/>
      </c>
      <c r="X597" s="5">
        <f>U597/W597</f>
        <v/>
      </c>
      <c r="Y597">
        <f>IF(U597&gt;W597,"high",IF(U597&gt;V597,"medium","low"))</f>
        <v/>
      </c>
      <c r="Z597">
        <f>CHOOSE(MAX(IF(M597="high",2,IF(M597="medium",1,0)),IF(Y597="high",2,IF(Y597="medium",1,0)))+1,"low","medium","high")</f>
        <v/>
      </c>
      <c r="AA597">
        <f>IF(IF(M597="high",2,IF(M597="medium",1,0))=IF(Y597="high",2,IF(Y597="medium",1,0)),"SI และ Rate เท่ากัน",IF(IF(M597="high",2,IF(M597="medium",1,0))&gt;IF(Y597="high",2,IF(Y597="medium",1,0)),"SI","Rate"))</f>
        <v/>
      </c>
    </row>
    <row r="598">
      <c r="A598" t="inlineStr">
        <is>
          <t>zone_36</t>
        </is>
      </c>
      <c r="B598" t="inlineStr">
        <is>
          <t>ดาวคะนอง -  แสมดำ</t>
        </is>
      </c>
      <c r="C598" t="inlineStr">
        <is>
          <t>กรุงเทพมหานคร</t>
        </is>
      </c>
      <c r="D598" t="inlineStr">
        <is>
          <t>35</t>
        </is>
      </c>
      <c r="E598" t="inlineStr">
        <is>
          <t>ทล.</t>
        </is>
      </c>
      <c r="F598" t="inlineStr">
        <is>
          <t>4.3–4.4</t>
        </is>
      </c>
      <c r="G598" t="inlineStr">
        <is>
          <t>station_id 127 (ทล.35 กม.6+500)</t>
        </is>
      </c>
      <c r="H598" t="inlineStr">
        <is>
          <t>ทล. สถานีตัวแทนตอนควบคุม</t>
        </is>
      </c>
      <c r="I598" t="n">
        <v>3</v>
      </c>
      <c r="J598" t="n">
        <v>0</v>
      </c>
      <c r="K598" t="n">
        <v>2</v>
      </c>
      <c r="L598" s="5" t="n">
        <v>0.6667</v>
      </c>
      <c r="M598" t="inlineStr">
        <is>
          <t>low</t>
        </is>
      </c>
      <c r="N598" s="6" t="n">
        <v>256167</v>
      </c>
      <c r="O598" s="6" t="n">
        <v>260090</v>
      </c>
      <c r="P598" s="6" t="n">
        <v>259277</v>
      </c>
      <c r="Q598" s="6">
        <f>AVERAGE(N598:P598)</f>
        <v/>
      </c>
      <c r="R598" t="n">
        <v>3</v>
      </c>
      <c r="S598" t="n">
        <v>1</v>
      </c>
      <c r="T598" s="7">
        <f>365*R598*Q598*S598/1000000</f>
        <v/>
      </c>
      <c r="U598" s="8">
        <f>I598/T598</f>
        <v/>
      </c>
      <c r="V598" s="8">
        <f>SUMIF($E$2:$E$599,E598,$I$2:$I$599)/SUMIF($E$2:$E$599,E598,$T$2:$T$599)</f>
        <v/>
      </c>
      <c r="W598" s="8">
        <f>V598+1.645*SQRT(V598/T598)+1/(2*T598)</f>
        <v/>
      </c>
      <c r="X598" s="5">
        <f>U598/W598</f>
        <v/>
      </c>
      <c r="Y598">
        <f>IF(U598&gt;W598,"high",IF(U598&gt;V598,"medium","low"))</f>
        <v/>
      </c>
      <c r="Z598">
        <f>CHOOSE(MAX(IF(M598="high",2,IF(M598="medium",1,0)),IF(Y598="high",2,IF(Y598="medium",1,0)))+1,"low","medium","high")</f>
        <v/>
      </c>
      <c r="AA598">
        <f>IF(IF(M598="high",2,IF(M598="medium",1,0))=IF(Y598="high",2,IF(Y598="medium",1,0)),"SI และ Rate เท่ากัน",IF(IF(M598="high",2,IF(M598="medium",1,0))&gt;IF(Y598="high",2,IF(Y598="medium",1,0)),"SI","Rate"))</f>
        <v/>
      </c>
    </row>
    <row r="599">
      <c r="A599" t="inlineStr">
        <is>
          <t>zone_41</t>
        </is>
      </c>
      <c r="B599" t="inlineStr">
        <is>
          <t>ดาวคะนอง -  แสมดำ</t>
        </is>
      </c>
      <c r="C599" t="inlineStr">
        <is>
          <t>กรุงเทพมหานคร</t>
        </is>
      </c>
      <c r="D599" t="inlineStr">
        <is>
          <t>35</t>
        </is>
      </c>
      <c r="E599" t="inlineStr">
        <is>
          <t>ทล.</t>
        </is>
      </c>
      <c r="F599" t="inlineStr">
        <is>
          <t>3.8–3.9</t>
        </is>
      </c>
      <c r="G599" t="inlineStr">
        <is>
          <t>station_id 127 (ทล.35 กม.6+500)</t>
        </is>
      </c>
      <c r="H599" t="inlineStr">
        <is>
          <t>ทล. สถานีตัวแทนตอนควบคุม</t>
        </is>
      </c>
      <c r="I599" t="n">
        <v>3</v>
      </c>
      <c r="J599" t="n">
        <v>0</v>
      </c>
      <c r="K599" t="n">
        <v>1</v>
      </c>
      <c r="L599" s="5" t="n">
        <v>0.3333</v>
      </c>
      <c r="M599" t="inlineStr">
        <is>
          <t>low</t>
        </is>
      </c>
      <c r="N599" s="6" t="n">
        <v>256167</v>
      </c>
      <c r="O599" s="6" t="n">
        <v>260090</v>
      </c>
      <c r="P599" s="6" t="n">
        <v>259277</v>
      </c>
      <c r="Q599" s="6">
        <f>AVERAGE(N599:P599)</f>
        <v/>
      </c>
      <c r="R599" t="n">
        <v>3</v>
      </c>
      <c r="S599" t="n">
        <v>1</v>
      </c>
      <c r="T599" s="7">
        <f>365*R599*Q599*S599/1000000</f>
        <v/>
      </c>
      <c r="U599" s="8">
        <f>I599/T599</f>
        <v/>
      </c>
      <c r="V599" s="8">
        <f>SUMIF($E$2:$E$599,E599,$I$2:$I$599)/SUMIF($E$2:$E$599,E599,$T$2:$T$599)</f>
        <v/>
      </c>
      <c r="W599" s="8">
        <f>V599+1.645*SQRT(V599/T599)+1/(2*T599)</f>
        <v/>
      </c>
      <c r="X599" s="5">
        <f>U599/W599</f>
        <v/>
      </c>
      <c r="Y599">
        <f>IF(U599&gt;W599,"high",IF(U599&gt;V599,"medium","low"))</f>
        <v/>
      </c>
      <c r="Z599">
        <f>CHOOSE(MAX(IF(M599="high",2,IF(M599="medium",1,0)),IF(Y599="high",2,IF(Y599="medium",1,0)))+1,"low","medium","high")</f>
        <v/>
      </c>
      <c r="AA599">
        <f>IF(IF(M599="high",2,IF(M599="medium",1,0))=IF(Y599="high",2,IF(Y599="medium",1,0)),"SI และ Rate เท่ากัน",IF(IF(M599="high",2,IF(M599="medium",1,0))&gt;IF(Y599="high",2,IF(Y599="medium",1,0)),"SI","Rate"))</f>
        <v/>
      </c>
    </row>
  </sheetData>
  <autoFilter ref="A1:AA599"/>
  <conditionalFormatting sqref="M2:M599">
    <cfRule type="expression" priority="1" dxfId="0">
      <formula>M2="high"</formula>
    </cfRule>
    <cfRule type="expression" priority="2" dxfId="1">
      <formula>M2="medium"</formula>
    </cfRule>
    <cfRule type="expression" priority="3" dxfId="2">
      <formula>M2="low"</formula>
    </cfRule>
  </conditionalFormatting>
  <conditionalFormatting sqref="Y2:Y599">
    <cfRule type="expression" priority="4" dxfId="0">
      <formula>Y2="high"</formula>
    </cfRule>
    <cfRule type="expression" priority="5" dxfId="1">
      <formula>Y2="medium"</formula>
    </cfRule>
    <cfRule type="expression" priority="6" dxfId="2">
      <formula>Y2="low"</formula>
    </cfRule>
  </conditionalFormatting>
  <conditionalFormatting sqref="Z2:Z599">
    <cfRule type="expression" priority="7" dxfId="0">
      <formula>Z2="high"</formula>
    </cfRule>
    <cfRule type="expression" priority="8" dxfId="1">
      <formula>Z2="medium"</formula>
    </cfRule>
    <cfRule type="expression" priority="9" dxfId="2">
      <formula>Z2="low"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2" max="2"/>
    <col width="48" customWidth="1" min="9" max="9"/>
  </cols>
  <sheetData>
    <row r="1">
      <c r="A1" s="2" t="inlineStr">
        <is>
          <t>id</t>
        </is>
      </c>
      <c r="B1" s="2" t="inlineStr">
        <is>
          <t>ถนน</t>
        </is>
      </c>
      <c r="C1" s="2" t="inlineStr">
        <is>
          <t>จังหวัด</t>
        </is>
      </c>
      <c r="D1" s="2" t="inlineStr">
        <is>
          <t>route_code</t>
        </is>
      </c>
      <c r="E1" s="2" t="inlineStr">
        <is>
          <t>หน่วยงาน</t>
        </is>
      </c>
      <c r="F1" s="2" t="inlineStr">
        <is>
          <t>A</t>
        </is>
      </c>
      <c r="G1" s="2" t="inlineStr">
        <is>
          <t>SI</t>
        </is>
      </c>
      <c r="H1" s="2" t="inlineStr">
        <is>
          <t>ระดับ_SI</t>
        </is>
      </c>
      <c r="I1" s="2" t="inlineStr">
        <is>
          <t>เหตุผลที่ไม่อยู่ใน 598</t>
        </is>
      </c>
    </row>
    <row r="2">
      <c r="A2" t="inlineStr">
        <is>
          <t>zone_168</t>
        </is>
      </c>
      <c r="B2" t="inlineStr">
        <is>
          <t>จุดเชื่อมต่อถนนวงแหวนอุตสาหกรรมเข้าสะพานภูมิพลที่ 2</t>
        </is>
      </c>
      <c r="C2" t="inlineStr">
        <is>
          <t>สมุทรปราการ</t>
        </is>
      </c>
      <c r="D2" t="inlineStr">
        <is>
          <t>ส.013</t>
        </is>
      </c>
      <c r="E2" t="inlineStr">
        <is>
          <t>ทช.</t>
        </is>
      </c>
      <c r="F2" t="n">
        <v>3</v>
      </c>
      <c r="G2" t="n">
        <v>0.6667</v>
      </c>
      <c r="H2" t="inlineStr">
        <is>
          <t>low</t>
        </is>
      </c>
      <c r="I2" t="inlineStr">
        <is>
          <t>สะพานภูมิพล: ข้อมูลเปิด ทช. = 0 / ไม่มีแถว</t>
        </is>
      </c>
    </row>
    <row r="3">
      <c r="A3" t="inlineStr">
        <is>
          <t>zone_169</t>
        </is>
      </c>
      <c r="B3" t="inlineStr">
        <is>
          <t>ถนนวงแหวนอุตสาหกรรมเข้าสะพานภูมิพลที่ 1</t>
        </is>
      </c>
      <c r="C3" t="inlineStr">
        <is>
          <t>กรุงเทพมหานคร</t>
        </is>
      </c>
      <c r="D3" t="inlineStr">
        <is>
          <t>ส.012</t>
        </is>
      </c>
      <c r="E3" t="inlineStr">
        <is>
          <t>ทช.</t>
        </is>
      </c>
      <c r="F3" t="n">
        <v>8</v>
      </c>
      <c r="G3" t="n">
        <v>0.875</v>
      </c>
      <c r="H3" t="inlineStr">
        <is>
          <t>low</t>
        </is>
      </c>
      <c r="I3" t="inlineStr">
        <is>
          <t>สะพานภูมิพล: ข้อมูลเปิด ทช. = 0 / ไม่มีแถว</t>
        </is>
      </c>
    </row>
    <row r="4">
      <c r="A4" t="inlineStr">
        <is>
          <t>zone_170</t>
        </is>
      </c>
      <c r="B4" t="inlineStr">
        <is>
          <t>ถนนวงแหวนอุตสาหกรรมเข้าสะพานภูมิพลที่ 1</t>
        </is>
      </c>
      <c r="C4" t="inlineStr">
        <is>
          <t>สมุทรปราการ</t>
        </is>
      </c>
      <c r="D4" t="inlineStr">
        <is>
          <t>ส.012</t>
        </is>
      </c>
      <c r="E4" t="inlineStr">
        <is>
          <t>ทช.</t>
        </is>
      </c>
      <c r="F4" t="n">
        <v>63</v>
      </c>
      <c r="G4" t="n">
        <v>0.619</v>
      </c>
      <c r="H4" t="inlineStr">
        <is>
          <t>low</t>
        </is>
      </c>
      <c r="I4" t="inlineStr">
        <is>
          <t>สะพานภูมิพล: ข้อมูลเปิด ทช. = 0 / ไม่มีแถว</t>
        </is>
      </c>
    </row>
    <row r="5">
      <c r="A5" t="inlineStr">
        <is>
          <t>zone_171</t>
        </is>
      </c>
      <c r="B5" t="inlineStr">
        <is>
          <t>ถนนวงแหวนอุตสาหกรรมเข้าสะพานภูมิพลที่ 1</t>
        </is>
      </c>
      <c r="C5" t="inlineStr">
        <is>
          <t>สมุทรปราการ</t>
        </is>
      </c>
      <c r="D5" t="inlineStr">
        <is>
          <t>ส.012</t>
        </is>
      </c>
      <c r="E5" t="inlineStr">
        <is>
          <t>ทช.</t>
        </is>
      </c>
      <c r="F5" t="n">
        <v>9</v>
      </c>
      <c r="G5" t="n">
        <v>0.5556</v>
      </c>
      <c r="H5" t="inlineStr">
        <is>
          <t>low</t>
        </is>
      </c>
      <c r="I5" t="inlineStr">
        <is>
          <t>สะพานภูมิพล: ข้อมูลเปิด ทช. = 0 / ไม่มีแถว</t>
        </is>
      </c>
    </row>
    <row r="6">
      <c r="A6" t="inlineStr">
        <is>
          <t>zone_172</t>
        </is>
      </c>
      <c r="B6" t="inlineStr">
        <is>
          <t>ถนนวงแหวนอุตสาหกรรมเข้าสะพานภูมิพลที่ 1</t>
        </is>
      </c>
      <c r="C6" t="inlineStr">
        <is>
          <t>สมุทรปราการ</t>
        </is>
      </c>
      <c r="D6" t="inlineStr">
        <is>
          <t>ส.012</t>
        </is>
      </c>
      <c r="E6" t="inlineStr">
        <is>
          <t>ทช.</t>
        </is>
      </c>
      <c r="F6" t="n">
        <v>3</v>
      </c>
      <c r="G6" t="n">
        <v>0.3333</v>
      </c>
      <c r="H6" t="inlineStr">
        <is>
          <t>low</t>
        </is>
      </c>
      <c r="I6" t="inlineStr">
        <is>
          <t>สะพานภูมิพล: ข้อมูลเปิด ทช. = 0 / ไม่มีแถว</t>
        </is>
      </c>
    </row>
    <row r="7">
      <c r="A7" t="inlineStr">
        <is>
          <t>zone_173</t>
        </is>
      </c>
      <c r="B7" t="inlineStr">
        <is>
          <t>ทางออกจากถนนวงแหวนอุตสาหกรรมสู่ถนนปู่เจ้าสมิงพราย</t>
        </is>
      </c>
      <c r="C7" t="inlineStr">
        <is>
          <t>สมุทรปราการ</t>
        </is>
      </c>
      <c r="D7" t="inlineStr">
        <is>
          <t>ส.013</t>
        </is>
      </c>
      <c r="E7" t="inlineStr">
        <is>
          <t>ทช.</t>
        </is>
      </c>
      <c r="F7" t="n">
        <v>25</v>
      </c>
      <c r="G7" t="n">
        <v>0.36</v>
      </c>
      <c r="H7" t="inlineStr">
        <is>
          <t>low</t>
        </is>
      </c>
      <c r="I7" t="inlineStr">
        <is>
          <t>สะพานภูมิพล: ข้อมูลเปิด ทช. = 0 / ไม่มีแถว</t>
        </is>
      </c>
    </row>
    <row r="8">
      <c r="A8" t="inlineStr">
        <is>
          <t>zone_174</t>
        </is>
      </c>
      <c r="B8" t="inlineStr">
        <is>
          <t>ทางออกจากถนนวงแหวนอุตสาหกรรมสู่ถนนปู่เจ้าสมิงพราย</t>
        </is>
      </c>
      <c r="C8" t="inlineStr">
        <is>
          <t>สมุทรปราการ</t>
        </is>
      </c>
      <c r="D8" t="inlineStr">
        <is>
          <t>ส.013</t>
        </is>
      </c>
      <c r="E8" t="inlineStr">
        <is>
          <t>ทช.</t>
        </is>
      </c>
      <c r="F8" t="n">
        <v>4</v>
      </c>
      <c r="G8" t="n">
        <v>0</v>
      </c>
      <c r="H8" t="inlineStr">
        <is>
          <t>low</t>
        </is>
      </c>
      <c r="I8" t="inlineStr">
        <is>
          <t>สะพานภูมิพล: ข้อมูลเปิด ทช. = 0 / ไม่มีแถว</t>
        </is>
      </c>
    </row>
    <row r="9">
      <c r="A9" t="inlineStr">
        <is>
          <t>zone_175</t>
        </is>
      </c>
      <c r="B9" t="inlineStr">
        <is>
          <t>ทางออกจากถนนวงแหวนอุตสาหกรรมสู่ถนนปู่เจ้าสมิงพราย</t>
        </is>
      </c>
      <c r="C9" t="inlineStr">
        <is>
          <t>สมุทรปราการ</t>
        </is>
      </c>
      <c r="D9" t="inlineStr">
        <is>
          <t>ส.013</t>
        </is>
      </c>
      <c r="E9" t="inlineStr">
        <is>
          <t>ทช.</t>
        </is>
      </c>
      <c r="F9" t="n">
        <v>5</v>
      </c>
      <c r="G9" t="n">
        <v>0</v>
      </c>
      <c r="H9" t="inlineStr">
        <is>
          <t>low</t>
        </is>
      </c>
      <c r="I9" t="inlineStr">
        <is>
          <t>สะพานภูมิพล: ข้อมูลเปิด ทช. = 0 / ไม่มีแถว</t>
        </is>
      </c>
    </row>
    <row r="10">
      <c r="A10" t="inlineStr">
        <is>
          <t>zone_176</t>
        </is>
      </c>
      <c r="B10" t="inlineStr">
        <is>
          <t>ทางออกจากถนนวงแหวนอุตสาหกรรมสู่ถนนสุขสวัสดิ์</t>
        </is>
      </c>
      <c r="C10" t="inlineStr">
        <is>
          <t>สมุทรปราการ</t>
        </is>
      </c>
      <c r="D10" t="inlineStr">
        <is>
          <t>ส.013</t>
        </is>
      </c>
      <c r="E10" t="inlineStr">
        <is>
          <t>ทช.</t>
        </is>
      </c>
      <c r="F10" t="n">
        <v>9</v>
      </c>
      <c r="G10" t="n">
        <v>1.1111</v>
      </c>
      <c r="H10" t="inlineStr">
        <is>
          <t>medium</t>
        </is>
      </c>
      <c r="I10" t="inlineStr">
        <is>
          <t>สะพานภูมิพล: ข้อมูลเปิด ทช. = 0 / ไม่มีแถว</t>
        </is>
      </c>
    </row>
    <row r="11">
      <c r="A11" t="inlineStr">
        <is>
          <t>zone_177</t>
        </is>
      </c>
      <c r="B11" t="inlineStr">
        <is>
          <t>ทางเข้าถนนปู่เจ้าสมิงพรายสู่ถนนวงแหวนอุตสาหกรรม</t>
        </is>
      </c>
      <c r="C11" t="inlineStr">
        <is>
          <t>สมุทรปราการ</t>
        </is>
      </c>
      <c r="D11" t="inlineStr">
        <is>
          <t>ส.013</t>
        </is>
      </c>
      <c r="E11" t="inlineStr">
        <is>
          <t>ทช.</t>
        </is>
      </c>
      <c r="F11" t="n">
        <v>44</v>
      </c>
      <c r="G11" t="n">
        <v>0.4318</v>
      </c>
      <c r="H11" t="inlineStr">
        <is>
          <t>low</t>
        </is>
      </c>
      <c r="I11" t="inlineStr">
        <is>
          <t>สะพานภูมิพล: ข้อมูลเปิด ทช. = 0 / ไม่มีแถว</t>
        </is>
      </c>
    </row>
    <row r="12">
      <c r="A12" t="inlineStr">
        <is>
          <t>zone_178</t>
        </is>
      </c>
      <c r="B12" t="inlineStr">
        <is>
          <t>ทางเข้าถนนสุขสวัสดิ์สู่ถนนวงแหวนอุตสาหกรรม</t>
        </is>
      </c>
      <c r="C12" t="inlineStr">
        <is>
          <t>กรุงเทพมหานคร</t>
        </is>
      </c>
      <c r="D12" t="inlineStr">
        <is>
          <t>ส.012</t>
        </is>
      </c>
      <c r="E12" t="inlineStr">
        <is>
          <t>ทช.</t>
        </is>
      </c>
      <c r="F12" t="n">
        <v>9</v>
      </c>
      <c r="G12" t="n">
        <v>0</v>
      </c>
      <c r="H12" t="inlineStr">
        <is>
          <t>low</t>
        </is>
      </c>
      <c r="I12" t="inlineStr">
        <is>
          <t>สะพานภูมิพล: ข้อมูลเปิด ทช. = 0 / ไม่มีแถว</t>
        </is>
      </c>
    </row>
    <row r="13">
      <c r="A13" t="inlineStr">
        <is>
          <t>zone_179</t>
        </is>
      </c>
      <c r="B13" t="inlineStr">
        <is>
          <t>สะพานภูมิพลที่ 1 ไปสะพานภูมิพลที่ 2</t>
        </is>
      </c>
      <c r="C13" t="inlineStr">
        <is>
          <t>กรุงเทพมหานคร</t>
        </is>
      </c>
      <c r="D13" t="inlineStr">
        <is>
          <t>ส.013</t>
        </is>
      </c>
      <c r="E13" t="inlineStr">
        <is>
          <t>ทช.</t>
        </is>
      </c>
      <c r="F13" t="n">
        <v>116</v>
      </c>
      <c r="G13" t="n">
        <v>0.6897</v>
      </c>
      <c r="H13" t="inlineStr">
        <is>
          <t>low</t>
        </is>
      </c>
      <c r="I13" t="inlineStr">
        <is>
          <t>สะพานภูมิพล: ข้อมูลเปิด ทช. = 0 / ไม่มีแถว</t>
        </is>
      </c>
    </row>
    <row r="14">
      <c r="A14" t="inlineStr">
        <is>
          <t>zone_180</t>
        </is>
      </c>
      <c r="B14" t="inlineStr">
        <is>
          <t>สะพานภูมิพลที่ 1 ไปสะพานภูมิพลที่ 2</t>
        </is>
      </c>
      <c r="C14" t="inlineStr">
        <is>
          <t>กรุงเทพมหานคร</t>
        </is>
      </c>
      <c r="D14" t="inlineStr">
        <is>
          <t>ส.013</t>
        </is>
      </c>
      <c r="E14" t="inlineStr">
        <is>
          <t>ทช.</t>
        </is>
      </c>
      <c r="F14" t="n">
        <v>3</v>
      </c>
      <c r="G14" t="n">
        <v>1</v>
      </c>
      <c r="H14" t="inlineStr">
        <is>
          <t>medium</t>
        </is>
      </c>
      <c r="I14" t="inlineStr">
        <is>
          <t>สะพานภูมิพล: ข้อมูลเปิด ทช. = 0 / ไม่มีแถว</t>
        </is>
      </c>
    </row>
    <row r="15">
      <c r="A15" t="inlineStr">
        <is>
          <t>zone_181</t>
        </is>
      </c>
      <c r="B15" t="inlineStr">
        <is>
          <t>สะพานภูมิพลที่ 1 ไปสะพานภูมิพลที่ 2</t>
        </is>
      </c>
      <c r="C15" t="inlineStr">
        <is>
          <t>สมุทรปราการ</t>
        </is>
      </c>
      <c r="D15" t="inlineStr">
        <is>
          <t>ส.013</t>
        </is>
      </c>
      <c r="E15" t="inlineStr">
        <is>
          <t>ทช.</t>
        </is>
      </c>
      <c r="F15" t="n">
        <v>22</v>
      </c>
      <c r="G15" t="n">
        <v>0.6818</v>
      </c>
      <c r="H15" t="inlineStr">
        <is>
          <t>low</t>
        </is>
      </c>
      <c r="I15" t="inlineStr">
        <is>
          <t>สะพานภูมิพล: ข้อมูลเปิด ทช. = 0 / ไม่มีแถว</t>
        </is>
      </c>
    </row>
    <row r="16">
      <c r="A16" t="inlineStr">
        <is>
          <t>zone_182</t>
        </is>
      </c>
      <c r="B16" t="inlineStr">
        <is>
          <t>สะพานภูมิพลที่ 1 ไปสะพานภูมิพลที่ 2</t>
        </is>
      </c>
      <c r="C16" t="inlineStr">
        <is>
          <t>สมุทรปราการ</t>
        </is>
      </c>
      <c r="D16" t="inlineStr">
        <is>
          <t>ส.013</t>
        </is>
      </c>
      <c r="E16" t="inlineStr">
        <is>
          <t>ทช.</t>
        </is>
      </c>
      <c r="F16" t="n">
        <v>12</v>
      </c>
      <c r="G16" t="n">
        <v>1</v>
      </c>
      <c r="H16" t="inlineStr">
        <is>
          <t>medium</t>
        </is>
      </c>
      <c r="I16" t="inlineStr">
        <is>
          <t>สะพานภูมิพล: ข้อมูลเปิด ทช. = 0 / ไม่มีแถว</t>
        </is>
      </c>
    </row>
    <row r="17">
      <c r="A17" t="inlineStr">
        <is>
          <t>zone_183</t>
        </is>
      </c>
      <c r="B17" t="inlineStr">
        <is>
          <t>สะพานภูมิพลที่ 1 ไปสะพานภูมิพลที่ 2</t>
        </is>
      </c>
      <c r="C17" t="inlineStr">
        <is>
          <t>สมุทรปราการ</t>
        </is>
      </c>
      <c r="D17" t="inlineStr">
        <is>
          <t>ส.013</t>
        </is>
      </c>
      <c r="E17" t="inlineStr">
        <is>
          <t>ทช.</t>
        </is>
      </c>
      <c r="F17" t="n">
        <v>8</v>
      </c>
      <c r="G17" t="n">
        <v>0.125</v>
      </c>
      <c r="H17" t="inlineStr">
        <is>
          <t>low</t>
        </is>
      </c>
      <c r="I17" t="inlineStr">
        <is>
          <t>สะพานภูมิพล: ข้อมูลเปิด ทช. = 0 / ไม่มีแถว</t>
        </is>
      </c>
    </row>
    <row r="18">
      <c r="A18" t="inlineStr">
        <is>
          <t>zone_184</t>
        </is>
      </c>
      <c r="B18" t="inlineStr">
        <is>
          <t>สะพานภูมิพลที่ 2 ไปสะพานภูมิพลที่ 1</t>
        </is>
      </c>
      <c r="C18" t="inlineStr">
        <is>
          <t>สมุทรปราการ</t>
        </is>
      </c>
      <c r="D18" t="inlineStr">
        <is>
          <t>ส.012</t>
        </is>
      </c>
      <c r="E18" t="inlineStr">
        <is>
          <t>ทช.</t>
        </is>
      </c>
      <c r="F18" t="n">
        <v>22</v>
      </c>
      <c r="G18" t="n">
        <v>0.7727000000000001</v>
      </c>
      <c r="H18" t="inlineStr">
        <is>
          <t>low</t>
        </is>
      </c>
      <c r="I18" t="inlineStr">
        <is>
          <t>สะพานภูมิพล: ข้อมูลเปิด ทช. = 0 / ไม่มีแถว</t>
        </is>
      </c>
    </row>
    <row r="19">
      <c r="A19" t="inlineStr">
        <is>
          <t>zone_185</t>
        </is>
      </c>
      <c r="B19" t="inlineStr">
        <is>
          <t>สะพานภูมิพลที่ 2 ไปสะพานภูมิพลที่ 1</t>
        </is>
      </c>
      <c r="C19" t="inlineStr">
        <is>
          <t>กรุงเทพมหานคร</t>
        </is>
      </c>
      <c r="D19" t="inlineStr">
        <is>
          <t>ส.012</t>
        </is>
      </c>
      <c r="E19" t="inlineStr">
        <is>
          <t>ทช.</t>
        </is>
      </c>
      <c r="F19" t="n">
        <v>12</v>
      </c>
      <c r="G19" t="n">
        <v>0.8333</v>
      </c>
      <c r="H19" t="inlineStr">
        <is>
          <t>low</t>
        </is>
      </c>
      <c r="I19" t="inlineStr">
        <is>
          <t>สะพานภูมิพล: ข้อมูลเปิด ทช. = 0 / ไม่มีแถว</t>
        </is>
      </c>
    </row>
    <row r="20">
      <c r="A20" t="inlineStr">
        <is>
          <t>zone_186</t>
        </is>
      </c>
      <c r="B20" t="inlineStr">
        <is>
          <t>สะพานภูมิพลที่ 2 ไปสะพานภูมิพลที่ 1</t>
        </is>
      </c>
      <c r="C20" t="inlineStr">
        <is>
          <t>กรุงเทพมหานคร</t>
        </is>
      </c>
      <c r="D20" t="inlineStr">
        <is>
          <t>ส.012</t>
        </is>
      </c>
      <c r="E20" t="inlineStr">
        <is>
          <t>ทช.</t>
        </is>
      </c>
      <c r="F20" t="n">
        <v>4</v>
      </c>
      <c r="G20" t="n">
        <v>1.25</v>
      </c>
      <c r="H20" t="inlineStr">
        <is>
          <t>medium</t>
        </is>
      </c>
      <c r="I20" t="inlineStr">
        <is>
          <t>สะพานภูมิพล: ข้อมูลเปิด ทช. = 0 / ไม่มีแถว</t>
        </is>
      </c>
    </row>
    <row r="21">
      <c r="A21" t="inlineStr">
        <is>
          <t>zone_187</t>
        </is>
      </c>
      <c r="B21" t="inlineStr">
        <is>
          <t>สะพานภูมิพลที่ 2 ไปสะพานภูมิพลที่ 1</t>
        </is>
      </c>
      <c r="C21" t="inlineStr">
        <is>
          <t>กรุงเทพมหานคร</t>
        </is>
      </c>
      <c r="D21" t="inlineStr">
        <is>
          <t>ส.012</t>
        </is>
      </c>
      <c r="E21" t="inlineStr">
        <is>
          <t>ทช.</t>
        </is>
      </c>
      <c r="F21" t="n">
        <v>11</v>
      </c>
      <c r="G21" t="n">
        <v>1</v>
      </c>
      <c r="H21" t="inlineStr">
        <is>
          <t>medium</t>
        </is>
      </c>
      <c r="I21" t="inlineStr">
        <is>
          <t>สะพานภูมิพล: ข้อมูลเปิด ทช. = 0 / ไม่มีแถว</t>
        </is>
      </c>
    </row>
    <row r="22">
      <c r="A22" t="inlineStr">
        <is>
          <t>zone_188</t>
        </is>
      </c>
      <c r="B22" t="inlineStr">
        <is>
          <t>สะพานภูมิพลที่ 2 ไปสะพานภูมิพลที่ 1</t>
        </is>
      </c>
      <c r="C22" t="inlineStr">
        <is>
          <t>กรุงเทพมหานคร</t>
        </is>
      </c>
      <c r="D22" t="inlineStr">
        <is>
          <t>ส.012</t>
        </is>
      </c>
      <c r="E22" t="inlineStr">
        <is>
          <t>ทช.</t>
        </is>
      </c>
      <c r="F22" t="n">
        <v>3</v>
      </c>
      <c r="G22" t="n">
        <v>0.3333</v>
      </c>
      <c r="H22" t="inlineStr">
        <is>
          <t>low</t>
        </is>
      </c>
      <c r="I22" t="inlineStr">
        <is>
          <t>สะพานภูมิพล: ข้อมูลเปิด ทช. = 0 / ไม่มีแถว</t>
        </is>
      </c>
    </row>
    <row r="23">
      <c r="A23" t="inlineStr">
        <is>
          <t>zone_189</t>
        </is>
      </c>
      <c r="B23" t="inlineStr">
        <is>
          <t>สะพานภูมิพลที่ 2 ไปสะพานภูมิพลที่ 1</t>
        </is>
      </c>
      <c r="C23" t="inlineStr">
        <is>
          <t>สมุทรปราการ</t>
        </is>
      </c>
      <c r="D23" t="inlineStr">
        <is>
          <t>ส.012</t>
        </is>
      </c>
      <c r="E23" t="inlineStr">
        <is>
          <t>ทช.</t>
        </is>
      </c>
      <c r="F23" t="n">
        <v>27</v>
      </c>
      <c r="G23" t="n">
        <v>0.5926</v>
      </c>
      <c r="H23" t="inlineStr">
        <is>
          <t>low</t>
        </is>
      </c>
      <c r="I23" t="inlineStr">
        <is>
          <t>สะพานภูมิพล: ข้อมูลเปิด ทช. = 0 / ไม่มีแถว</t>
        </is>
      </c>
    </row>
    <row r="24">
      <c r="A24" t="inlineStr">
        <is>
          <t>zone_190</t>
        </is>
      </c>
      <c r="B24" t="inlineStr">
        <is>
          <t>สะพานภูมิพลที่ 2 ไปสะพานภูมิพลที่ 1</t>
        </is>
      </c>
      <c r="C24" t="inlineStr">
        <is>
          <t>สมุทรปราการ</t>
        </is>
      </c>
      <c r="D24" t="inlineStr">
        <is>
          <t>ส.012</t>
        </is>
      </c>
      <c r="E24" t="inlineStr">
        <is>
          <t>ทช.</t>
        </is>
      </c>
      <c r="F24" t="n">
        <v>3</v>
      </c>
      <c r="G24" t="n">
        <v>0.6667</v>
      </c>
      <c r="H24" t="inlineStr">
        <is>
          <t>low</t>
        </is>
      </c>
      <c r="I24" t="inlineStr">
        <is>
          <t>สะพานภูมิพล: ข้อมูลเปิด ทช. = 0 / ไม่มีแถว</t>
        </is>
      </c>
    </row>
    <row r="25">
      <c r="A25" t="inlineStr">
        <is>
          <t>zone_191</t>
        </is>
      </c>
      <c r="B25" t="inlineStr">
        <is>
          <t>สะพานภูมิพลที่ 2 ไปสะพานภูมิพลที่ 1</t>
        </is>
      </c>
      <c r="C25" t="inlineStr">
        <is>
          <t>สมุทรปราการ</t>
        </is>
      </c>
      <c r="D25" t="inlineStr">
        <is>
          <t>ส.012</t>
        </is>
      </c>
      <c r="E25" t="inlineStr">
        <is>
          <t>ทช.</t>
        </is>
      </c>
      <c r="F25" t="n">
        <v>6</v>
      </c>
      <c r="G25" t="n">
        <v>1</v>
      </c>
      <c r="H25" t="inlineStr">
        <is>
          <t>medium</t>
        </is>
      </c>
      <c r="I25" t="inlineStr">
        <is>
          <t>สะพานภูมิพล: ข้อมูลเปิด ทช. = 0 / ไม่มีแถว</t>
        </is>
      </c>
    </row>
    <row r="26">
      <c r="A26" t="inlineStr">
        <is>
          <t>zone_192</t>
        </is>
      </c>
      <c r="B26" t="inlineStr">
        <is>
          <t>สะพานภูมิพลที่ 2 ไปสะพานภูมิพลที่ 1</t>
        </is>
      </c>
      <c r="C26" t="inlineStr">
        <is>
          <t>สมุทรปราการ</t>
        </is>
      </c>
      <c r="D26" t="inlineStr">
        <is>
          <t>ส.012</t>
        </is>
      </c>
      <c r="E26" t="inlineStr">
        <is>
          <t>ทช.</t>
        </is>
      </c>
      <c r="F26" t="n">
        <v>4</v>
      </c>
      <c r="G26" t="n">
        <v>0.25</v>
      </c>
      <c r="H26" t="inlineStr">
        <is>
          <t>low</t>
        </is>
      </c>
      <c r="I26" t="inlineStr">
        <is>
          <t>สะพานภูมิพล: ข้อมูลเปิด ทช. = 0 / ไม่มีแถว</t>
        </is>
      </c>
    </row>
    <row r="27">
      <c r="A27" t="inlineStr">
        <is>
          <t>zone_193</t>
        </is>
      </c>
      <c r="B27" t="inlineStr">
        <is>
          <t>ออกจากสะพานภูมิพลที่ 2 ไปถนนวงแหวนอุตสาหกรรม</t>
        </is>
      </c>
      <c r="C27" t="inlineStr">
        <is>
          <t>กรุงเทพมหานคร</t>
        </is>
      </c>
      <c r="D27" t="inlineStr">
        <is>
          <t>ส.013</t>
        </is>
      </c>
      <c r="E27" t="inlineStr">
        <is>
          <t>ทช.</t>
        </is>
      </c>
      <c r="F27" t="n">
        <v>9</v>
      </c>
      <c r="G27" t="n">
        <v>0.2222</v>
      </c>
      <c r="H27" t="inlineStr">
        <is>
          <t>low</t>
        </is>
      </c>
      <c r="I27" t="inlineStr">
        <is>
          <t>สะพานภูมิพล: ข้อมูลเปิด ทช. = 0 / ไม่มีแถว</t>
        </is>
      </c>
    </row>
    <row r="28">
      <c r="A28" t="inlineStr">
        <is>
          <t>zone_194</t>
        </is>
      </c>
      <c r="B28" t="inlineStr">
        <is>
          <t>ออกจากสะพานภูมิพลที่ 2 ไปถนนวงแหวนอุตสาหกรรม</t>
        </is>
      </c>
      <c r="C28" t="inlineStr">
        <is>
          <t>สมุทรปราการ</t>
        </is>
      </c>
      <c r="D28" t="inlineStr">
        <is>
          <t>ส.013</t>
        </is>
      </c>
      <c r="E28" t="inlineStr">
        <is>
          <t>ทช.</t>
        </is>
      </c>
      <c r="F28" t="n">
        <v>41</v>
      </c>
      <c r="G28" t="n">
        <v>0.3415</v>
      </c>
      <c r="H28" t="inlineStr">
        <is>
          <t>low</t>
        </is>
      </c>
      <c r="I28" t="inlineStr">
        <is>
          <t>สะพานภูมิพล: ข้อมูลเปิด ทช. = 0 / ไม่มีแถว</t>
        </is>
      </c>
    </row>
    <row r="29">
      <c r="A29" t="inlineStr">
        <is>
          <t>zone_195</t>
        </is>
      </c>
      <c r="B29" t="inlineStr">
        <is>
          <t>ออกจากสะพานภูมิพลที่ 2 ไปถนนวงแหวนอุตสาหกรรม</t>
        </is>
      </c>
      <c r="C29" t="inlineStr">
        <is>
          <t>สมุทรปราการ</t>
        </is>
      </c>
      <c r="D29" t="inlineStr">
        <is>
          <t>ส.013</t>
        </is>
      </c>
      <c r="E29" t="inlineStr">
        <is>
          <t>ทช.</t>
        </is>
      </c>
      <c r="F29" t="n">
        <v>5</v>
      </c>
      <c r="G29" t="n">
        <v>0</v>
      </c>
      <c r="H29" t="inlineStr">
        <is>
          <t>low</t>
        </is>
      </c>
      <c r="I29" t="inlineStr">
        <is>
          <t>สะพานภูมิพล: ข้อมูลเปิด ทช. = 0 / ไม่มีแถว</t>
        </is>
      </c>
    </row>
    <row r="30">
      <c r="A30" t="inlineStr">
        <is>
          <t>zone_196</t>
        </is>
      </c>
      <c r="B30" t="inlineStr">
        <is>
          <t>ออกจากสะพานภูมิพลที่ 2 ไปถนนวงแหวนอุตสาหกรรม</t>
        </is>
      </c>
      <c r="C30" t="inlineStr">
        <is>
          <t>สมุทรปราการ</t>
        </is>
      </c>
      <c r="D30" t="inlineStr">
        <is>
          <t>ส.013</t>
        </is>
      </c>
      <c r="E30" t="inlineStr">
        <is>
          <t>ทช.</t>
        </is>
      </c>
      <c r="F30" t="n">
        <v>3</v>
      </c>
      <c r="G30" t="n">
        <v>0.3333</v>
      </c>
      <c r="H30" t="inlineStr">
        <is>
          <t>low</t>
        </is>
      </c>
      <c r="I30" t="inlineStr">
        <is>
          <t>สะพานภูมิพล: ข้อมูลเปิด ทช. = 0 / ไม่มีแถว</t>
        </is>
      </c>
    </row>
    <row r="31">
      <c r="A31" t="inlineStr">
        <is>
          <t>zone_210</t>
        </is>
      </c>
      <c r="B31" t="inlineStr">
        <is>
          <t>อาจณรงค์-บางนา</t>
        </is>
      </c>
      <c r="C31" t="inlineStr">
        <is>
          <t>กรุงเทพมหานคร</t>
        </is>
      </c>
      <c r="D31" t="inlineStr">
        <is>
          <t>E006S012|U</t>
        </is>
      </c>
      <c r="E31" t="inlineStr">
        <is>
          <t>กทพ.</t>
        </is>
      </c>
      <c r="F31" t="n">
        <v>7</v>
      </c>
      <c r="G31" t="n">
        <v>0.8571</v>
      </c>
      <c r="H31" t="inlineStr">
        <is>
          <t>low</t>
        </is>
      </c>
      <c r="I31" t="inlineStr">
        <is>
          <t>E006: ไม่มีสายนี้ใน API กทพ.</t>
        </is>
      </c>
    </row>
    <row r="32">
      <c r="A32" t="inlineStr">
        <is>
          <t>zone_322</t>
        </is>
      </c>
      <c r="B32" t="inlineStr">
        <is>
          <t>ถนนราชพฤกษ์ (กม.ที่ 11+000 - 28+000)</t>
        </is>
      </c>
      <c r="C32" t="inlineStr">
        <is>
          <t>นนทบุรี</t>
        </is>
      </c>
      <c r="D32" t="inlineStr">
        <is>
          <t>นบ.3021</t>
        </is>
      </c>
      <c r="E32" t="inlineStr">
        <is>
          <t>ทช.</t>
        </is>
      </c>
      <c r="F32" t="n">
        <v>3</v>
      </c>
      <c r="G32" t="n">
        <v>1</v>
      </c>
      <c r="H32" t="inlineStr">
        <is>
          <t>medium</t>
        </is>
      </c>
      <c r="I32" t="inlineStr">
        <is>
          <t>ราชพฤกษ์ กม.11–28: ข้อมูลเปิด ทช. = 0 / ไม่มีแถว</t>
        </is>
      </c>
    </row>
    <row r="33">
      <c r="A33" t="inlineStr">
        <is>
          <t>zone_355</t>
        </is>
      </c>
      <c r="B33" t="inlineStr">
        <is>
          <t>ถนนราชพฤกษ์ (กม.ที่ 11+000 - 28+000)</t>
        </is>
      </c>
      <c r="C33" t="inlineStr">
        <is>
          <t>นนทบุรี</t>
        </is>
      </c>
      <c r="D33" t="inlineStr">
        <is>
          <t>นบ.3021</t>
        </is>
      </c>
      <c r="E33" t="inlineStr">
        <is>
          <t>ทช.</t>
        </is>
      </c>
      <c r="F33" t="n">
        <v>3</v>
      </c>
      <c r="G33" t="n">
        <v>1</v>
      </c>
      <c r="H33" t="inlineStr">
        <is>
          <t>medium</t>
        </is>
      </c>
      <c r="I33" t="inlineStr">
        <is>
          <t>ราชพฤกษ์ กม.11–28: ข้อมูลเปิด ทช. = 0 / ไม่มีแถว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60" customWidth="1" min="2" max="2"/>
  </cols>
  <sheetData>
    <row r="1">
      <c r="A1" s="2" t="inlineStr">
        <is>
          <t>ขั้น</t>
        </is>
      </c>
      <c r="B1" s="2" t="inlineStr">
        <is>
          <t>รายละเอียด</t>
        </is>
      </c>
    </row>
    <row r="2">
      <c r="A2" t="inlineStr">
        <is>
          <t>1. ปริมาณจราจร V</t>
        </is>
      </c>
      <c r="B2" s="9" t="inlineStr">
        <is>
          <t>V = ค่าเฉลี่ยของ AADT ปี 2566, 2567, 2568 (คัน/วัน) — ใช้เฉพาะคลัสเตอร์ที่มีข้อมูลเปิดของหน่วยงานครบ 3 ปี = 598 คลัสเตอร์</t>
        </is>
      </c>
    </row>
    <row r="3">
      <c r="A3" t="inlineStr">
        <is>
          <t xml:space="preserve">   ทล. (466)</t>
        </is>
      </c>
      <c r="B3" s="9" t="inlineStr">
        <is>
          <t>สถานีตัวแทน (station_id) ที่กรมทางหลวงกำหนดให้ตอนควบคุมในชั้นข้อมูล hgds_aadt_line_2567 → ค่าของสถานีเดียวกัน: 2566 จาก opendata aadt-66, 2567 และ 2568 จาก GeoServer (= opendata aadt-67/68 = AADT_Pnt_2568) · https://onemap-layers.doh.go.th/geoserver/wfs · https://opendata.doh.go.th/dataset/ed101df4-f0a1-4d7f-b9d9-76859b2ca73e</t>
        </is>
      </c>
    </row>
    <row r="4">
      <c r="A4" t="inlineStr">
        <is>
          <t xml:space="preserve">   กทพ. (125)</t>
        </is>
      </c>
      <c r="B4" s="9" t="inlineStr">
        <is>
          <t>ยอดรถผ่านทุกด่านในสายทาง ÷ 365 (สถิติปริมาณจราจรจำแนกตามด่าน) ปีงบ 2566–2568 · https://exat-man.web.app/api/EXAT_TrafficStatByPlaza/{ปีงบ} · https://catalog.exat.co.th/dataset/traffic-stat</t>
        </is>
      </c>
    </row>
    <row r="5">
      <c r="A5" t="inlineStr">
        <is>
          <t xml:space="preserve">   ทช. (7)</t>
        </is>
      </c>
      <c r="B5" s="9" t="inlineStr">
        <is>
          <t>sum_AADT รายสายทาง · https://dataportal.drr.go.th/dataset/3833590c-a0f4-4c99-baf1-8c540aadebb5</t>
        </is>
      </c>
    </row>
    <row r="6">
      <c r="A6" t="inlineStr">
        <is>
          <t>2. Accident Rate (สมการ 2.2)</t>
        </is>
      </c>
      <c r="B6" s="9" t="inlineStr">
        <is>
          <t>R = A × 1,000,000 / (365 × T × V × L) = A / MEV  · A = จำนวนอุบัติเหตุ 3 ปี · T = 3 ปี · L = 1 กม. (คงที่) · MEV = 365×T×V×L/10⁶ (ล้านคันที่ผ่าน, HSM สมการ 4-8)</t>
        </is>
      </c>
    </row>
    <row r="7">
      <c r="A7" t="inlineStr">
        <is>
          <t>3. Rate Quality Control</t>
        </is>
      </c>
      <c r="B7" s="9" t="inlineStr">
        <is>
          <t>Ra = ΣA / ΣMEV ของหน่วยงานเดียวกัน = ค่าเฉลี่ยถ่วงน้ำหนักด้วยปริมาณจราจร (AASHTO 2010 HSM สมการ 4-10 หน้า 4-43) · Rc = Ra + K√(Ra/MEV) + 1/(2·MEV) (ณัฐพงศ์ 2558 สมการ 3.4 หน้า 35 · HSM สมการ 4-11 หน้า 4-44) · DF = R/Rc (สมการ 3.3) · K = 1.645 ความเชื่อมั่น 95% (ณัฐพงศ์ หน้า 35 · HSM Exhibit 4-46 หน้า 4-41)</t>
        </is>
      </c>
    </row>
    <row r="8">
      <c r="A8" t="inlineStr">
        <is>
          <t>4. ระดับตาม Rate</t>
        </is>
      </c>
      <c r="B8" s="9" t="inlineStr">
        <is>
          <t>ตามขั้นตอนของ MnDOT (2010) สไลด์ 3-18: เทียบกับค่าเฉลี่ยก่อน แล้วทดสอบค่าวิกฤติเฉพาะจุดที่สูงกว่าค่าเฉลี่ย → low: R ≤ Ra (ไม่เกินค่าเฉลี่ย) · medium: Ra &lt; R ≤ Rc (สูงกว่าค่าเฉลี่ยแต่ไม่มีนัยสำคัญทางสถิติ — ชื่อระดับเป็นการตีความของผู้วิจัย) · high: R &gt; Rc หรือ DF &gt; 1 (ณัฐพงศ์ 2558 รูป 4.4 หน้า 54 · HSM หน้า 4-12, 4-41)</t>
        </is>
      </c>
    </row>
    <row r="9">
      <c r="A9" t="inlineStr">
        <is>
          <t>5. ระดับตาม SI</t>
        </is>
      </c>
      <c r="B9" s="9" t="inlineStr">
        <is>
          <t>SI = (F + PI) / Total Accident (ณัฐพงศ์ 2558 สมการ 2.6 หน้า 7) · low: SI &lt; 1 · medium: 1 ≤ SI &lt; 2 · high: SI ≥ 2 · จุดตัด ≈ Q3 (0.99) และรั้วบน Q3 + 1.5·IQR (2.05) ของ Tukey (1977) หน้า 39–44 · NIST e-Handbook 7.1.6</t>
        </is>
      </c>
    </row>
    <row r="10">
      <c r="A10" t="inlineStr">
        <is>
          <t>6. รวม SI + Rate</t>
        </is>
      </c>
      <c r="B10" s="9" t="inlineStr">
        <is>
          <t>ระดับรวม = ระดับที่สูงกว่าระหว่าง ระดับ_SI กับ ระดับ_Rate → จุดที่เกินเกณฑ์ด้านอัตราหรือด้านความรุนแรงอย่างใดอย่างหนึ่งถือว่าเสี่ยง (WisDOT Figure 3 หน้า 9: Crash Rate &gt; UCL OR KAB Crash Rate &gt; KAB UCL · MnDOT สไลด์ 3-18: 'Crash rate may be low, but crash severity may be high' · ณัฐพงศ์ หน้า 55 เสนอให้ใช้ Accident Severity ร่วมกับวิธีอื่น)</t>
        </is>
      </c>
    </row>
    <row r="11">
      <c r="A11" t="inlineStr">
        <is>
          <t>ทำไมแยก Ra ตามหน่วยงาน</t>
        </is>
      </c>
      <c r="B11" s="9" t="inlineStr">
        <is>
          <t>ปริมาณจราจรของแต่ละหน่วยงานวัดคนละแบบ (ทางพิเศษใช้ยอดผ่านด่านทั้งสาย ซึ่งสูงกว่า AADT รายจุดมาก) ถ้าใช้ Ra เดียวกันทั้งชุด ทางพิเศษจะถูกจัดเป็นความเสี่ยงต่ำเกือบทั้งหมด</t>
        </is>
      </c>
    </row>
    <row r="12">
      <c r="A12" t="inlineStr">
        <is>
          <t>ข้อจำกัด</t>
        </is>
      </c>
      <c r="B12" s="9" t="inlineStr">
        <is>
          <t>ทช. มีเพียง 7 คลัสเตอร์ ค่า Ra ของกลุ่มจึงไม่เสถียร · 32 คลัสเตอร์ที่ไม่มีข้อมูลเปิด (สะพานภูมิพล 29, ราชพฤกษ์ กม.11–28 อีก 2, E006 อีก 1) ใช้ระดับจาก SI อย่างเดียว (ชีต 32 วง)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  <col width="70" customWidth="1" min="4" max="4"/>
    <col width="40" customWidth="1" min="5" max="5"/>
  </cols>
  <sheetData>
    <row r="1">
      <c r="A1" s="2" t="inlineStr">
        <is>
          <t>เกณฑ์ / สูตร</t>
        </is>
      </c>
      <c r="B1" s="2" t="inlineStr">
        <is>
          <t>แหล่งอ้างอิง</t>
        </is>
      </c>
      <c r="C1" s="2" t="inlineStr">
        <is>
          <t>ตำแหน่งในเอกสาร</t>
        </is>
      </c>
      <c r="D1" s="2" t="inlineStr">
        <is>
          <t>ข้อความสำคัญ</t>
        </is>
      </c>
      <c r="E1" s="2" t="inlineStr">
        <is>
          <t>ลิงก์</t>
        </is>
      </c>
    </row>
    <row r="2">
      <c r="A2" s="9" t="inlineStr">
        <is>
          <t>Accident Rate R</t>
        </is>
      </c>
      <c r="B2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2" s="9" t="inlineStr">
        <is>
          <t>สมการ 2.2 หน้า 5 · สมการ 3.2 หน้า 35</t>
        </is>
      </c>
      <c r="D2" s="9" t="inlineStr">
        <is>
          <t>R = (A × 1,000,000) / (365 × T × V × L)</t>
        </is>
      </c>
      <c r="E2" s="9" t="inlineStr"/>
    </row>
    <row r="3">
      <c r="A3" s="9" t="inlineStr">
        <is>
          <t>Ra (สูตรคำนวณ)</t>
        </is>
      </c>
      <c r="B3" s="9" t="inlineStr">
        <is>
          <t>AASHTO (2010) Highway Safety Manual Ch.4 (ฉบับร่าง 2009)</t>
        </is>
      </c>
      <c r="C3" s="9" t="inlineStr">
        <is>
          <t>สมการ 4-10 หน้า 4-43 (PDF หน้า 49)</t>
        </is>
      </c>
      <c r="D3" s="9" t="inlineStr">
        <is>
          <t>weighted average crash rate for each population weighted by traffic volume</t>
        </is>
      </c>
      <c r="E3" s="10" t="inlineStr">
        <is>
          <t>https://ftp.granit.unh.edu/submissions/NHDOTOUT/craig/HSM/Chapter%204_NetworkScreening.pdf</t>
        </is>
      </c>
    </row>
    <row r="4">
      <c r="A4" s="9" t="inlineStr">
        <is>
          <t>Ra (นิยาม)</t>
        </is>
      </c>
      <c r="B4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4" s="9" t="inlineStr">
        <is>
          <t>หน้า 7 และหน้า 35</t>
        </is>
      </c>
      <c r="D4" s="9" t="inlineStr">
        <is>
          <t>อัตราการเกิดอุบัติเหตุเฉลี่ยของทุก ๆ ส่วน บนถนน</t>
        </is>
      </c>
      <c r="E4" s="9" t="inlineStr"/>
    </row>
    <row r="5">
      <c r="A5" s="9" t="inlineStr">
        <is>
          <t>Rc</t>
        </is>
      </c>
      <c r="B5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5" s="9" t="inlineStr">
        <is>
          <t>สมการ 2.5 หน้า 6 · สมการ 3.4 หน้า 35</t>
        </is>
      </c>
      <c r="D5" s="9" t="inlineStr">
        <is>
          <t>Rc = Ra + K[Ra / (365TVL/10⁶)]^0.5 + 1 / (2 × 365TVL/10⁶)</t>
        </is>
      </c>
      <c r="E5" s="9" t="inlineStr"/>
    </row>
    <row r="6">
      <c r="A6" s="9" t="inlineStr">
        <is>
          <t>Rc (สูตรเดียวกันใน HSM)</t>
        </is>
      </c>
      <c r="B6" s="9" t="inlineStr">
        <is>
          <t>AASHTO (2010) HSM Ch.4 (ฉบับร่าง 2009)</t>
        </is>
      </c>
      <c r="C6" s="9" t="inlineStr">
        <is>
          <t>สมการ 4-11 หน้า 4-44 (PDF หน้า 50) · STEP 5 หน้าเดียวกัน</t>
        </is>
      </c>
      <c r="D6" s="9" t="inlineStr">
        <is>
          <t>Rc,i = Ra + P × [Ra / MEVi]^0.5 + 1 / (2 × MEVi) · Any intersection with an observed crash rate greater than the corresponding critical crash rate is flagged for further review</t>
        </is>
      </c>
      <c r="E6" s="10" t="inlineStr">
        <is>
          <t>https://ftp.granit.unh.edu/submissions/NHDOTOUT/craig/HSM/Chapter%204_NetworkScreening.pdf</t>
        </is>
      </c>
    </row>
    <row r="7">
      <c r="A7" s="9" t="inlineStr">
        <is>
          <t>K = 1.645</t>
        </is>
      </c>
      <c r="B7" s="9" t="inlineStr">
        <is>
          <t>AASHTO (2010) HSM Ch.4 · 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7" s="9" t="inlineStr">
        <is>
          <t>Exhibit 4-46 หน้า 4-41 · หน้า 35</t>
        </is>
      </c>
      <c r="D7" s="9" t="inlineStr">
        <is>
          <t>95 Percent → 1.645</t>
        </is>
      </c>
      <c r="E7" s="10" t="inlineStr">
        <is>
          <t>https://ftp.granit.unh.edu/submissions/NHDOTOUT/craig/HSM/Chapter%204_NetworkScreening.pdf</t>
        </is>
      </c>
    </row>
    <row r="8">
      <c r="A8" s="9" t="inlineStr">
        <is>
          <t>DF = R/Rc และ DF &gt; 1 = จุดเสี่ยง</t>
        </is>
      </c>
      <c r="B8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8" s="9" t="inlineStr">
        <is>
          <t>สมการ 3.3 หน้า 35 · รูป 4.4 หน้า 54</t>
        </is>
      </c>
      <c r="D8" s="9" t="inlineStr">
        <is>
          <t>(ค่า DANGEROUS FACTOR &gt;1)</t>
        </is>
      </c>
      <c r="E8" s="9" t="inlineStr"/>
    </row>
    <row r="9">
      <c r="A9" s="9" t="inlineStr">
        <is>
          <t>R &gt; Rc = flagged</t>
        </is>
      </c>
      <c r="B9" s="9" t="inlineStr">
        <is>
          <t>AASHTO (2010) HSM Ch.4</t>
        </is>
      </c>
      <c r="C9" s="9" t="inlineStr">
        <is>
          <t>หน้า 4-12 และ 4-41</t>
        </is>
      </c>
      <c r="D9" s="9" t="inlineStr">
        <is>
          <t>Sites that exceed their respective critical rate are flagged for further review</t>
        </is>
      </c>
      <c r="E9" s="10" t="inlineStr">
        <is>
          <t>https://ftp.granit.unh.edu/submissions/NHDOTOUT/craig/HSM/Chapter%204_NetworkScreening.pdf</t>
        </is>
      </c>
    </row>
    <row r="10">
      <c r="A10" s="9" t="inlineStr">
        <is>
          <t>ลำดับขั้น: เทียบค่าเฉลี่ย แล้วทดสอบค่าวิกฤติ (ที่มาของ 3 ระดับ Rate)</t>
        </is>
      </c>
      <c r="B10" s="9" t="inlineStr">
        <is>
          <t>Minnesota DOT (2010) Risk Management and Safety, Session 3</t>
        </is>
      </c>
      <c r="C10" s="9" t="inlineStr">
        <is>
          <t>สไลด์ 3-18 (ตัวอย่างสไลด์ 3-21)</t>
        </is>
      </c>
      <c r="D10" s="9" t="inlineStr">
        <is>
          <t>Critical Crash Rate – Performed if the crash rate is ABOVE average. Tests the crash rate to see if there is statistical significance</t>
        </is>
      </c>
      <c r="E10" s="10" t="inlineStr">
        <is>
          <t>https://www.dot.state.mn.us/context-sensitive-solutions/pdf/2010/3-risk.pdf</t>
        </is>
      </c>
    </row>
    <row r="11">
      <c r="A11" s="9" t="inlineStr">
        <is>
          <t>แยกกลุ่มอ้างอิงตามประเภทถนน (Ra แยกหน่วยงาน)</t>
        </is>
      </c>
      <c r="B11" s="9" t="inlineStr">
        <is>
          <t>AASHTO (2010) HSM Ch.4</t>
        </is>
      </c>
      <c r="C11" s="9" t="inlineStr">
        <is>
          <t>หน้า 4-43 STEP 3</t>
        </is>
      </c>
      <c r="D11" s="9" t="inlineStr">
        <is>
          <t>Divide the network into reference populations based on operational or geometric differences</t>
        </is>
      </c>
      <c r="E11" s="10" t="inlineStr">
        <is>
          <t>https://ftp.granit.unh.edu/submissions/NHDOTOUT/craig/HSM/Chapter%204_NetworkScreening.pdf</t>
        </is>
      </c>
    </row>
    <row r="12">
      <c r="A12" s="9" t="inlineStr">
        <is>
          <t>Accident Severity SI</t>
        </is>
      </c>
      <c r="B12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12" s="9" t="inlineStr">
        <is>
          <t>สมการ 2.6 หน้า 7</t>
        </is>
      </c>
      <c r="D12" s="9" t="inlineStr">
        <is>
          <t>SI = (F + PI) / Total Accidents</t>
        </is>
      </c>
      <c r="E12" s="9" t="inlineStr"/>
    </row>
    <row r="13">
      <c r="A13" s="9" t="inlineStr">
        <is>
          <t>จุดตัด SI 1 และ 2 (Q3 และรั้วบน)</t>
        </is>
      </c>
      <c r="B13" s="9" t="inlineStr">
        <is>
          <t>Tukey, J. W. (1977) Exploratory Data Analysis · NIST/SEMATECH e-Handbook</t>
        </is>
      </c>
      <c r="C13" s="9" t="inlineStr">
        <is>
          <t>Tukey หน้า 39–44 · NIST หัวข้อ 7.1.6</t>
        </is>
      </c>
      <c r="D13" s="9" t="inlineStr">
        <is>
          <t>upper inner fence: Q3 + 1.5*IQ … a point beyond an inner fence … is considered a mild outlier</t>
        </is>
      </c>
      <c r="E13" s="10" t="inlineStr">
        <is>
          <t>https://www.itl.nist.gov/div898/handbook/prc/section1/prc16.htm</t>
        </is>
      </c>
    </row>
    <row r="14">
      <c r="A14" s="9" t="inlineStr">
        <is>
          <t>รวม Rate กับ Severity (อย่างใดอย่างหนึ่งเกินเกณฑ์)</t>
        </is>
      </c>
      <c r="B14" s="9" t="inlineStr">
        <is>
          <t>Wisconsin DOT Statewide Average Crash Rates and UCLs</t>
        </is>
      </c>
      <c r="C14" s="9" t="inlineStr">
        <is>
          <t>หน้า 9 Figure 3</t>
        </is>
      </c>
      <c r="D14" s="9" t="inlineStr">
        <is>
          <t>Segment Crash Rate &gt; Crash Rate UCL OR KAB Crash Rate &gt; KAB Crash Rate UCL</t>
        </is>
      </c>
      <c r="E14" s="10" t="inlineStr">
        <is>
          <t>https://wisconsindot.gov/dtsdManuals/traffic-ops/manuals-and-standards/safety/crashrates/rates20.pdf</t>
        </is>
      </c>
    </row>
    <row r="15">
      <c r="A15" s="9" t="inlineStr">
        <is>
          <t>ใช้ Severity ร่วมกับวิธีอื่น</t>
        </is>
      </c>
      <c r="B15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15" s="9" t="inlineStr">
        <is>
          <t>หน้า 55</t>
        </is>
      </c>
      <c r="D15" s="9" t="inlineStr">
        <is>
          <t>สามารถใช้วิธี Accident Severity ร่วมกับวิธีการอื่นได้ ในการศึกษาต่อๆไป</t>
        </is>
      </c>
      <c r="E15" s="9" t="inlineStr"/>
    </row>
    <row r="16">
      <c r="A16" s="9" t="inlineStr">
        <is>
          <t>L = 1 กม.</t>
        </is>
      </c>
      <c r="B16" s="9" t="inlineStr">
        <is>
          <t>ณัฐพงศ์ ซื่อสัตย์ (2558) วิทยานิพนธ์ มทส. การจัดทำแผนที่ความเสี่ยงของทางหลวงในประเทศไทย</t>
        </is>
      </c>
      <c r="C16" s="9" t="inlineStr">
        <is>
          <t>หน้า 35–36 และหน้า 51</t>
        </is>
      </c>
      <c r="D16" s="9" t="inlineStr">
        <is>
          <t>สำหรับช่วงถนน 1 กิโลเมตร</t>
        </is>
      </c>
      <c r="E16" s="9" t="inlineStr"/>
    </row>
  </sheetData>
  <hyperlinks>
    <hyperlink xmlns:r="http://schemas.openxmlformats.org/officeDocument/2006/relationships" ref="E3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2026-10-20T19:00:41Z</dcterms:created>
  <dcterms:modified xmlns:dcterms="http://purl.org/dc/terms/" xmlns:xsi="http://www.w3.org/2001/XMLSchema-instance" xsi:type="dcterms:W3CDTF">2026-10-20T19:00:41Z</dcterms:modified>
</cp:coreProperties>
</file>