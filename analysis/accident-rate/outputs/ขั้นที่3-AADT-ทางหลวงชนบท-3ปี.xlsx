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รายสายทาง" sheetId="1" state="visible" r:id="rId1"/>
    <sheet xmlns:r="http://schemas.openxmlformats.org/officeDocument/2006/relationships" name="38 คลัสเตอร์ + Accident Rate" sheetId="2" state="visible" r:id="rId2"/>
    <sheet xmlns:r="http://schemas.openxmlformats.org/officeDocument/2006/relationships" name="แถวดิบจากไฟล์ ทช." sheetId="3" state="visible" r:id="rId3"/>
    <sheet xmlns:r="http://schemas.openxmlformats.org/officeDocument/2006/relationships" name="แหล่งข้อมูลและวิธีตรวจ" sheetId="4" state="visible" r:id="rId4"/>
    <sheet xmlns:r="http://schemas.openxmlformats.org/officeDocument/2006/relationships" name="ตรวจเทียบ กทม. Bridge67" sheetId="5" state="visible" r:id="rId5"/>
  </sheets>
  <definedNames>
    <definedName name="_xlnm._FilterDatabase" localSheetId="0" hidden="1">'สรุปรายสายทาง'!$A$1:$I$9</definedName>
    <definedName name="_xlnm._FilterDatabase" localSheetId="1" hidden="1">'38 คลัสเตอร์ + Accident Rate'!$A$1:$AA$39</definedName>
    <definedName name="_xlnm._FilterDatabase" localSheetId="2" hidden="1">'แถวดิบจากไฟล์ ทช.'!$A$1:$E$27</definedName>
    <definedName name="_xlnm._FilterDatabase" localSheetId="3" hidden="1">'แหล่งข้อมูลและวิธีตรวจ'!$A$1:$B$9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B6834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0" fontId="0" fillId="4" borderId="0" pivotButton="0" quotePrefix="0" xfId="0"/>
    <xf numFmtId="0" fontId="1" fillId="3" borderId="0" applyAlignment="1" pivotButton="0" quotePrefix="0" xfId="0">
      <alignment vertical="center" wrapText="1"/>
    </xf>
    <xf numFmtId="0" fontId="1" fillId="3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ataportal.drr.go.th/dataset/3833590c-a0f4-4c99-baf1-8c540aadebb5/resource/3ae42fe1-d7e4-4784-a257-81475f5b8243" TargetMode="External" Id="rId1"/><Relationship Type="http://schemas.openxmlformats.org/officeDocument/2006/relationships/hyperlink" Target="https://dataportal.drr.go.th/dataset/3833590c-a0f4-4c99-baf1-8c540aadebb5/resource/d0675c68-510b-45e1-b865-1ce261814948" TargetMode="External" Id="rId2"/><Relationship Type="http://schemas.openxmlformats.org/officeDocument/2006/relationships/hyperlink" Target="https://dataportal.drr.go.th/dataset/3833590c-a0f4-4c99-baf1-8c540aadebb5/resource/0d612f16-e188-4604-b61c-c0da07854ef9" TargetMode="External" Id="rId3"/><Relationship Type="http://schemas.openxmlformats.org/officeDocument/2006/relationships/hyperlink" Target="https://dataportal.drr.go.th/dataset/3833590c-a0f4-4c99-baf1-8c540aadebb5/resource/3ae42fe1-d7e4-4784-a257-81475f5b8243" TargetMode="External" Id="rId4"/><Relationship Type="http://schemas.openxmlformats.org/officeDocument/2006/relationships/hyperlink" Target="https://dataportal.drr.go.th/dataset/3833590c-a0f4-4c99-baf1-8c540aadebb5/resource/d0675c68-510b-45e1-b865-1ce261814948" TargetMode="External" Id="rId5"/><Relationship Type="http://schemas.openxmlformats.org/officeDocument/2006/relationships/hyperlink" Target="https://dataportal.drr.go.th/dataset/3833590c-a0f4-4c99-baf1-8c540aadebb5/resource/0d612f16-e188-4604-b61c-c0da07854ef9" TargetMode="External" Id="rId6"/><Relationship Type="http://schemas.openxmlformats.org/officeDocument/2006/relationships/hyperlink" Target="https://dataportal.drr.go.th/dataset/3833590c-a0f4-4c99-baf1-8c540aadebb5/resource/3ae42fe1-d7e4-4784-a257-81475f5b8243" TargetMode="External" Id="rId7"/><Relationship Type="http://schemas.openxmlformats.org/officeDocument/2006/relationships/hyperlink" Target="https://dataportal.drr.go.th/dataset/3833590c-a0f4-4c99-baf1-8c540aadebb5/resource/d0675c68-510b-45e1-b865-1ce261814948" TargetMode="External" Id="rId8"/><Relationship Type="http://schemas.openxmlformats.org/officeDocument/2006/relationships/hyperlink" Target="https://dataportal.drr.go.th/dataset/3833590c-a0f4-4c99-baf1-8c540aadebb5/resource/0d612f16-e188-4604-b61c-c0da07854ef9" TargetMode="External" Id="rId9"/><Relationship Type="http://schemas.openxmlformats.org/officeDocument/2006/relationships/hyperlink" Target="https://dataportal.drr.go.th/dataset/3833590c-a0f4-4c99-baf1-8c540aadebb5/resource/3ae42fe1-d7e4-4784-a257-81475f5b8243" TargetMode="External" Id="rId10"/><Relationship Type="http://schemas.openxmlformats.org/officeDocument/2006/relationships/hyperlink" Target="https://dataportal.drr.go.th/dataset/3833590c-a0f4-4c99-baf1-8c540aadebb5/resource/d0675c68-510b-45e1-b865-1ce261814948" TargetMode="External" Id="rId11"/><Relationship Type="http://schemas.openxmlformats.org/officeDocument/2006/relationships/hyperlink" Target="https://dataportal.drr.go.th/dataset/3833590c-a0f4-4c99-baf1-8c540aadebb5/resource/0d612f16-e188-4604-b61c-c0da07854ef9" TargetMode="External" Id="rId12"/><Relationship Type="http://schemas.openxmlformats.org/officeDocument/2006/relationships/hyperlink" Target="https://dataportal.drr.go.th/dataset/3833590c-a0f4-4c99-baf1-8c540aadebb5/resource/3ae42fe1-d7e4-4784-a257-81475f5b8243" TargetMode="External" Id="rId13"/><Relationship Type="http://schemas.openxmlformats.org/officeDocument/2006/relationships/hyperlink" Target="https://dataportal.drr.go.th/dataset/3833590c-a0f4-4c99-baf1-8c540aadebb5/resource/d0675c68-510b-45e1-b865-1ce261814948" TargetMode="External" Id="rId14"/><Relationship Type="http://schemas.openxmlformats.org/officeDocument/2006/relationships/hyperlink" Target="https://dataportal.drr.go.th/dataset/3833590c-a0f4-4c99-baf1-8c540aadebb5/resource/0d612f16-e188-4604-b61c-c0da07854ef9" TargetMode="External" Id="rId15"/><Relationship Type="http://schemas.openxmlformats.org/officeDocument/2006/relationships/hyperlink" Target="https://dataportal.drr.go.th/dataset/3833590c-a0f4-4c99-baf1-8c540aadebb5/resource/3ae42fe1-d7e4-4784-a257-81475f5b8243" TargetMode="External" Id="rId16"/><Relationship Type="http://schemas.openxmlformats.org/officeDocument/2006/relationships/hyperlink" Target="https://dataportal.drr.go.th/dataset/3833590c-a0f4-4c99-baf1-8c540aadebb5/resource/d0675c68-510b-45e1-b865-1ce261814948" TargetMode="External" Id="rId17"/><Relationship Type="http://schemas.openxmlformats.org/officeDocument/2006/relationships/hyperlink" Target="https://dataportal.drr.go.th/dataset/3833590c-a0f4-4c99-baf1-8c540aadebb5/resource/0d612f16-e188-4604-b61c-c0da07854ef9" TargetMode="External" Id="rId18"/><Relationship Type="http://schemas.openxmlformats.org/officeDocument/2006/relationships/hyperlink" Target="https://dataportal.drr.go.th/dataset/3833590c-a0f4-4c99-baf1-8c540aadebb5/resource/3ae42fe1-d7e4-4784-a257-81475f5b8243" TargetMode="External" Id="rId19"/><Relationship Type="http://schemas.openxmlformats.org/officeDocument/2006/relationships/hyperlink" Target="https://dataportal.drr.go.th/dataset/3833590c-a0f4-4c99-baf1-8c540aadebb5/resource/d0675c68-510b-45e1-b865-1ce261814948" TargetMode="External" Id="rId20"/><Relationship Type="http://schemas.openxmlformats.org/officeDocument/2006/relationships/hyperlink" Target="https://dataportal.drr.go.th/dataset/3833590c-a0f4-4c99-baf1-8c540aadebb5/resource/0d612f16-e188-4604-b61c-c0da07854ef9" TargetMode="External" Id="rId21"/><Relationship Type="http://schemas.openxmlformats.org/officeDocument/2006/relationships/hyperlink" Target="https://dataportal.drr.go.th/dataset/3833590c-a0f4-4c99-baf1-8c540aadebb5/resource/3ae42fe1-d7e4-4784-a257-81475f5b8243" TargetMode="External" Id="rId22"/><Relationship Type="http://schemas.openxmlformats.org/officeDocument/2006/relationships/hyperlink" Target="https://dataportal.drr.go.th/dataset/3833590c-a0f4-4c99-baf1-8c540aadebb5/resource/d0675c68-510b-45e1-b865-1ce261814948" TargetMode="External" Id="rId23"/><Relationship Type="http://schemas.openxmlformats.org/officeDocument/2006/relationships/hyperlink" Target="https://dataportal.drr.go.th/dataset/3833590c-a0f4-4c99-baf1-8c540aadebb5/resource/0d612f16-e188-4604-b61c-c0da07854ef9" TargetMode="External" Id="rId24"/><Relationship Type="http://schemas.openxmlformats.org/officeDocument/2006/relationships/hyperlink" Target="https://mgronline.com/business/detail/9680000058163" TargetMode="External" Id="rId25"/><Relationship Type="http://schemas.openxmlformats.org/officeDocument/2006/relationships/hyperlink" Target="https://www.bangkokbiznews.com/business/economic/1185869" TargetMode="External" Id="rId26"/><Relationship Type="http://schemas.openxmlformats.org/officeDocument/2006/relationships/hyperlink" Target="https://dataportal.drr.go.th/dataset/3833590c-a0f4-4c99-baf1-8c540aadebb5/resource/3ae42fe1-d7e4-4784-a257-81475f5b8243" TargetMode="External" Id="rId27"/><Relationship Type="http://schemas.openxmlformats.org/officeDocument/2006/relationships/hyperlink" Target="https://dataportal.drr.go.th/dataset/3833590c-a0f4-4c99-baf1-8c540aadebb5/resource/d0675c68-510b-45e1-b865-1ce261814948" TargetMode="External" Id="rId28"/><Relationship Type="http://schemas.openxmlformats.org/officeDocument/2006/relationships/hyperlink" Target="https://dataportal.drr.go.th/dataset/3833590c-a0f4-4c99-baf1-8c540aadebb5/resource/0d612f16-e188-4604-b61c-c0da07854ef9" TargetMode="External" Id="rId29"/><Relationship Type="http://schemas.openxmlformats.org/officeDocument/2006/relationships/hyperlink" Target="https://mgronline.com/business/detail/9680000058163" TargetMode="External" Id="rId30"/><Relationship Type="http://schemas.openxmlformats.org/officeDocument/2006/relationships/hyperlink" Target="https://www.bangkokbiznews.com/business/economic/1185869" TargetMode="External" Id="rId31"/><Relationship Type="http://schemas.openxmlformats.org/officeDocument/2006/relationships/hyperlink" Target="https://dataportal.drr.go.th/dataset/3833590c-a0f4-4c99-baf1-8c540aadebb5/resource/3ae42fe1-d7e4-4784-a257-81475f5b8243" TargetMode="External" Id="rId32"/><Relationship Type="http://schemas.openxmlformats.org/officeDocument/2006/relationships/hyperlink" Target="https://dataportal.drr.go.th/dataset/3833590c-a0f4-4c99-baf1-8c540aadebb5/resource/d0675c68-510b-45e1-b865-1ce261814948" TargetMode="External" Id="rId33"/><Relationship Type="http://schemas.openxmlformats.org/officeDocument/2006/relationships/hyperlink" Target="https://dataportal.drr.go.th/dataset/3833590c-a0f4-4c99-baf1-8c540aadebb5/resource/0d612f16-e188-4604-b61c-c0da07854ef9" TargetMode="External" Id="rId34"/><Relationship Type="http://schemas.openxmlformats.org/officeDocument/2006/relationships/hyperlink" Target="https://mgronline.com/business/detail/9690000025473" TargetMode="External" Id="rId35"/><Relationship Type="http://schemas.openxmlformats.org/officeDocument/2006/relationships/hyperlink" Target="https://www.fm91bkk.com/newsarticle/68309" TargetMode="External" Id="rId36"/><Relationship Type="http://schemas.openxmlformats.org/officeDocument/2006/relationships/hyperlink" Target="https://dataportal.drr.go.th/dataset/3833590c-a0f4-4c99-baf1-8c540aadebb5/resource/3ae42fe1-d7e4-4784-a257-81475f5b8243" TargetMode="External" Id="rId37"/><Relationship Type="http://schemas.openxmlformats.org/officeDocument/2006/relationships/hyperlink" Target="https://dataportal.drr.go.th/dataset/3833590c-a0f4-4c99-baf1-8c540aadebb5/resource/d0675c68-510b-45e1-b865-1ce261814948" TargetMode="External" Id="rId38"/><Relationship Type="http://schemas.openxmlformats.org/officeDocument/2006/relationships/hyperlink" Target="https://dataportal.drr.go.th/dataset/3833590c-a0f4-4c99-baf1-8c540aadebb5/resource/0d612f16-e188-4604-b61c-c0da07854ef9" TargetMode="External" Id="rId39"/><Relationship Type="http://schemas.openxmlformats.org/officeDocument/2006/relationships/hyperlink" Target="https://mgronline.com/business/detail/9690000025473" TargetMode="External" Id="rId40"/><Relationship Type="http://schemas.openxmlformats.org/officeDocument/2006/relationships/hyperlink" Target="https://www.fm91bkk.com/newsarticle/68309" TargetMode="External" Id="rId41"/><Relationship Type="http://schemas.openxmlformats.org/officeDocument/2006/relationships/hyperlink" Target="https://dataportal.drr.go.th/dataset/3833590c-a0f4-4c99-baf1-8c540aadebb5/resource/3ae42fe1-d7e4-4784-a257-81475f5b8243" TargetMode="External" Id="rId42"/><Relationship Type="http://schemas.openxmlformats.org/officeDocument/2006/relationships/hyperlink" Target="https://dataportal.drr.go.th/dataset/3833590c-a0f4-4c99-baf1-8c540aadebb5/resource/d0675c68-510b-45e1-b865-1ce261814948" TargetMode="External" Id="rId43"/><Relationship Type="http://schemas.openxmlformats.org/officeDocument/2006/relationships/hyperlink" Target="https://dataportal.drr.go.th/dataset/3833590c-a0f4-4c99-baf1-8c540aadebb5/resource/0d612f16-e188-4604-b61c-c0da07854ef9" TargetMode="External" Id="rId44"/><Relationship Type="http://schemas.openxmlformats.org/officeDocument/2006/relationships/hyperlink" Target="https://mgronline.com/business/detail/9690000025473" TargetMode="External" Id="rId45"/><Relationship Type="http://schemas.openxmlformats.org/officeDocument/2006/relationships/hyperlink" Target="https://www.fm91bkk.com/newsarticle/68309" TargetMode="External" Id="rId46"/><Relationship Type="http://schemas.openxmlformats.org/officeDocument/2006/relationships/hyperlink" Target="https://dataportal.drr.go.th/dataset/3833590c-a0f4-4c99-baf1-8c540aadebb5/resource/3ae42fe1-d7e4-4784-a257-81475f5b8243" TargetMode="External" Id="rId47"/><Relationship Type="http://schemas.openxmlformats.org/officeDocument/2006/relationships/hyperlink" Target="https://dataportal.drr.go.th/dataset/3833590c-a0f4-4c99-baf1-8c540aadebb5/resource/d0675c68-510b-45e1-b865-1ce261814948" TargetMode="External" Id="rId48"/><Relationship Type="http://schemas.openxmlformats.org/officeDocument/2006/relationships/hyperlink" Target="https://dataportal.drr.go.th/dataset/3833590c-a0f4-4c99-baf1-8c540aadebb5/resource/0d612f16-e188-4604-b61c-c0da07854ef9" TargetMode="External" Id="rId49"/><Relationship Type="http://schemas.openxmlformats.org/officeDocument/2006/relationships/hyperlink" Target="https://mgronline.com/business/detail/9690000025473" TargetMode="External" Id="rId50"/><Relationship Type="http://schemas.openxmlformats.org/officeDocument/2006/relationships/hyperlink" Target="https://www.fm91bkk.com/newsarticle/68309" TargetMode="External" Id="rId51"/><Relationship Type="http://schemas.openxmlformats.org/officeDocument/2006/relationships/hyperlink" Target="https://dataportal.drr.go.th/dataset/3833590c-a0f4-4c99-baf1-8c540aadebb5/resource/3ae42fe1-d7e4-4784-a257-81475f5b8243" TargetMode="External" Id="rId52"/><Relationship Type="http://schemas.openxmlformats.org/officeDocument/2006/relationships/hyperlink" Target="https://dataportal.drr.go.th/dataset/3833590c-a0f4-4c99-baf1-8c540aadebb5/resource/d0675c68-510b-45e1-b865-1ce261814948" TargetMode="External" Id="rId53"/><Relationship Type="http://schemas.openxmlformats.org/officeDocument/2006/relationships/hyperlink" Target="https://dataportal.drr.go.th/dataset/3833590c-a0f4-4c99-baf1-8c540aadebb5/resource/0d612f16-e188-4604-b61c-c0da07854ef9" TargetMode="External" Id="rId54"/><Relationship Type="http://schemas.openxmlformats.org/officeDocument/2006/relationships/hyperlink" Target="https://mgronline.com/business/detail/9690000025473" TargetMode="External" Id="rId55"/><Relationship Type="http://schemas.openxmlformats.org/officeDocument/2006/relationships/hyperlink" Target="https://www.fm91bkk.com/newsarticle/68309" TargetMode="External" Id="rId56"/><Relationship Type="http://schemas.openxmlformats.org/officeDocument/2006/relationships/hyperlink" Target="https://dataportal.drr.go.th/dataset/3833590c-a0f4-4c99-baf1-8c540aadebb5/resource/3ae42fe1-d7e4-4784-a257-81475f5b8243" TargetMode="External" Id="rId57"/><Relationship Type="http://schemas.openxmlformats.org/officeDocument/2006/relationships/hyperlink" Target="https://dataportal.drr.go.th/dataset/3833590c-a0f4-4c99-baf1-8c540aadebb5/resource/d0675c68-510b-45e1-b865-1ce261814948" TargetMode="External" Id="rId58"/><Relationship Type="http://schemas.openxmlformats.org/officeDocument/2006/relationships/hyperlink" Target="https://dataportal.drr.go.th/dataset/3833590c-a0f4-4c99-baf1-8c540aadebb5/resource/0d612f16-e188-4604-b61c-c0da07854ef9" TargetMode="External" Id="rId59"/><Relationship Type="http://schemas.openxmlformats.org/officeDocument/2006/relationships/hyperlink" Target="https://mgronline.com/business/detail/9690000025473" TargetMode="External" Id="rId60"/><Relationship Type="http://schemas.openxmlformats.org/officeDocument/2006/relationships/hyperlink" Target="https://www.fm91bkk.com/newsarticle/68309" TargetMode="External" Id="rId61"/><Relationship Type="http://schemas.openxmlformats.org/officeDocument/2006/relationships/hyperlink" Target="https://dataportal.drr.go.th/dataset/3833590c-a0f4-4c99-baf1-8c540aadebb5/resource/3ae42fe1-d7e4-4784-a257-81475f5b8243" TargetMode="External" Id="rId62"/><Relationship Type="http://schemas.openxmlformats.org/officeDocument/2006/relationships/hyperlink" Target="https://dataportal.drr.go.th/dataset/3833590c-a0f4-4c99-baf1-8c540aadebb5/resource/d0675c68-510b-45e1-b865-1ce261814948" TargetMode="External" Id="rId63"/><Relationship Type="http://schemas.openxmlformats.org/officeDocument/2006/relationships/hyperlink" Target="https://dataportal.drr.go.th/dataset/3833590c-a0f4-4c99-baf1-8c540aadebb5/resource/0d612f16-e188-4604-b61c-c0da07854ef9" TargetMode="External" Id="rId64"/><Relationship Type="http://schemas.openxmlformats.org/officeDocument/2006/relationships/hyperlink" Target="https://mgronline.com/business/detail/9690000025473" TargetMode="External" Id="rId65"/><Relationship Type="http://schemas.openxmlformats.org/officeDocument/2006/relationships/hyperlink" Target="https://www.fm91bkk.com/newsarticle/68309" TargetMode="External" Id="rId66"/><Relationship Type="http://schemas.openxmlformats.org/officeDocument/2006/relationships/hyperlink" Target="https://dataportal.drr.go.th/dataset/3833590c-a0f4-4c99-baf1-8c540aadebb5/resource/3ae42fe1-d7e4-4784-a257-81475f5b8243" TargetMode="External" Id="rId67"/><Relationship Type="http://schemas.openxmlformats.org/officeDocument/2006/relationships/hyperlink" Target="https://dataportal.drr.go.th/dataset/3833590c-a0f4-4c99-baf1-8c540aadebb5/resource/d0675c68-510b-45e1-b865-1ce261814948" TargetMode="External" Id="rId68"/><Relationship Type="http://schemas.openxmlformats.org/officeDocument/2006/relationships/hyperlink" Target="https://dataportal.drr.go.th/dataset/3833590c-a0f4-4c99-baf1-8c540aadebb5/resource/0d612f16-e188-4604-b61c-c0da07854ef9" TargetMode="External" Id="rId69"/><Relationship Type="http://schemas.openxmlformats.org/officeDocument/2006/relationships/hyperlink" Target="https://mgronline.com/business/detail/9690000025473" TargetMode="External" Id="rId70"/><Relationship Type="http://schemas.openxmlformats.org/officeDocument/2006/relationships/hyperlink" Target="https://www.fm91bkk.com/newsarticle/68309" TargetMode="External" Id="rId71"/><Relationship Type="http://schemas.openxmlformats.org/officeDocument/2006/relationships/hyperlink" Target="https://dataportal.drr.go.th/dataset/3833590c-a0f4-4c99-baf1-8c540aadebb5/resource/3ae42fe1-d7e4-4784-a257-81475f5b8243" TargetMode="External" Id="rId72"/><Relationship Type="http://schemas.openxmlformats.org/officeDocument/2006/relationships/hyperlink" Target="https://dataportal.drr.go.th/dataset/3833590c-a0f4-4c99-baf1-8c540aadebb5/resource/d0675c68-510b-45e1-b865-1ce261814948" TargetMode="External" Id="rId73"/><Relationship Type="http://schemas.openxmlformats.org/officeDocument/2006/relationships/hyperlink" Target="https://dataportal.drr.go.th/dataset/3833590c-a0f4-4c99-baf1-8c540aadebb5/resource/0d612f16-e188-4604-b61c-c0da07854ef9" TargetMode="External" Id="rId74"/><Relationship Type="http://schemas.openxmlformats.org/officeDocument/2006/relationships/hyperlink" Target="https://mgronline.com/business/detail/9690000025473" TargetMode="External" Id="rId75"/><Relationship Type="http://schemas.openxmlformats.org/officeDocument/2006/relationships/hyperlink" Target="https://www.fm91bkk.com/newsarticle/68309" TargetMode="External" Id="rId76"/><Relationship Type="http://schemas.openxmlformats.org/officeDocument/2006/relationships/hyperlink" Target="https://dataportal.drr.go.th/dataset/3833590c-a0f4-4c99-baf1-8c540aadebb5/resource/3ae42fe1-d7e4-4784-a257-81475f5b8243" TargetMode="External" Id="rId77"/><Relationship Type="http://schemas.openxmlformats.org/officeDocument/2006/relationships/hyperlink" Target="https://dataportal.drr.go.th/dataset/3833590c-a0f4-4c99-baf1-8c540aadebb5/resource/d0675c68-510b-45e1-b865-1ce261814948" TargetMode="External" Id="rId78"/><Relationship Type="http://schemas.openxmlformats.org/officeDocument/2006/relationships/hyperlink" Target="https://dataportal.drr.go.th/dataset/3833590c-a0f4-4c99-baf1-8c540aadebb5/resource/0d612f16-e188-4604-b61c-c0da07854ef9" TargetMode="External" Id="rId79"/><Relationship Type="http://schemas.openxmlformats.org/officeDocument/2006/relationships/hyperlink" Target="https://mgronline.com/business/detail/9690000025473" TargetMode="External" Id="rId80"/><Relationship Type="http://schemas.openxmlformats.org/officeDocument/2006/relationships/hyperlink" Target="https://www.fm91bkk.com/newsarticle/68309" TargetMode="External" Id="rId81"/><Relationship Type="http://schemas.openxmlformats.org/officeDocument/2006/relationships/hyperlink" Target="https://dataportal.drr.go.th/dataset/3833590c-a0f4-4c99-baf1-8c540aadebb5/resource/3ae42fe1-d7e4-4784-a257-81475f5b8243" TargetMode="External" Id="rId82"/><Relationship Type="http://schemas.openxmlformats.org/officeDocument/2006/relationships/hyperlink" Target="https://dataportal.drr.go.th/dataset/3833590c-a0f4-4c99-baf1-8c540aadebb5/resource/d0675c68-510b-45e1-b865-1ce261814948" TargetMode="External" Id="rId83"/><Relationship Type="http://schemas.openxmlformats.org/officeDocument/2006/relationships/hyperlink" Target="https://dataportal.drr.go.th/dataset/3833590c-a0f4-4c99-baf1-8c540aadebb5/resource/0d612f16-e188-4604-b61c-c0da07854ef9" TargetMode="External" Id="rId84"/><Relationship Type="http://schemas.openxmlformats.org/officeDocument/2006/relationships/hyperlink" Target="https://mgronline.com/business/detail/9690000025473" TargetMode="External" Id="rId85"/><Relationship Type="http://schemas.openxmlformats.org/officeDocument/2006/relationships/hyperlink" Target="https://www.fm91bkk.com/newsarticle/68309" TargetMode="External" Id="rId86"/><Relationship Type="http://schemas.openxmlformats.org/officeDocument/2006/relationships/hyperlink" Target="https://dataportal.drr.go.th/dataset/3833590c-a0f4-4c99-baf1-8c540aadebb5/resource/3ae42fe1-d7e4-4784-a257-81475f5b8243" TargetMode="External" Id="rId87"/><Relationship Type="http://schemas.openxmlformats.org/officeDocument/2006/relationships/hyperlink" Target="https://dataportal.drr.go.th/dataset/3833590c-a0f4-4c99-baf1-8c540aadebb5/resource/d0675c68-510b-45e1-b865-1ce261814948" TargetMode="External" Id="rId88"/><Relationship Type="http://schemas.openxmlformats.org/officeDocument/2006/relationships/hyperlink" Target="https://dataportal.drr.go.th/dataset/3833590c-a0f4-4c99-baf1-8c540aadebb5/resource/0d612f16-e188-4604-b61c-c0da07854ef9" TargetMode="External" Id="rId89"/><Relationship Type="http://schemas.openxmlformats.org/officeDocument/2006/relationships/hyperlink" Target="https://mgronline.com/business/detail/9690000025473" TargetMode="External" Id="rId90"/><Relationship Type="http://schemas.openxmlformats.org/officeDocument/2006/relationships/hyperlink" Target="https://www.fm91bkk.com/newsarticle/68309" TargetMode="External" Id="rId91"/><Relationship Type="http://schemas.openxmlformats.org/officeDocument/2006/relationships/hyperlink" Target="https://dataportal.drr.go.th/dataset/3833590c-a0f4-4c99-baf1-8c540aadebb5/resource/3ae42fe1-d7e4-4784-a257-81475f5b8243" TargetMode="External" Id="rId92"/><Relationship Type="http://schemas.openxmlformats.org/officeDocument/2006/relationships/hyperlink" Target="https://dataportal.drr.go.th/dataset/3833590c-a0f4-4c99-baf1-8c540aadebb5/resource/d0675c68-510b-45e1-b865-1ce261814948" TargetMode="External" Id="rId93"/><Relationship Type="http://schemas.openxmlformats.org/officeDocument/2006/relationships/hyperlink" Target="https://dataportal.drr.go.th/dataset/3833590c-a0f4-4c99-baf1-8c540aadebb5/resource/0d612f16-e188-4604-b61c-c0da07854ef9" TargetMode="External" Id="rId94"/><Relationship Type="http://schemas.openxmlformats.org/officeDocument/2006/relationships/hyperlink" Target="https://mgronline.com/business/detail/9690000025473" TargetMode="External" Id="rId95"/><Relationship Type="http://schemas.openxmlformats.org/officeDocument/2006/relationships/hyperlink" Target="https://www.fm91bkk.com/newsarticle/68309" TargetMode="External" Id="rId96"/><Relationship Type="http://schemas.openxmlformats.org/officeDocument/2006/relationships/hyperlink" Target="https://dataportal.drr.go.th/dataset/3833590c-a0f4-4c99-baf1-8c540aadebb5/resource/3ae42fe1-d7e4-4784-a257-81475f5b8243" TargetMode="External" Id="rId97"/><Relationship Type="http://schemas.openxmlformats.org/officeDocument/2006/relationships/hyperlink" Target="https://dataportal.drr.go.th/dataset/3833590c-a0f4-4c99-baf1-8c540aadebb5/resource/d0675c68-510b-45e1-b865-1ce261814948" TargetMode="External" Id="rId98"/><Relationship Type="http://schemas.openxmlformats.org/officeDocument/2006/relationships/hyperlink" Target="https://dataportal.drr.go.th/dataset/3833590c-a0f4-4c99-baf1-8c540aadebb5/resource/0d612f16-e188-4604-b61c-c0da07854ef9" TargetMode="External" Id="rId99"/><Relationship Type="http://schemas.openxmlformats.org/officeDocument/2006/relationships/hyperlink" Target="https://mgronline.com/business/detail/9690000025473" TargetMode="External" Id="rId100"/><Relationship Type="http://schemas.openxmlformats.org/officeDocument/2006/relationships/hyperlink" Target="https://www.fm91bkk.com/newsarticle/68309" TargetMode="External" Id="rId101"/><Relationship Type="http://schemas.openxmlformats.org/officeDocument/2006/relationships/hyperlink" Target="https://dataportal.drr.go.th/dataset/3833590c-a0f4-4c99-baf1-8c540aadebb5/resource/3ae42fe1-d7e4-4784-a257-81475f5b8243" TargetMode="External" Id="rId102"/><Relationship Type="http://schemas.openxmlformats.org/officeDocument/2006/relationships/hyperlink" Target="https://dataportal.drr.go.th/dataset/3833590c-a0f4-4c99-baf1-8c540aadebb5/resource/d0675c68-510b-45e1-b865-1ce261814948" TargetMode="External" Id="rId103"/><Relationship Type="http://schemas.openxmlformats.org/officeDocument/2006/relationships/hyperlink" Target="https://dataportal.drr.go.th/dataset/3833590c-a0f4-4c99-baf1-8c540aadebb5/resource/0d612f16-e188-4604-b61c-c0da07854ef9" TargetMode="External" Id="rId104"/><Relationship Type="http://schemas.openxmlformats.org/officeDocument/2006/relationships/hyperlink" Target="https://mgronline.com/business/detail/9690000025473" TargetMode="External" Id="rId105"/><Relationship Type="http://schemas.openxmlformats.org/officeDocument/2006/relationships/hyperlink" Target="https://www.fm91bkk.com/newsarticle/68309" TargetMode="External" Id="rId106"/><Relationship Type="http://schemas.openxmlformats.org/officeDocument/2006/relationships/hyperlink" Target="https://dataportal.drr.go.th/dataset/3833590c-a0f4-4c99-baf1-8c540aadebb5/resource/3ae42fe1-d7e4-4784-a257-81475f5b8243" TargetMode="External" Id="rId107"/><Relationship Type="http://schemas.openxmlformats.org/officeDocument/2006/relationships/hyperlink" Target="https://dataportal.drr.go.th/dataset/3833590c-a0f4-4c99-baf1-8c540aadebb5/resource/d0675c68-510b-45e1-b865-1ce261814948" TargetMode="External" Id="rId108"/><Relationship Type="http://schemas.openxmlformats.org/officeDocument/2006/relationships/hyperlink" Target="https://dataportal.drr.go.th/dataset/3833590c-a0f4-4c99-baf1-8c540aadebb5/resource/0d612f16-e188-4604-b61c-c0da07854ef9" TargetMode="External" Id="rId109"/><Relationship Type="http://schemas.openxmlformats.org/officeDocument/2006/relationships/hyperlink" Target="https://mgronline.com/business/detail/9690000025473" TargetMode="External" Id="rId110"/><Relationship Type="http://schemas.openxmlformats.org/officeDocument/2006/relationships/hyperlink" Target="https://www.fm91bkk.com/newsarticle/68309" TargetMode="External" Id="rId111"/><Relationship Type="http://schemas.openxmlformats.org/officeDocument/2006/relationships/hyperlink" Target="https://dataportal.drr.go.th/dataset/3833590c-a0f4-4c99-baf1-8c540aadebb5/resource/3ae42fe1-d7e4-4784-a257-81475f5b8243" TargetMode="External" Id="rId112"/><Relationship Type="http://schemas.openxmlformats.org/officeDocument/2006/relationships/hyperlink" Target="https://dataportal.drr.go.th/dataset/3833590c-a0f4-4c99-baf1-8c540aadebb5/resource/d0675c68-510b-45e1-b865-1ce261814948" TargetMode="External" Id="rId113"/><Relationship Type="http://schemas.openxmlformats.org/officeDocument/2006/relationships/hyperlink" Target="https://dataportal.drr.go.th/dataset/3833590c-a0f4-4c99-baf1-8c540aadebb5/resource/0d612f16-e188-4604-b61c-c0da07854ef9" TargetMode="External" Id="rId114"/><Relationship Type="http://schemas.openxmlformats.org/officeDocument/2006/relationships/hyperlink" Target="https://mgronline.com/business/detail/9690000025473" TargetMode="External" Id="rId115"/><Relationship Type="http://schemas.openxmlformats.org/officeDocument/2006/relationships/hyperlink" Target="https://www.fm91bkk.com/newsarticle/68309" TargetMode="External" Id="rId116"/><Relationship Type="http://schemas.openxmlformats.org/officeDocument/2006/relationships/hyperlink" Target="https://dataportal.drr.go.th/dataset/3833590c-a0f4-4c99-baf1-8c540aadebb5/resource/3ae42fe1-d7e4-4784-a257-81475f5b8243" TargetMode="External" Id="rId117"/><Relationship Type="http://schemas.openxmlformats.org/officeDocument/2006/relationships/hyperlink" Target="https://dataportal.drr.go.th/dataset/3833590c-a0f4-4c99-baf1-8c540aadebb5/resource/d0675c68-510b-45e1-b865-1ce261814948" TargetMode="External" Id="rId118"/><Relationship Type="http://schemas.openxmlformats.org/officeDocument/2006/relationships/hyperlink" Target="https://dataportal.drr.go.th/dataset/3833590c-a0f4-4c99-baf1-8c540aadebb5/resource/0d612f16-e188-4604-b61c-c0da07854ef9" TargetMode="External" Id="rId119"/><Relationship Type="http://schemas.openxmlformats.org/officeDocument/2006/relationships/hyperlink" Target="https://mgronline.com/business/detail/9690000025473" TargetMode="External" Id="rId120"/><Relationship Type="http://schemas.openxmlformats.org/officeDocument/2006/relationships/hyperlink" Target="https://www.fm91bkk.com/newsarticle/68309" TargetMode="External" Id="rId121"/><Relationship Type="http://schemas.openxmlformats.org/officeDocument/2006/relationships/hyperlink" Target="https://dataportal.drr.go.th/dataset/3833590c-a0f4-4c99-baf1-8c540aadebb5/resource/3ae42fe1-d7e4-4784-a257-81475f5b8243" TargetMode="External" Id="rId122"/><Relationship Type="http://schemas.openxmlformats.org/officeDocument/2006/relationships/hyperlink" Target="https://dataportal.drr.go.th/dataset/3833590c-a0f4-4c99-baf1-8c540aadebb5/resource/d0675c68-510b-45e1-b865-1ce261814948" TargetMode="External" Id="rId123"/><Relationship Type="http://schemas.openxmlformats.org/officeDocument/2006/relationships/hyperlink" Target="https://dataportal.drr.go.th/dataset/3833590c-a0f4-4c99-baf1-8c540aadebb5/resource/0d612f16-e188-4604-b61c-c0da07854ef9" TargetMode="External" Id="rId124"/><Relationship Type="http://schemas.openxmlformats.org/officeDocument/2006/relationships/hyperlink" Target="https://mgronline.com/business/detail/9690000025473" TargetMode="External" Id="rId125"/><Relationship Type="http://schemas.openxmlformats.org/officeDocument/2006/relationships/hyperlink" Target="https://www.fm91bkk.com/newsarticle/68309" TargetMode="External" Id="rId126"/><Relationship Type="http://schemas.openxmlformats.org/officeDocument/2006/relationships/hyperlink" Target="https://dataportal.drr.go.th/dataset/3833590c-a0f4-4c99-baf1-8c540aadebb5/resource/3ae42fe1-d7e4-4784-a257-81475f5b8243" TargetMode="External" Id="rId127"/><Relationship Type="http://schemas.openxmlformats.org/officeDocument/2006/relationships/hyperlink" Target="https://dataportal.drr.go.th/dataset/3833590c-a0f4-4c99-baf1-8c540aadebb5/resource/d0675c68-510b-45e1-b865-1ce261814948" TargetMode="External" Id="rId128"/><Relationship Type="http://schemas.openxmlformats.org/officeDocument/2006/relationships/hyperlink" Target="https://dataportal.drr.go.th/dataset/3833590c-a0f4-4c99-baf1-8c540aadebb5/resource/0d612f16-e188-4604-b61c-c0da07854ef9" TargetMode="External" Id="rId129"/><Relationship Type="http://schemas.openxmlformats.org/officeDocument/2006/relationships/hyperlink" Target="https://mgronline.com/business/detail/9690000025473" TargetMode="External" Id="rId130"/><Relationship Type="http://schemas.openxmlformats.org/officeDocument/2006/relationships/hyperlink" Target="https://www.fm91bkk.com/newsarticle/68309" TargetMode="External" Id="rId131"/><Relationship Type="http://schemas.openxmlformats.org/officeDocument/2006/relationships/hyperlink" Target="https://dataportal.drr.go.th/dataset/3833590c-a0f4-4c99-baf1-8c540aadebb5/resource/3ae42fe1-d7e4-4784-a257-81475f5b8243" TargetMode="External" Id="rId132"/><Relationship Type="http://schemas.openxmlformats.org/officeDocument/2006/relationships/hyperlink" Target="https://dataportal.drr.go.th/dataset/3833590c-a0f4-4c99-baf1-8c540aadebb5/resource/d0675c68-510b-45e1-b865-1ce261814948" TargetMode="External" Id="rId133"/><Relationship Type="http://schemas.openxmlformats.org/officeDocument/2006/relationships/hyperlink" Target="https://dataportal.drr.go.th/dataset/3833590c-a0f4-4c99-baf1-8c540aadebb5/resource/0d612f16-e188-4604-b61c-c0da07854ef9" TargetMode="External" Id="rId134"/><Relationship Type="http://schemas.openxmlformats.org/officeDocument/2006/relationships/hyperlink" Target="https://mgronline.com/business/detail/9690000025473" TargetMode="External" Id="rId135"/><Relationship Type="http://schemas.openxmlformats.org/officeDocument/2006/relationships/hyperlink" Target="https://www.fm91bkk.com/newsarticle/68309" TargetMode="External" Id="rId136"/><Relationship Type="http://schemas.openxmlformats.org/officeDocument/2006/relationships/hyperlink" Target="https://dataportal.drr.go.th/dataset/3833590c-a0f4-4c99-baf1-8c540aadebb5/resource/3ae42fe1-d7e4-4784-a257-81475f5b8243" TargetMode="External" Id="rId137"/><Relationship Type="http://schemas.openxmlformats.org/officeDocument/2006/relationships/hyperlink" Target="https://dataportal.drr.go.th/dataset/3833590c-a0f4-4c99-baf1-8c540aadebb5/resource/d0675c68-510b-45e1-b865-1ce261814948" TargetMode="External" Id="rId138"/><Relationship Type="http://schemas.openxmlformats.org/officeDocument/2006/relationships/hyperlink" Target="https://dataportal.drr.go.th/dataset/3833590c-a0f4-4c99-baf1-8c540aadebb5/resource/0d612f16-e188-4604-b61c-c0da07854ef9" TargetMode="External" Id="rId139"/><Relationship Type="http://schemas.openxmlformats.org/officeDocument/2006/relationships/hyperlink" Target="https://mgronline.com/business/detail/9690000025473" TargetMode="External" Id="rId140"/><Relationship Type="http://schemas.openxmlformats.org/officeDocument/2006/relationships/hyperlink" Target="https://www.fm91bkk.com/newsarticle/68309" TargetMode="External" Id="rId141"/><Relationship Type="http://schemas.openxmlformats.org/officeDocument/2006/relationships/hyperlink" Target="https://dataportal.drr.go.th/dataset/3833590c-a0f4-4c99-baf1-8c540aadebb5/resource/3ae42fe1-d7e4-4784-a257-81475f5b8243" TargetMode="External" Id="rId142"/><Relationship Type="http://schemas.openxmlformats.org/officeDocument/2006/relationships/hyperlink" Target="https://dataportal.drr.go.th/dataset/3833590c-a0f4-4c99-baf1-8c540aadebb5/resource/d0675c68-510b-45e1-b865-1ce261814948" TargetMode="External" Id="rId143"/><Relationship Type="http://schemas.openxmlformats.org/officeDocument/2006/relationships/hyperlink" Target="https://dataportal.drr.go.th/dataset/3833590c-a0f4-4c99-baf1-8c540aadebb5/resource/0d612f16-e188-4604-b61c-c0da07854ef9" TargetMode="External" Id="rId144"/><Relationship Type="http://schemas.openxmlformats.org/officeDocument/2006/relationships/hyperlink" Target="https://mgronline.com/business/detail/9690000025473" TargetMode="External" Id="rId145"/><Relationship Type="http://schemas.openxmlformats.org/officeDocument/2006/relationships/hyperlink" Target="https://www.fm91bkk.com/newsarticle/68309" TargetMode="External" Id="rId146"/><Relationship Type="http://schemas.openxmlformats.org/officeDocument/2006/relationships/hyperlink" Target="https://dataportal.drr.go.th/dataset/3833590c-a0f4-4c99-baf1-8c540aadebb5/resource/3ae42fe1-d7e4-4784-a257-81475f5b8243" TargetMode="External" Id="rId147"/><Relationship Type="http://schemas.openxmlformats.org/officeDocument/2006/relationships/hyperlink" Target="https://dataportal.drr.go.th/dataset/3833590c-a0f4-4c99-baf1-8c540aadebb5/resource/d0675c68-510b-45e1-b865-1ce261814948" TargetMode="External" Id="rId148"/><Relationship Type="http://schemas.openxmlformats.org/officeDocument/2006/relationships/hyperlink" Target="https://dataportal.drr.go.th/dataset/3833590c-a0f4-4c99-baf1-8c540aadebb5/resource/0d612f16-e188-4604-b61c-c0da07854ef9" TargetMode="External" Id="rId149"/><Relationship Type="http://schemas.openxmlformats.org/officeDocument/2006/relationships/hyperlink" Target="https://mgronline.com/business/detail/9690000025473" TargetMode="External" Id="rId150"/><Relationship Type="http://schemas.openxmlformats.org/officeDocument/2006/relationships/hyperlink" Target="https://www.fm91bkk.com/newsarticle/68309" TargetMode="External" Id="rId151"/><Relationship Type="http://schemas.openxmlformats.org/officeDocument/2006/relationships/hyperlink" Target="https://dataportal.drr.go.th/dataset/3833590c-a0f4-4c99-baf1-8c540aadebb5/resource/3ae42fe1-d7e4-4784-a257-81475f5b8243" TargetMode="External" Id="rId152"/><Relationship Type="http://schemas.openxmlformats.org/officeDocument/2006/relationships/hyperlink" Target="https://dataportal.drr.go.th/dataset/3833590c-a0f4-4c99-baf1-8c540aadebb5/resource/d0675c68-510b-45e1-b865-1ce261814948" TargetMode="External" Id="rId153"/><Relationship Type="http://schemas.openxmlformats.org/officeDocument/2006/relationships/hyperlink" Target="https://dataportal.drr.go.th/dataset/3833590c-a0f4-4c99-baf1-8c540aadebb5/resource/0d612f16-e188-4604-b61c-c0da07854ef9" TargetMode="External" Id="rId154"/><Relationship Type="http://schemas.openxmlformats.org/officeDocument/2006/relationships/hyperlink" Target="https://mgronline.com/business/detail/9690000025473" TargetMode="External" Id="rId155"/><Relationship Type="http://schemas.openxmlformats.org/officeDocument/2006/relationships/hyperlink" Target="https://www.fm91bkk.com/newsarticle/68309" TargetMode="External" Id="rId156"/><Relationship Type="http://schemas.openxmlformats.org/officeDocument/2006/relationships/hyperlink" Target="https://dataportal.drr.go.th/dataset/3833590c-a0f4-4c99-baf1-8c540aadebb5/resource/3ae42fe1-d7e4-4784-a257-81475f5b8243" TargetMode="External" Id="rId157"/><Relationship Type="http://schemas.openxmlformats.org/officeDocument/2006/relationships/hyperlink" Target="https://dataportal.drr.go.th/dataset/3833590c-a0f4-4c99-baf1-8c540aadebb5/resource/d0675c68-510b-45e1-b865-1ce261814948" TargetMode="External" Id="rId158"/><Relationship Type="http://schemas.openxmlformats.org/officeDocument/2006/relationships/hyperlink" Target="https://dataportal.drr.go.th/dataset/3833590c-a0f4-4c99-baf1-8c540aadebb5/resource/0d612f16-e188-4604-b61c-c0da07854ef9" TargetMode="External" Id="rId159"/><Relationship Type="http://schemas.openxmlformats.org/officeDocument/2006/relationships/hyperlink" Target="https://mgronline.com/business/detail/9690000025473" TargetMode="External" Id="rId160"/><Relationship Type="http://schemas.openxmlformats.org/officeDocument/2006/relationships/hyperlink" Target="https://www.fm91bkk.com/newsarticle/68309" TargetMode="External" Id="rId161"/><Relationship Type="http://schemas.openxmlformats.org/officeDocument/2006/relationships/hyperlink" Target="https://dataportal.drr.go.th/dataset/3833590c-a0f4-4c99-baf1-8c540aadebb5/resource/3ae42fe1-d7e4-4784-a257-81475f5b8243" TargetMode="External" Id="rId162"/><Relationship Type="http://schemas.openxmlformats.org/officeDocument/2006/relationships/hyperlink" Target="https://dataportal.drr.go.th/dataset/3833590c-a0f4-4c99-baf1-8c540aadebb5/resource/d0675c68-510b-45e1-b865-1ce261814948" TargetMode="External" Id="rId163"/><Relationship Type="http://schemas.openxmlformats.org/officeDocument/2006/relationships/hyperlink" Target="https://dataportal.drr.go.th/dataset/3833590c-a0f4-4c99-baf1-8c540aadebb5/resource/0d612f16-e188-4604-b61c-c0da07854ef9" TargetMode="External" Id="rId164"/><Relationship Type="http://schemas.openxmlformats.org/officeDocument/2006/relationships/hyperlink" Target="https://mgronline.com/business/detail/9690000025473" TargetMode="External" Id="rId165"/><Relationship Type="http://schemas.openxmlformats.org/officeDocument/2006/relationships/hyperlink" Target="https://www.fm91bkk.com/newsarticle/68309" TargetMode="External" Id="rId166"/><Relationship Type="http://schemas.openxmlformats.org/officeDocument/2006/relationships/hyperlink" Target="https://dataportal.drr.go.th/dataset/3833590c-a0f4-4c99-baf1-8c540aadebb5/resource/3ae42fe1-d7e4-4784-a257-81475f5b8243" TargetMode="External" Id="rId167"/><Relationship Type="http://schemas.openxmlformats.org/officeDocument/2006/relationships/hyperlink" Target="https://dataportal.drr.go.th/dataset/3833590c-a0f4-4c99-baf1-8c540aadebb5/resource/d0675c68-510b-45e1-b865-1ce261814948" TargetMode="External" Id="rId168"/><Relationship Type="http://schemas.openxmlformats.org/officeDocument/2006/relationships/hyperlink" Target="https://dataportal.drr.go.th/dataset/3833590c-a0f4-4c99-baf1-8c540aadebb5/resource/0d612f16-e188-4604-b61c-c0da07854ef9" TargetMode="External" Id="rId169"/><Relationship Type="http://schemas.openxmlformats.org/officeDocument/2006/relationships/hyperlink" Target="https://mgronline.com/business/detail/9690000025473" TargetMode="External" Id="rId170"/><Relationship Type="http://schemas.openxmlformats.org/officeDocument/2006/relationships/hyperlink" Target="https://www.fm91bkk.com/newsarticle/68309" TargetMode="External" Id="rId171"/><Relationship Type="http://schemas.openxmlformats.org/officeDocument/2006/relationships/hyperlink" Target="https://dataportal.drr.go.th/dataset/3833590c-a0f4-4c99-baf1-8c540aadebb5/resource/3ae42fe1-d7e4-4784-a257-81475f5b8243" TargetMode="External" Id="rId172"/><Relationship Type="http://schemas.openxmlformats.org/officeDocument/2006/relationships/hyperlink" Target="https://dataportal.drr.go.th/dataset/3833590c-a0f4-4c99-baf1-8c540aadebb5/resource/d0675c68-510b-45e1-b865-1ce261814948" TargetMode="External" Id="rId173"/><Relationship Type="http://schemas.openxmlformats.org/officeDocument/2006/relationships/hyperlink" Target="https://dataportal.drr.go.th/dataset/3833590c-a0f4-4c99-baf1-8c540aadebb5/resource/0d612f16-e188-4604-b61c-c0da07854ef9" TargetMode="External" Id="rId174"/><Relationship Type="http://schemas.openxmlformats.org/officeDocument/2006/relationships/hyperlink" Target="https://mgronline.com/business/detail/9690000025473" TargetMode="External" Id="rId175"/><Relationship Type="http://schemas.openxmlformats.org/officeDocument/2006/relationships/hyperlink" Target="https://www.fm91bkk.com/newsarticle/68309" TargetMode="External" Id="rId176"/></Relationships>
</file>

<file path=xl/worksheets/_rels/sheet5.xml.rels><Relationships xmlns="http://schemas.openxmlformats.org/package/2006/relationships"><Relationship Type="http://schemas.openxmlformats.org/officeDocument/2006/relationships/hyperlink" Target="https://traffic.bangkok.go.th/re_intersection/intersection/2567/Bridge67.pdf" TargetMode="External" Id="rId1"/><Relationship Type="http://schemas.openxmlformats.org/officeDocument/2006/relationships/hyperlink" Target="https://traffic.bangkok.go.th/re_intersection/intersection/2567/Bridge67.pdf" TargetMode="External" Id="rId2"/><Relationship Type="http://schemas.openxmlformats.org/officeDocument/2006/relationships/hyperlink" Target="https://traffic.bangkok.go.th/re_intersection/intersection/2567/Bridge67.pdf" TargetMode="External" Id="rId3"/><Relationship Type="http://schemas.openxmlformats.org/officeDocument/2006/relationships/hyperlink" Target="https://mgronline.com/business/detail/969000002547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4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6" customWidth="1" min="10" max="10"/>
  </cols>
  <sheetData>
    <row r="1" ht="42" customHeight="1">
      <c r="A1" s="1" t="inlineStr">
        <is>
          <t>รหัสสายทาง ทช.</t>
        </is>
      </c>
      <c r="B1" s="1" t="inlineStr">
        <is>
          <t>แถวที่ใช้ใน ทช. (road_name)</t>
        </is>
      </c>
      <c r="C1" s="1" t="inlineStr">
        <is>
          <t>ชื่อถนน</t>
        </is>
      </c>
      <c r="D1" s="1" t="inlineStr">
        <is>
          <t>คลัสเตอร์</t>
        </is>
      </c>
      <c r="E1" s="1" t="inlineStr">
        <is>
          <t>อุบัติเหตุ</t>
        </is>
      </c>
      <c r="F1" s="1" t="inlineStr">
        <is>
          <t>AADT 2566</t>
        </is>
      </c>
      <c r="G1" s="1" t="inlineStr">
        <is>
          <t>AADT 2567</t>
        </is>
      </c>
      <c r="H1" s="1" t="inlineStr">
        <is>
          <t>AADT 2568</t>
        </is>
      </c>
      <c r="I1" s="1" t="inlineStr">
        <is>
          <t>ผล</t>
        </is>
      </c>
    </row>
    <row r="2">
      <c r="A2" t="inlineStr">
        <is>
          <t>ปท.3004</t>
        </is>
      </c>
      <c r="C2" t="inlineStr">
        <is>
          <t>แยกทางหลวงหมายเลข 305 (กม.ที่ 15+700) - บ้านลำลูกกา</t>
        </is>
      </c>
      <c r="D2" t="n">
        <v>3</v>
      </c>
      <c r="E2" t="n">
        <v>12</v>
      </c>
      <c r="F2" s="2" t="n">
        <v>24945</v>
      </c>
      <c r="G2" s="2" t="n">
        <v>26199</v>
      </c>
      <c r="H2" s="2" t="n">
        <v>27029</v>
      </c>
      <c r="I2" t="inlineStr">
        <is>
          <t>ครบ 3 ปี</t>
        </is>
      </c>
    </row>
    <row r="3">
      <c r="A3" t="inlineStr">
        <is>
          <t>นบ.1002</t>
        </is>
      </c>
      <c r="C3" t="inlineStr">
        <is>
          <t>แยกทางหลวงหมายเลข 9 (กม.ที่ 42+500) - บ้านหนองเพรางาย</t>
        </is>
      </c>
      <c r="D3" t="n">
        <v>1</v>
      </c>
      <c r="E3" t="n">
        <v>4</v>
      </c>
      <c r="F3" s="2" t="n">
        <v>19261</v>
      </c>
      <c r="G3" s="2" t="n">
        <v>20230</v>
      </c>
      <c r="H3" s="2" t="n">
        <v>18338</v>
      </c>
      <c r="I3" t="inlineStr">
        <is>
          <t>ครบ 3 ปี</t>
        </is>
      </c>
    </row>
    <row r="4">
      <c r="A4" t="inlineStr">
        <is>
          <t>นบ.1013</t>
        </is>
      </c>
      <c r="C4" t="inlineStr">
        <is>
          <t>แยกทางหลวงหมายเลข 9 (กม.ที่ 43+490) - อำเภอไทรน้อย</t>
        </is>
      </c>
      <c r="D4" t="n">
        <v>1</v>
      </c>
      <c r="E4" t="n">
        <v>4</v>
      </c>
      <c r="F4" s="2" t="n">
        <v>10040</v>
      </c>
      <c r="G4" s="2" t="n">
        <v>10548</v>
      </c>
      <c r="H4" s="2" t="n">
        <v>9557</v>
      </c>
      <c r="I4" t="inlineStr">
        <is>
          <t>ครบ 3 ปี</t>
        </is>
      </c>
    </row>
    <row r="5">
      <c r="A5" t="inlineStr">
        <is>
          <t>ปท.3006</t>
        </is>
      </c>
      <c r="C5" t="inlineStr">
        <is>
          <t>แยกทางหลวงหมายเลข 305 (กม.ที่ 18+700) - บ้านคลองแปด</t>
        </is>
      </c>
      <c r="D5" t="n">
        <v>1</v>
      </c>
      <c r="E5" t="n">
        <v>4</v>
      </c>
      <c r="F5" s="2" t="n">
        <v>10991</v>
      </c>
      <c r="G5" s="2" t="n">
        <v>11546</v>
      </c>
      <c r="H5" s="2" t="n">
        <v>10462</v>
      </c>
      <c r="I5" t="inlineStr">
        <is>
          <t>ครบ 3 ปี</t>
        </is>
      </c>
    </row>
    <row r="6">
      <c r="A6" t="inlineStr">
        <is>
          <t>นฐ.5022</t>
        </is>
      </c>
      <c r="C6" t="inlineStr">
        <is>
          <t>ถนนศูนย์ราชการ</t>
        </is>
      </c>
      <c r="D6" t="n">
        <v>1</v>
      </c>
      <c r="E6" t="n">
        <v>3</v>
      </c>
      <c r="F6" s="2" t="n">
        <v>3492</v>
      </c>
      <c r="G6" s="2" t="n">
        <v>3602</v>
      </c>
      <c r="H6" s="2" t="n">
        <v>3385</v>
      </c>
      <c r="I6" t="inlineStr">
        <is>
          <t>ครบ 3 ปี</t>
        </is>
      </c>
    </row>
    <row r="7">
      <c r="A7" t="inlineStr">
        <is>
          <t>ส.013</t>
        </is>
      </c>
      <c r="C7" t="inlineStr">
        <is>
          <t>สะพานภูมิพลที่ 1 ไปสะพานภูมิพลที่ 2</t>
        </is>
      </c>
      <c r="D7" t="n">
        <v>15</v>
      </c>
      <c r="E7" t="n">
        <v>309</v>
      </c>
      <c r="F7" s="2" t="inlineStr"/>
      <c r="G7" s="2" t="inlineStr"/>
      <c r="H7" s="2" t="inlineStr"/>
      <c r="I7" s="3" t="inlineStr">
        <is>
          <t>ไม่มีข้อมูลจาก ทช. ทั้ง 3 ปี</t>
        </is>
      </c>
    </row>
    <row r="8">
      <c r="A8" t="inlineStr">
        <is>
          <t>ส.012</t>
        </is>
      </c>
      <c r="C8" t="inlineStr">
        <is>
          <t>สะพานภูมิพลที่ 2 ไปสะพานภูมิพลที่ 1</t>
        </is>
      </c>
      <c r="D8" t="n">
        <v>14</v>
      </c>
      <c r="E8" t="n">
        <v>184</v>
      </c>
      <c r="F8" s="2" t="inlineStr"/>
      <c r="G8" s="2" t="inlineStr"/>
      <c r="H8" s="2" t="inlineStr"/>
      <c r="I8" s="3" t="inlineStr">
        <is>
          <t>ไม่มีข้อมูลจาก ทช. ทั้ง 3 ปี</t>
        </is>
      </c>
    </row>
    <row r="9">
      <c r="A9" t="inlineStr">
        <is>
          <t>นบ.3021</t>
        </is>
      </c>
      <c r="B9" t="inlineStr">
        <is>
          <t>ถนนราชพฤกษ์ (กม.ที่ 11+000 - 28+000)</t>
        </is>
      </c>
      <c r="C9" t="inlineStr">
        <is>
          <t>ถนนราชพฤกษ์ (กม.ที่ 11+000 - 28+000)</t>
        </is>
      </c>
      <c r="D9" t="n">
        <v>2</v>
      </c>
      <c r="E9" t="n">
        <v>6</v>
      </c>
      <c r="F9" s="2" t="inlineStr"/>
      <c r="G9" s="2" t="inlineStr"/>
      <c r="H9" s="2" t="inlineStr"/>
      <c r="I9" s="3" t="inlineStr">
        <is>
          <t>ไม่มีข้อมูลจาก ทช. ทั้ง 3 ปี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4" customWidth="1" min="5" max="5"/>
    <col width="3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22" customWidth="1" min="13" max="13"/>
    <col width="14" customWidth="1" min="14" max="14"/>
    <col width="40" customWidth="1" min="15" max="15"/>
    <col width="14" customWidth="1" min="16" max="16"/>
    <col width="22" customWidth="1" min="17" max="17"/>
    <col width="14" customWidth="1" min="18" max="18"/>
    <col width="40" customWidth="1" min="19" max="19"/>
    <col width="14" customWidth="1" min="20" max="20"/>
    <col width="22" customWidth="1" min="21" max="21"/>
    <col width="14" customWidth="1" min="22" max="22"/>
    <col width="40" customWidth="1" min="23" max="23"/>
    <col width="26" customWidth="1" min="24" max="24"/>
    <col width="14" customWidth="1" min="25" max="25"/>
    <col width="14" customWidth="1" min="26" max="26"/>
    <col width="14" customWidth="1" min="27" max="27"/>
    <col width="70" customWidth="1" min="31" max="31"/>
    <col width="45" customWidth="1" min="32" max="32"/>
    <col width="45" customWidth="1" min="33" max="33"/>
  </cols>
  <sheetData>
    <row r="1" ht="42" customHeight="1">
      <c r="A1" s="1" t="inlineStr">
        <is>
          <t>id</t>
        </is>
      </c>
      <c r="B1" s="1" t="inlineStr">
        <is>
          <t>ถนน</t>
        </is>
      </c>
      <c r="C1" s="1" t="inlineStr">
        <is>
          <t>จังหวัด</t>
        </is>
      </c>
      <c r="D1" s="1" t="inlineStr">
        <is>
          <t>รหัสสายทาง ทช.</t>
        </is>
      </c>
      <c r="E1" s="1" t="inlineStr">
        <is>
          <t>กม. คลัสเตอร์</t>
        </is>
      </c>
      <c r="F1" s="1" t="inlineStr">
        <is>
          <t>แถวที่ใช้ใน ทช. (road_name)</t>
        </is>
      </c>
      <c r="G1" s="1" t="inlineStr">
        <is>
          <t>A</t>
        </is>
      </c>
      <c r="H1" s="1" t="inlineStr">
        <is>
          <t>เสียชีวิต</t>
        </is>
      </c>
      <c r="I1" s="1" t="inlineStr">
        <is>
          <t>บาดเจ็บ</t>
        </is>
      </c>
      <c r="J1" s="1" t="inlineStr">
        <is>
          <t>SI</t>
        </is>
      </c>
      <c r="K1" s="1" t="inlineStr">
        <is>
          <t>ระดับ_SI</t>
        </is>
      </c>
      <c r="L1" s="1" t="inlineStr">
        <is>
          <t>AADT 2566</t>
        </is>
      </c>
      <c r="M1" s="1" t="inlineStr">
        <is>
          <t>สถานะ 2566</t>
        </is>
      </c>
      <c r="N1" s="1" t="inlineStr">
        <is>
          <t>ลิงก์ 2566</t>
        </is>
      </c>
      <c r="O1" s="1" t="inlineStr">
        <is>
          <t>วิธีค้น 2566</t>
        </is>
      </c>
      <c r="P1" s="1" t="inlineStr">
        <is>
          <t>AADT 2567</t>
        </is>
      </c>
      <c r="Q1" s="1" t="inlineStr">
        <is>
          <t>สถานะ 2567</t>
        </is>
      </c>
      <c r="R1" s="1" t="inlineStr">
        <is>
          <t>ลิงก์ 2567</t>
        </is>
      </c>
      <c r="S1" s="1" t="inlineStr">
        <is>
          <t>วิธีค้น 2567</t>
        </is>
      </c>
      <c r="T1" s="1" t="inlineStr">
        <is>
          <t>AADT 2568</t>
        </is>
      </c>
      <c r="U1" s="1" t="inlineStr">
        <is>
          <t>สถานะ 2568</t>
        </is>
      </c>
      <c r="V1" s="1" t="inlineStr">
        <is>
          <t>ลิงก์ 2568</t>
        </is>
      </c>
      <c r="W1" s="1" t="inlineStr">
        <is>
          <t>วิธีค้น 2568</t>
        </is>
      </c>
      <c r="X1" s="1" t="inlineStr">
        <is>
          <t>ผล</t>
        </is>
      </c>
      <c r="Y1" s="4" t="inlineStr">
        <is>
          <t>V = AADT เฉลี่ย 3 ปี</t>
        </is>
      </c>
      <c r="Z1" s="1" t="inlineStr">
        <is>
          <t>T (ปี)</t>
        </is>
      </c>
      <c r="AA1" s="1" t="inlineStr">
        <is>
          <t>L (กม.)</t>
        </is>
      </c>
      <c r="AB1" s="5" t="inlineStr">
        <is>
          <t>ตัวตั้ง A×1,000,000</t>
        </is>
      </c>
      <c r="AC1" s="5" t="inlineStr">
        <is>
          <t>ตัวหาร 365×T×V×L</t>
        </is>
      </c>
      <c r="AD1" s="5" t="inlineStr">
        <is>
          <t>R (ครั้ง/ล้านคัน-กม.)</t>
        </is>
      </c>
      <c r="AE1" s="8" t="inlineStr">
        <is>
          <t>แหล่ง V (ค่าที่ ทช. เปิดเผย)</t>
        </is>
      </c>
      <c r="AF1" s="8" t="inlineStr">
        <is>
          <t>ลิงก์อ้างอิง V ①</t>
        </is>
      </c>
      <c r="AG1" s="8" t="inlineStr">
        <is>
          <t>ลิงก์อ้างอิง V ②</t>
        </is>
      </c>
    </row>
    <row r="2">
      <c r="A2" t="inlineStr">
        <is>
          <t>zone_365</t>
        </is>
      </c>
      <c r="B2" t="inlineStr">
        <is>
          <t>ถนนศูนย์ราชการ</t>
        </is>
      </c>
      <c r="C2" t="inlineStr">
        <is>
          <t>นครปฐม</t>
        </is>
      </c>
      <c r="D2" t="inlineStr">
        <is>
          <t>นฐ.5022</t>
        </is>
      </c>
      <c r="E2" t="inlineStr">
        <is>
          <t>1.4–1.55</t>
        </is>
      </c>
      <c r="G2" t="n">
        <v>3</v>
      </c>
      <c r="H2" t="n">
        <v>2</v>
      </c>
      <c r="I2" t="n">
        <v>1</v>
      </c>
      <c r="J2" t="n">
        <v>1</v>
      </c>
      <c r="K2" t="inlineStr">
        <is>
          <t>medium</t>
        </is>
      </c>
      <c r="L2" s="2" t="n">
        <v>3492</v>
      </c>
      <c r="M2" t="inlineStr">
        <is>
          <t>มีค่า</t>
        </is>
      </c>
      <c r="N2" s="6" t="inlineStr">
        <is>
          <t>เปิดลิงก์</t>
        </is>
      </c>
      <c r="O2" t="inlineStr">
        <is>
          <t>ค้น road_code = นฐ.5022 → คอลัมน์ sum_AADT</t>
        </is>
      </c>
      <c r="P2" s="2" t="n">
        <v>3602</v>
      </c>
      <c r="Q2" t="inlineStr">
        <is>
          <t>มีค่า</t>
        </is>
      </c>
      <c r="R2" s="6" t="inlineStr">
        <is>
          <t>เปิดลิงก์</t>
        </is>
      </c>
      <c r="S2" t="inlineStr">
        <is>
          <t>ค้น road_code = นฐ.5022 → คอลัมน์ sum_AADT</t>
        </is>
      </c>
      <c r="T2" s="2" t="n">
        <v>3385</v>
      </c>
      <c r="U2" t="inlineStr">
        <is>
          <t>มีค่า</t>
        </is>
      </c>
      <c r="V2" s="6" t="inlineStr">
        <is>
          <t>เปิดลิงก์</t>
        </is>
      </c>
      <c r="W2" t="inlineStr">
        <is>
          <t>ค้น road_code = นฐ.5022 → คอลัมน์ sum_AADT</t>
        </is>
      </c>
      <c r="X2" t="inlineStr">
        <is>
          <t>ครบ 3 ปี</t>
        </is>
      </c>
      <c r="Y2" s="2">
        <f>AVERAGE(L2,P2,T2)</f>
        <v/>
      </c>
      <c r="Z2" t="n">
        <v>3</v>
      </c>
      <c r="AA2" t="n">
        <v>1</v>
      </c>
      <c r="AB2" s="2">
        <f>G2*1000000</f>
        <v/>
      </c>
      <c r="AC2" s="2">
        <f>365*Z2*Y2*AA2</f>
        <v/>
      </c>
      <c r="AD2" s="7">
        <f>AB2/AC2</f>
        <v/>
      </c>
    </row>
    <row r="3">
      <c r="A3" t="inlineStr">
        <is>
          <t>zone_323</t>
        </is>
      </c>
      <c r="B3" t="inlineStr">
        <is>
          <t>แยกทางหลวงหมายเลข 9 (กม.ที่ 42+500) - บ้านหนองเพรางาย</t>
        </is>
      </c>
      <c r="C3" t="inlineStr">
        <is>
          <t>นนทบุรี</t>
        </is>
      </c>
      <c r="D3" t="inlineStr">
        <is>
          <t>นบ.1002</t>
        </is>
      </c>
      <c r="E3" t="inlineStr">
        <is>
          <t>3.25–3.31</t>
        </is>
      </c>
      <c r="G3" t="n">
        <v>4</v>
      </c>
      <c r="H3" t="n">
        <v>0</v>
      </c>
      <c r="I3" t="n">
        <v>4</v>
      </c>
      <c r="J3" t="n">
        <v>1</v>
      </c>
      <c r="K3" t="inlineStr">
        <is>
          <t>medium</t>
        </is>
      </c>
      <c r="L3" s="2" t="n">
        <v>19261</v>
      </c>
      <c r="M3" t="inlineStr">
        <is>
          <t>มีค่า</t>
        </is>
      </c>
      <c r="N3" s="6" t="inlineStr">
        <is>
          <t>เปิดลิงก์</t>
        </is>
      </c>
      <c r="O3" t="inlineStr">
        <is>
          <t>ค้น road_code = นบ.1002 → คอลัมน์ sum_AADT</t>
        </is>
      </c>
      <c r="P3" s="2" t="n">
        <v>20230</v>
      </c>
      <c r="Q3" t="inlineStr">
        <is>
          <t>มีค่า</t>
        </is>
      </c>
      <c r="R3" s="6" t="inlineStr">
        <is>
          <t>เปิดลิงก์</t>
        </is>
      </c>
      <c r="S3" t="inlineStr">
        <is>
          <t>ค้น road_code = นบ.1002 → คอลัมน์ sum_AADT</t>
        </is>
      </c>
      <c r="T3" s="2" t="n">
        <v>18338</v>
      </c>
      <c r="U3" t="inlineStr">
        <is>
          <t>มีค่า</t>
        </is>
      </c>
      <c r="V3" s="6" t="inlineStr">
        <is>
          <t>เปิดลิงก์</t>
        </is>
      </c>
      <c r="W3" t="inlineStr">
        <is>
          <t>ค้น road_code = นบ.1002 → คอลัมน์ sum_AADT</t>
        </is>
      </c>
      <c r="X3" t="inlineStr">
        <is>
          <t>ครบ 3 ปี</t>
        </is>
      </c>
      <c r="Y3" s="2">
        <f>AVERAGE(L3,P3,T3)</f>
        <v/>
      </c>
      <c r="Z3" t="n">
        <v>3</v>
      </c>
      <c r="AA3" t="n">
        <v>1</v>
      </c>
      <c r="AB3" s="2">
        <f>G3*1000000</f>
        <v/>
      </c>
      <c r="AC3" s="2">
        <f>365*Z3*Y3*AA3</f>
        <v/>
      </c>
      <c r="AD3" s="7">
        <f>AB3/AC3</f>
        <v/>
      </c>
    </row>
    <row r="4">
      <c r="A4" t="inlineStr">
        <is>
          <t>zone_332</t>
        </is>
      </c>
      <c r="B4" t="inlineStr">
        <is>
          <t>แยกทางหลวงหมายเลข 9 (กม.ที่ 43+490) - อำเภอไทรน้อย</t>
        </is>
      </c>
      <c r="C4" t="inlineStr">
        <is>
          <t>นนทบุรี</t>
        </is>
      </c>
      <c r="D4" t="inlineStr">
        <is>
          <t>นบ.1013</t>
        </is>
      </c>
      <c r="E4" t="inlineStr">
        <is>
          <t>7.75–7.91</t>
        </is>
      </c>
      <c r="G4" t="n">
        <v>4</v>
      </c>
      <c r="H4" t="n">
        <v>0</v>
      </c>
      <c r="I4" t="n">
        <v>4</v>
      </c>
      <c r="J4" t="n">
        <v>1</v>
      </c>
      <c r="K4" t="inlineStr">
        <is>
          <t>medium</t>
        </is>
      </c>
      <c r="L4" s="2" t="n">
        <v>10040</v>
      </c>
      <c r="M4" t="inlineStr">
        <is>
          <t>มีค่า</t>
        </is>
      </c>
      <c r="N4" s="6" t="inlineStr">
        <is>
          <t>เปิดลิงก์</t>
        </is>
      </c>
      <c r="O4" t="inlineStr">
        <is>
          <t>ค้น road_code = นบ.1013 → คอลัมน์ sum_AADT</t>
        </is>
      </c>
      <c r="P4" s="2" t="n">
        <v>10548</v>
      </c>
      <c r="Q4" t="inlineStr">
        <is>
          <t>มีค่า</t>
        </is>
      </c>
      <c r="R4" s="6" t="inlineStr">
        <is>
          <t>เปิดลิงก์</t>
        </is>
      </c>
      <c r="S4" t="inlineStr">
        <is>
          <t>ค้น road_code = นบ.1013 → คอลัมน์ sum_AADT</t>
        </is>
      </c>
      <c r="T4" s="2" t="n">
        <v>9557</v>
      </c>
      <c r="U4" t="inlineStr">
        <is>
          <t>มีค่า</t>
        </is>
      </c>
      <c r="V4" s="6" t="inlineStr">
        <is>
          <t>เปิดลิงก์</t>
        </is>
      </c>
      <c r="W4" t="inlineStr">
        <is>
          <t>ค้น road_code = นบ.1013 → คอลัมน์ sum_AADT</t>
        </is>
      </c>
      <c r="X4" t="inlineStr">
        <is>
          <t>ครบ 3 ปี</t>
        </is>
      </c>
      <c r="Y4" s="2">
        <f>AVERAGE(L4,P4,T4)</f>
        <v/>
      </c>
      <c r="Z4" t="n">
        <v>3</v>
      </c>
      <c r="AA4" t="n">
        <v>1</v>
      </c>
      <c r="AB4" s="2">
        <f>G4*1000000</f>
        <v/>
      </c>
      <c r="AC4" s="2">
        <f>365*Z4*Y4*AA4</f>
        <v/>
      </c>
      <c r="AD4" s="7">
        <f>AB4/AC4</f>
        <v/>
      </c>
    </row>
    <row r="5">
      <c r="A5" t="inlineStr">
        <is>
          <t>zone_390</t>
        </is>
      </c>
      <c r="B5" t="inlineStr">
        <is>
          <t>แยกทางหลวงหมายเลข 305 (กม.ที่ 15+700) - บ้านลำลูกกา</t>
        </is>
      </c>
      <c r="C5" t="inlineStr">
        <is>
          <t>ปทุมธานี</t>
        </is>
      </c>
      <c r="D5" t="inlineStr">
        <is>
          <t>ปท.3004</t>
        </is>
      </c>
      <c r="E5" t="inlineStr">
        <is>
          <t>7.51–7.6</t>
        </is>
      </c>
      <c r="G5" t="n">
        <v>4</v>
      </c>
      <c r="H5" t="n">
        <v>4</v>
      </c>
      <c r="I5" t="n">
        <v>2</v>
      </c>
      <c r="J5" t="n">
        <v>1.5</v>
      </c>
      <c r="K5" t="inlineStr">
        <is>
          <t>medium</t>
        </is>
      </c>
      <c r="L5" s="2" t="n">
        <v>24945</v>
      </c>
      <c r="M5" t="inlineStr">
        <is>
          <t>มีค่า</t>
        </is>
      </c>
      <c r="N5" s="6" t="inlineStr">
        <is>
          <t>เปิดลิงก์</t>
        </is>
      </c>
      <c r="O5" t="inlineStr">
        <is>
          <t>ค้น road_code = ปท.3004 → คอลัมน์ sum_AADT</t>
        </is>
      </c>
      <c r="P5" s="2" t="n">
        <v>26199</v>
      </c>
      <c r="Q5" t="inlineStr">
        <is>
          <t>มีค่า</t>
        </is>
      </c>
      <c r="R5" s="6" t="inlineStr">
        <is>
          <t>เปิดลิงก์</t>
        </is>
      </c>
      <c r="S5" t="inlineStr">
        <is>
          <t>ค้น road_code = ปท.3004 → คอลัมน์ sum_AADT</t>
        </is>
      </c>
      <c r="T5" s="2" t="n">
        <v>27029</v>
      </c>
      <c r="U5" t="inlineStr">
        <is>
          <t>มีค่า</t>
        </is>
      </c>
      <c r="V5" s="6" t="inlineStr">
        <is>
          <t>เปิดลิงก์</t>
        </is>
      </c>
      <c r="W5" t="inlineStr">
        <is>
          <t>ค้น road_code = ปท.3004 → คอลัมน์ sum_AADT</t>
        </is>
      </c>
      <c r="X5" t="inlineStr">
        <is>
          <t>ครบ 3 ปี</t>
        </is>
      </c>
      <c r="Y5" s="2">
        <f>AVERAGE(L5,P5,T5)</f>
        <v/>
      </c>
      <c r="Z5" t="n">
        <v>3</v>
      </c>
      <c r="AA5" t="n">
        <v>1</v>
      </c>
      <c r="AB5" s="2">
        <f>G5*1000000</f>
        <v/>
      </c>
      <c r="AC5" s="2">
        <f>365*Z5*Y5*AA5</f>
        <v/>
      </c>
      <c r="AD5" s="7">
        <f>AB5/AC5</f>
        <v/>
      </c>
    </row>
    <row r="6">
      <c r="A6" t="inlineStr">
        <is>
          <t>zone_410</t>
        </is>
      </c>
      <c r="B6" t="inlineStr">
        <is>
          <t>แยกทางหลวงหมายเลข 305 (กม.ที่ 15+700) - บ้านลำลูกกา</t>
        </is>
      </c>
      <c r="C6" t="inlineStr">
        <is>
          <t>ปทุมธานี</t>
        </is>
      </c>
      <c r="D6" t="inlineStr">
        <is>
          <t>ปท.3004</t>
        </is>
      </c>
      <c r="E6" t="inlineStr">
        <is>
          <t>6.735–7</t>
        </is>
      </c>
      <c r="G6" t="n">
        <v>5</v>
      </c>
      <c r="H6" t="n">
        <v>5</v>
      </c>
      <c r="I6" t="n">
        <v>6</v>
      </c>
      <c r="J6" t="n">
        <v>2.2</v>
      </c>
      <c r="K6" t="inlineStr">
        <is>
          <t>high</t>
        </is>
      </c>
      <c r="L6" s="2" t="n">
        <v>24945</v>
      </c>
      <c r="M6" t="inlineStr">
        <is>
          <t>มีค่า</t>
        </is>
      </c>
      <c r="N6" s="6" t="inlineStr">
        <is>
          <t>เปิดลิงก์</t>
        </is>
      </c>
      <c r="O6" t="inlineStr">
        <is>
          <t>ค้น road_code = ปท.3004 → คอลัมน์ sum_AADT</t>
        </is>
      </c>
      <c r="P6" s="2" t="n">
        <v>26199</v>
      </c>
      <c r="Q6" t="inlineStr">
        <is>
          <t>มีค่า</t>
        </is>
      </c>
      <c r="R6" s="6" t="inlineStr">
        <is>
          <t>เปิดลิงก์</t>
        </is>
      </c>
      <c r="S6" t="inlineStr">
        <is>
          <t>ค้น road_code = ปท.3004 → คอลัมน์ sum_AADT</t>
        </is>
      </c>
      <c r="T6" s="2" t="n">
        <v>27029</v>
      </c>
      <c r="U6" t="inlineStr">
        <is>
          <t>มีค่า</t>
        </is>
      </c>
      <c r="V6" s="6" t="inlineStr">
        <is>
          <t>เปิดลิงก์</t>
        </is>
      </c>
      <c r="W6" t="inlineStr">
        <is>
          <t>ค้น road_code = ปท.3004 → คอลัมน์ sum_AADT</t>
        </is>
      </c>
      <c r="X6" t="inlineStr">
        <is>
          <t>ครบ 3 ปี</t>
        </is>
      </c>
      <c r="Y6" s="2">
        <f>AVERAGE(L6,P6,T6)</f>
        <v/>
      </c>
      <c r="Z6" t="n">
        <v>3</v>
      </c>
      <c r="AA6" t="n">
        <v>1</v>
      </c>
      <c r="AB6" s="2">
        <f>G6*1000000</f>
        <v/>
      </c>
      <c r="AC6" s="2">
        <f>365*Z6*Y6*AA6</f>
        <v/>
      </c>
      <c r="AD6" s="7">
        <f>AB6/AC6</f>
        <v/>
      </c>
    </row>
    <row r="7">
      <c r="A7" t="inlineStr">
        <is>
          <t>zone_447</t>
        </is>
      </c>
      <c r="B7" t="inlineStr">
        <is>
          <t>แยกทางหลวงหมายเลข 305 (กม.ที่ 15+700) - บ้านลำลูกกา</t>
        </is>
      </c>
      <c r="C7" t="inlineStr">
        <is>
          <t>ปทุมธานี</t>
        </is>
      </c>
      <c r="D7" t="inlineStr">
        <is>
          <t>ปท.3004</t>
        </is>
      </c>
      <c r="E7" t="inlineStr">
        <is>
          <t>5.2–5.3</t>
        </is>
      </c>
      <c r="G7" t="n">
        <v>3</v>
      </c>
      <c r="H7" t="n">
        <v>2</v>
      </c>
      <c r="I7" t="n">
        <v>2</v>
      </c>
      <c r="J7" t="n">
        <v>1.3333</v>
      </c>
      <c r="K7" t="inlineStr">
        <is>
          <t>medium</t>
        </is>
      </c>
      <c r="L7" s="2" t="n">
        <v>24945</v>
      </c>
      <c r="M7" t="inlineStr">
        <is>
          <t>มีค่า</t>
        </is>
      </c>
      <c r="N7" s="6" t="inlineStr">
        <is>
          <t>เปิดลิงก์</t>
        </is>
      </c>
      <c r="O7" t="inlineStr">
        <is>
          <t>ค้น road_code = ปท.3004 → คอลัมน์ sum_AADT</t>
        </is>
      </c>
      <c r="P7" s="2" t="n">
        <v>26199</v>
      </c>
      <c r="Q7" t="inlineStr">
        <is>
          <t>มีค่า</t>
        </is>
      </c>
      <c r="R7" s="6" t="inlineStr">
        <is>
          <t>เปิดลิงก์</t>
        </is>
      </c>
      <c r="S7" t="inlineStr">
        <is>
          <t>ค้น road_code = ปท.3004 → คอลัมน์ sum_AADT</t>
        </is>
      </c>
      <c r="T7" s="2" t="n">
        <v>27029</v>
      </c>
      <c r="U7" t="inlineStr">
        <is>
          <t>มีค่า</t>
        </is>
      </c>
      <c r="V7" s="6" t="inlineStr">
        <is>
          <t>เปิดลิงก์</t>
        </is>
      </c>
      <c r="W7" t="inlineStr">
        <is>
          <t>ค้น road_code = ปท.3004 → คอลัมน์ sum_AADT</t>
        </is>
      </c>
      <c r="X7" t="inlineStr">
        <is>
          <t>ครบ 3 ปี</t>
        </is>
      </c>
      <c r="Y7" s="2">
        <f>AVERAGE(L7,P7,T7)</f>
        <v/>
      </c>
      <c r="Z7" t="n">
        <v>3</v>
      </c>
      <c r="AA7" t="n">
        <v>1</v>
      </c>
      <c r="AB7" s="2">
        <f>G7*1000000</f>
        <v/>
      </c>
      <c r="AC7" s="2">
        <f>365*Z7*Y7*AA7</f>
        <v/>
      </c>
      <c r="AD7" s="7">
        <f>AB7/AC7</f>
        <v/>
      </c>
    </row>
    <row r="8">
      <c r="A8" t="inlineStr">
        <is>
          <t>zone_431</t>
        </is>
      </c>
      <c r="B8" t="inlineStr">
        <is>
          <t>แยกทางหลวงหมายเลข 305 (กม.ที่ 18+700) - บ้านคลองแปด</t>
        </is>
      </c>
      <c r="C8" t="inlineStr">
        <is>
          <t>ปทุมธานี</t>
        </is>
      </c>
      <c r="D8" t="inlineStr">
        <is>
          <t>ปท.3006</t>
        </is>
      </c>
      <c r="E8" t="inlineStr">
        <is>
          <t>6.88–6.944</t>
        </is>
      </c>
      <c r="G8" t="n">
        <v>4</v>
      </c>
      <c r="H8" t="n">
        <v>4</v>
      </c>
      <c r="I8" t="n">
        <v>3</v>
      </c>
      <c r="J8" t="n">
        <v>1.75</v>
      </c>
      <c r="K8" t="inlineStr">
        <is>
          <t>medium</t>
        </is>
      </c>
      <c r="L8" s="2" t="n">
        <v>10991</v>
      </c>
      <c r="M8" t="inlineStr">
        <is>
          <t>มีค่า</t>
        </is>
      </c>
      <c r="N8" s="6" t="inlineStr">
        <is>
          <t>เปิดลิงก์</t>
        </is>
      </c>
      <c r="O8" t="inlineStr">
        <is>
          <t>ค้น road_code = ปท.3006 → คอลัมน์ sum_AADT</t>
        </is>
      </c>
      <c r="P8" s="2" t="n">
        <v>11546</v>
      </c>
      <c r="Q8" t="inlineStr">
        <is>
          <t>มีค่า</t>
        </is>
      </c>
      <c r="R8" s="6" t="inlineStr">
        <is>
          <t>เปิดลิงก์</t>
        </is>
      </c>
      <c r="S8" t="inlineStr">
        <is>
          <t>ค้น road_code = ปท.3006 → คอลัมน์ sum_AADT</t>
        </is>
      </c>
      <c r="T8" s="2" t="n">
        <v>10462</v>
      </c>
      <c r="U8" t="inlineStr">
        <is>
          <t>มีค่า</t>
        </is>
      </c>
      <c r="V8" s="6" t="inlineStr">
        <is>
          <t>เปิดลิงก์</t>
        </is>
      </c>
      <c r="W8" t="inlineStr">
        <is>
          <t>ค้น road_code = ปท.3006 → คอลัมน์ sum_AADT</t>
        </is>
      </c>
      <c r="X8" t="inlineStr">
        <is>
          <t>ครบ 3 ปี</t>
        </is>
      </c>
      <c r="Y8" s="2">
        <f>AVERAGE(L8,P8,T8)</f>
        <v/>
      </c>
      <c r="Z8" t="n">
        <v>3</v>
      </c>
      <c r="AA8" t="n">
        <v>1</v>
      </c>
      <c r="AB8" s="2">
        <f>G8*1000000</f>
        <v/>
      </c>
      <c r="AC8" s="2">
        <f>365*Z8*Y8*AA8</f>
        <v/>
      </c>
      <c r="AD8" s="7">
        <f>AB8/AC8</f>
        <v/>
      </c>
    </row>
    <row r="9">
      <c r="A9" t="inlineStr">
        <is>
          <t>zone_322</t>
        </is>
      </c>
      <c r="B9" t="inlineStr">
        <is>
          <t>ถนนราชพฤกษ์ (กม.ที่ 11+000 - 28+000)</t>
        </is>
      </c>
      <c r="C9" t="inlineStr">
        <is>
          <t>นนทบุรี</t>
        </is>
      </c>
      <c r="D9" t="inlineStr">
        <is>
          <t>นบ.3021</t>
        </is>
      </c>
      <c r="E9" t="inlineStr">
        <is>
          <t>24.55–25.2</t>
        </is>
      </c>
      <c r="F9" t="inlineStr">
        <is>
          <t>ถนนราชพฤกษ์ (กม.ที่ 11+000 - 28+000)</t>
        </is>
      </c>
      <c r="G9" t="n">
        <v>3</v>
      </c>
      <c r="H9" t="n">
        <v>0</v>
      </c>
      <c r="I9" t="n">
        <v>3</v>
      </c>
      <c r="J9" t="n">
        <v>1</v>
      </c>
      <c r="K9" t="inlineStr">
        <is>
          <t>medium</t>
        </is>
      </c>
      <c r="L9" s="2" t="inlineStr"/>
      <c r="M9" s="3" t="inlineStr">
        <is>
          <t>ทช. ให้ค่า 0 (ไม่ได้สำรวจ)</t>
        </is>
      </c>
      <c r="N9" s="6" t="inlineStr">
        <is>
          <t>เปิดลิงก์</t>
        </is>
      </c>
      <c r="O9" t="inlineStr">
        <is>
          <t>ค้น road_code = นบ.3021 และ road_name = ถนนราชพฤกษ์ (กม.ที่ 11+000 - 28+000) → คอลัมน์ sum_AADT</t>
        </is>
      </c>
      <c r="P9" s="2" t="inlineStr"/>
      <c r="Q9" s="3" t="inlineStr">
        <is>
          <t>ทช. ให้ค่า 0 (ไม่ได้สำรวจ)</t>
        </is>
      </c>
      <c r="R9" s="6" t="inlineStr">
        <is>
          <t>เปิดลิงก์</t>
        </is>
      </c>
      <c r="S9" t="inlineStr">
        <is>
          <t>ค้น road_code = นบ.3021 และ road_name = ถนนราชพฤกษ์ (กม.ที่ 11+000 - 28+000) → คอลัมน์ sum_AADT</t>
        </is>
      </c>
      <c r="T9" s="2" t="inlineStr"/>
      <c r="U9" s="3" t="inlineStr">
        <is>
          <t>ไม่มีแถวนี้ในไฟล์</t>
        </is>
      </c>
      <c r="V9" s="6" t="inlineStr">
        <is>
          <t>เปิดลิงก์</t>
        </is>
      </c>
      <c r="W9" t="inlineStr">
        <is>
          <t>ค้น road_code = นบ.3021 และ road_name = ถนนราชพฤกษ์ (กม.ที่ 11+000 - 28+000) → คอลัมน์ sum_AADT</t>
        </is>
      </c>
      <c r="X9" s="9" t="inlineStr">
        <is>
          <t>ใช้ค่าที่อธิบดี ทช. เปิดเผย</t>
        </is>
      </c>
      <c r="Y9" s="2" t="n">
        <v>120000</v>
      </c>
      <c r="Z9" t="n">
        <v>3</v>
      </c>
      <c r="AA9" t="n">
        <v>1</v>
      </c>
      <c r="AB9" s="2">
        <f>G9*1000000</f>
        <v/>
      </c>
      <c r="AC9" s="2">
        <f>365*Z9*Y9*AA9</f>
        <v/>
      </c>
      <c r="AD9" s="7">
        <f>AB9/AC9</f>
        <v/>
      </c>
      <c r="AE9" t="inlineStr">
        <is>
          <t>อธิบดีกรมทางหลวงชนบท (นายมนตรี เดชาสกุลสม) 20 มิ.ย. 2568: "ถนนราชพฤกษ์ไม่สามารถรองรับการจราจรที่มีปริมาณหนาแน่นมากถึง 120,000 คันต่อวัน" (โครงการสะพานข้ามคลองมหาสวัสดิ์ กม. 12+850–15+100 อยู่ในตอน กม. 11–28)</t>
        </is>
      </c>
      <c r="AF9" s="6" t="inlineStr">
        <is>
          <t>https://mgronline.com/business/detail/9680000058163</t>
        </is>
      </c>
      <c r="AG9" s="6" t="inlineStr">
        <is>
          <t>https://www.bangkokbiznews.com/business/economic/1185869</t>
        </is>
      </c>
    </row>
    <row r="10">
      <c r="A10" t="inlineStr">
        <is>
          <t>zone_355</t>
        </is>
      </c>
      <c r="B10" t="inlineStr">
        <is>
          <t>ถนนราชพฤกษ์ (กม.ที่ 11+000 - 28+000)</t>
        </is>
      </c>
      <c r="C10" t="inlineStr">
        <is>
          <t>นนทบุรี</t>
        </is>
      </c>
      <c r="D10" t="inlineStr">
        <is>
          <t>นบ.3021</t>
        </is>
      </c>
      <c r="E10" t="inlineStr">
        <is>
          <t>21.78–24.45</t>
        </is>
      </c>
      <c r="F10" t="inlineStr">
        <is>
          <t>ถนนราชพฤกษ์ (กม.ที่ 11+000 - 28+000)</t>
        </is>
      </c>
      <c r="G10" t="n">
        <v>3</v>
      </c>
      <c r="H10" t="n">
        <v>1</v>
      </c>
      <c r="I10" t="n">
        <v>2</v>
      </c>
      <c r="J10" t="n">
        <v>1</v>
      </c>
      <c r="K10" t="inlineStr">
        <is>
          <t>medium</t>
        </is>
      </c>
      <c r="L10" s="2" t="inlineStr"/>
      <c r="M10" s="3" t="inlineStr">
        <is>
          <t>ทช. ให้ค่า 0 (ไม่ได้สำรวจ)</t>
        </is>
      </c>
      <c r="N10" s="6" t="inlineStr">
        <is>
          <t>เปิดลิงก์</t>
        </is>
      </c>
      <c r="O10" t="inlineStr">
        <is>
          <t>ค้น road_code = นบ.3021 และ road_name = ถนนราชพฤกษ์ (กม.ที่ 11+000 - 28+000) → คอลัมน์ sum_AADT</t>
        </is>
      </c>
      <c r="P10" s="2" t="inlineStr"/>
      <c r="Q10" s="3" t="inlineStr">
        <is>
          <t>ทช. ให้ค่า 0 (ไม่ได้สำรวจ)</t>
        </is>
      </c>
      <c r="R10" s="6" t="inlineStr">
        <is>
          <t>เปิดลิงก์</t>
        </is>
      </c>
      <c r="S10" t="inlineStr">
        <is>
          <t>ค้น road_code = นบ.3021 และ road_name = ถนนราชพฤกษ์ (กม.ที่ 11+000 - 28+000) → คอลัมน์ sum_AADT</t>
        </is>
      </c>
      <c r="T10" s="2" t="inlineStr"/>
      <c r="U10" s="3" t="inlineStr">
        <is>
          <t>ไม่มีแถวนี้ในไฟล์</t>
        </is>
      </c>
      <c r="V10" s="6" t="inlineStr">
        <is>
          <t>เปิดลิงก์</t>
        </is>
      </c>
      <c r="W10" t="inlineStr">
        <is>
          <t>ค้น road_code = นบ.3021 และ road_name = ถนนราชพฤกษ์ (กม.ที่ 11+000 - 28+000) → คอลัมน์ sum_AADT</t>
        </is>
      </c>
      <c r="X10" s="9" t="inlineStr">
        <is>
          <t>ใช้ค่าที่อธิบดี ทช. เปิดเผย</t>
        </is>
      </c>
      <c r="Y10" s="2" t="n">
        <v>120000</v>
      </c>
      <c r="Z10" t="n">
        <v>3</v>
      </c>
      <c r="AA10" t="n">
        <v>1</v>
      </c>
      <c r="AB10" s="2">
        <f>G10*1000000</f>
        <v/>
      </c>
      <c r="AC10" s="2">
        <f>365*Z10*Y10*AA10</f>
        <v/>
      </c>
      <c r="AD10" s="7">
        <f>AB10/AC10</f>
        <v/>
      </c>
      <c r="AE10" t="inlineStr">
        <is>
          <t>อธิบดีกรมทางหลวงชนบท (นายมนตรี เดชาสกุลสม) 20 มิ.ย. 2568: "ถนนราชพฤกษ์ไม่สามารถรองรับการจราจรที่มีปริมาณหนาแน่นมากถึง 120,000 คันต่อวัน" (โครงการสะพานข้ามคลองมหาสวัสดิ์ กม. 12+850–15+100 อยู่ในตอน กม. 11–28)</t>
        </is>
      </c>
      <c r="AF10" s="6" t="inlineStr">
        <is>
          <t>https://mgronline.com/business/detail/9680000058163</t>
        </is>
      </c>
      <c r="AG10" s="6" t="inlineStr">
        <is>
          <t>https://www.bangkokbiznews.com/business/economic/1185869</t>
        </is>
      </c>
    </row>
    <row r="11">
      <c r="A11" t="inlineStr">
        <is>
          <t>zone_169</t>
        </is>
      </c>
      <c r="B11" t="inlineStr">
        <is>
          <t>ถนนวงแหวนอุตสาหกรรมเข้าสะพานภูมิพลที่ 1</t>
        </is>
      </c>
      <c r="C11" t="inlineStr">
        <is>
          <t>กรุงเทพมหานคร</t>
        </is>
      </c>
      <c r="D11" t="inlineStr">
        <is>
          <t>ส.012</t>
        </is>
      </c>
      <c r="E11" t="inlineStr">
        <is>
          <t>0.02–0.6</t>
        </is>
      </c>
      <c r="G11" t="n">
        <v>8</v>
      </c>
      <c r="H11" t="n">
        <v>0</v>
      </c>
      <c r="I11" t="n">
        <v>7</v>
      </c>
      <c r="J11" t="n">
        <v>0.875</v>
      </c>
      <c r="K11" t="inlineStr">
        <is>
          <t>low</t>
        </is>
      </c>
      <c r="L11" s="2" t="inlineStr"/>
      <c r="M11" s="3" t="inlineStr">
        <is>
          <t>ทช. ให้ค่า 0 (ไม่ได้สำรวจ)</t>
        </is>
      </c>
      <c r="N11" s="6" t="inlineStr">
        <is>
          <t>เปิดลิงก์</t>
        </is>
      </c>
      <c r="O11" t="inlineStr">
        <is>
          <t>ค้น road_code = ส.012 → คอลัมน์ sum_AADT</t>
        </is>
      </c>
      <c r="P11" s="2" t="inlineStr"/>
      <c r="Q11" s="3" t="inlineStr">
        <is>
          <t>ทช. ให้ค่า 0 (ไม่ได้สำรวจ)</t>
        </is>
      </c>
      <c r="R11" s="6" t="inlineStr">
        <is>
          <t>เปิดลิงก์</t>
        </is>
      </c>
      <c r="S11" t="inlineStr">
        <is>
          <t>ค้น road_code = ส.012 → คอลัมน์ sum_AADT</t>
        </is>
      </c>
      <c r="T11" s="2" t="inlineStr"/>
      <c r="U11" s="3" t="inlineStr">
        <is>
          <t>ไม่มีแถวนี้ในไฟล์</t>
        </is>
      </c>
      <c r="V11" s="6" t="inlineStr">
        <is>
          <t>เปิดลิงก์</t>
        </is>
      </c>
      <c r="W11" t="inlineStr">
        <is>
          <t>ค้น road_code = ส.012 → คอลัมน์ sum_AADT</t>
        </is>
      </c>
      <c r="X11" s="9" t="inlineStr">
        <is>
          <t>ใช้ค่าที่อธิบดี ทช. เปิดเผย</t>
        </is>
      </c>
      <c r="Y11" s="2" t="n">
        <v>90303</v>
      </c>
      <c r="Z11" t="n">
        <v>3</v>
      </c>
      <c r="AA11" t="n">
        <v>1</v>
      </c>
      <c r="AB11" s="2">
        <f>G11*1000000</f>
        <v/>
      </c>
      <c r="AC11" s="2">
        <f>365*Z11*Y11*AA11</f>
        <v/>
      </c>
      <c r="AD11" s="7">
        <f>AB11/AC11</f>
        <v/>
      </c>
      <c r="AE11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11" s="6" t="inlineStr">
        <is>
          <t>https://mgronline.com/business/detail/9690000025473</t>
        </is>
      </c>
      <c r="AG11" s="6" t="inlineStr">
        <is>
          <t>https://www.fm91bkk.com/newsarticle/68309</t>
        </is>
      </c>
    </row>
    <row r="12">
      <c r="A12" t="inlineStr">
        <is>
          <t>zone_170</t>
        </is>
      </c>
      <c r="B12" t="inlineStr">
        <is>
          <t>ถนนวงแหวนอุตสาหกรรมเข้าสะพานภูมิพลที่ 1</t>
        </is>
      </c>
      <c r="C12" t="inlineStr">
        <is>
          <t>สมุทรปราการ</t>
        </is>
      </c>
      <c r="D12" t="inlineStr">
        <is>
          <t>ส.012</t>
        </is>
      </c>
      <c r="E12" t="inlineStr">
        <is>
          <t>0.4–2.55</t>
        </is>
      </c>
      <c r="G12" t="n">
        <v>63</v>
      </c>
      <c r="H12" t="n">
        <v>3</v>
      </c>
      <c r="I12" t="n">
        <v>36</v>
      </c>
      <c r="J12" t="n">
        <v>0.619</v>
      </c>
      <c r="K12" t="inlineStr">
        <is>
          <t>low</t>
        </is>
      </c>
      <c r="L12" s="2" t="inlineStr"/>
      <c r="M12" s="3" t="inlineStr">
        <is>
          <t>ทช. ให้ค่า 0 (ไม่ได้สำรวจ)</t>
        </is>
      </c>
      <c r="N12" s="6" t="inlineStr">
        <is>
          <t>เปิดลิงก์</t>
        </is>
      </c>
      <c r="O12" t="inlineStr">
        <is>
          <t>ค้น road_code = ส.012 → คอลัมน์ sum_AADT</t>
        </is>
      </c>
      <c r="P12" s="2" t="inlineStr"/>
      <c r="Q12" s="3" t="inlineStr">
        <is>
          <t>ทช. ให้ค่า 0 (ไม่ได้สำรวจ)</t>
        </is>
      </c>
      <c r="R12" s="6" t="inlineStr">
        <is>
          <t>เปิดลิงก์</t>
        </is>
      </c>
      <c r="S12" t="inlineStr">
        <is>
          <t>ค้น road_code = ส.012 → คอลัมน์ sum_AADT</t>
        </is>
      </c>
      <c r="T12" s="2" t="inlineStr"/>
      <c r="U12" s="3" t="inlineStr">
        <is>
          <t>ไม่มีแถวนี้ในไฟล์</t>
        </is>
      </c>
      <c r="V12" s="6" t="inlineStr">
        <is>
          <t>เปิดลิงก์</t>
        </is>
      </c>
      <c r="W12" t="inlineStr">
        <is>
          <t>ค้น road_code = ส.012 → คอลัมน์ sum_AADT</t>
        </is>
      </c>
      <c r="X12" s="9" t="inlineStr">
        <is>
          <t>ใช้ค่าที่อธิบดี ทช. เปิดเผย</t>
        </is>
      </c>
      <c r="Y12" s="2" t="n">
        <v>90303</v>
      </c>
      <c r="Z12" t="n">
        <v>3</v>
      </c>
      <c r="AA12" t="n">
        <v>1</v>
      </c>
      <c r="AB12" s="2">
        <f>G12*1000000</f>
        <v/>
      </c>
      <c r="AC12" s="2">
        <f>365*Z12*Y12*AA12</f>
        <v/>
      </c>
      <c r="AD12" s="7">
        <f>AB12/AC12</f>
        <v/>
      </c>
      <c r="AE12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12" s="6" t="inlineStr">
        <is>
          <t>https://mgronline.com/business/detail/9690000025473</t>
        </is>
      </c>
      <c r="AG12" s="6" t="inlineStr">
        <is>
          <t>https://www.fm91bkk.com/newsarticle/68309</t>
        </is>
      </c>
    </row>
    <row r="13">
      <c r="A13" t="inlineStr">
        <is>
          <t>zone_171</t>
        </is>
      </c>
      <c r="B13" t="inlineStr">
        <is>
          <t>ถนนวงแหวนอุตสาหกรรมเข้าสะพานภูมิพลที่ 1</t>
        </is>
      </c>
      <c r="C13" t="inlineStr">
        <is>
          <t>สมุทรปราการ</t>
        </is>
      </c>
      <c r="D13" t="inlineStr">
        <is>
          <t>ส.012</t>
        </is>
      </c>
      <c r="E13" t="inlineStr">
        <is>
          <t>0.1–2.987</t>
        </is>
      </c>
      <c r="G13" t="n">
        <v>9</v>
      </c>
      <c r="H13" t="n">
        <v>0</v>
      </c>
      <c r="I13" t="n">
        <v>5</v>
      </c>
      <c r="J13" t="n">
        <v>0.5556</v>
      </c>
      <c r="K13" t="inlineStr">
        <is>
          <t>low</t>
        </is>
      </c>
      <c r="L13" s="2" t="inlineStr"/>
      <c r="M13" s="3" t="inlineStr">
        <is>
          <t>ทช. ให้ค่า 0 (ไม่ได้สำรวจ)</t>
        </is>
      </c>
      <c r="N13" s="6" t="inlineStr">
        <is>
          <t>เปิดลิงก์</t>
        </is>
      </c>
      <c r="O13" t="inlineStr">
        <is>
          <t>ค้น road_code = ส.012 → คอลัมน์ sum_AADT</t>
        </is>
      </c>
      <c r="P13" s="2" t="inlineStr"/>
      <c r="Q13" s="3" t="inlineStr">
        <is>
          <t>ทช. ให้ค่า 0 (ไม่ได้สำรวจ)</t>
        </is>
      </c>
      <c r="R13" s="6" t="inlineStr">
        <is>
          <t>เปิดลิงก์</t>
        </is>
      </c>
      <c r="S13" t="inlineStr">
        <is>
          <t>ค้น road_code = ส.012 → คอลัมน์ sum_AADT</t>
        </is>
      </c>
      <c r="T13" s="2" t="inlineStr"/>
      <c r="U13" s="3" t="inlineStr">
        <is>
          <t>ไม่มีแถวนี้ในไฟล์</t>
        </is>
      </c>
      <c r="V13" s="6" t="inlineStr">
        <is>
          <t>เปิดลิงก์</t>
        </is>
      </c>
      <c r="W13" t="inlineStr">
        <is>
          <t>ค้น road_code = ส.012 → คอลัมน์ sum_AADT</t>
        </is>
      </c>
      <c r="X13" s="9" t="inlineStr">
        <is>
          <t>ใช้ค่าที่อธิบดี ทช. เปิดเผย</t>
        </is>
      </c>
      <c r="Y13" s="2" t="n">
        <v>90303</v>
      </c>
      <c r="Z13" t="n">
        <v>3</v>
      </c>
      <c r="AA13" t="n">
        <v>1</v>
      </c>
      <c r="AB13" s="2">
        <f>G13*1000000</f>
        <v/>
      </c>
      <c r="AC13" s="2">
        <f>365*Z13*Y13*AA13</f>
        <v/>
      </c>
      <c r="AD13" s="7">
        <f>AB13/AC13</f>
        <v/>
      </c>
      <c r="AE13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13" s="6" t="inlineStr">
        <is>
          <t>https://mgronline.com/business/detail/9690000025473</t>
        </is>
      </c>
      <c r="AG13" s="6" t="inlineStr">
        <is>
          <t>https://www.fm91bkk.com/newsarticle/68309</t>
        </is>
      </c>
    </row>
    <row r="14">
      <c r="A14" t="inlineStr">
        <is>
          <t>zone_172</t>
        </is>
      </c>
      <c r="B14" t="inlineStr">
        <is>
          <t>ถนนวงแหวนอุตสาหกรรมเข้าสะพานภูมิพลที่ 1</t>
        </is>
      </c>
      <c r="C14" t="inlineStr">
        <is>
          <t>สมุทรปราการ</t>
        </is>
      </c>
      <c r="D14" t="inlineStr">
        <is>
          <t>ส.012</t>
        </is>
      </c>
      <c r="E14" t="inlineStr">
        <is>
          <t>0.9–1</t>
        </is>
      </c>
      <c r="G14" t="n">
        <v>3</v>
      </c>
      <c r="H14" t="n">
        <v>0</v>
      </c>
      <c r="I14" t="n">
        <v>1</v>
      </c>
      <c r="J14" t="n">
        <v>0.3333</v>
      </c>
      <c r="K14" t="inlineStr">
        <is>
          <t>low</t>
        </is>
      </c>
      <c r="L14" s="2" t="inlineStr"/>
      <c r="M14" s="3" t="inlineStr">
        <is>
          <t>ทช. ให้ค่า 0 (ไม่ได้สำรวจ)</t>
        </is>
      </c>
      <c r="N14" s="6" t="inlineStr">
        <is>
          <t>เปิดลิงก์</t>
        </is>
      </c>
      <c r="O14" t="inlineStr">
        <is>
          <t>ค้น road_code = ส.012 → คอลัมน์ sum_AADT</t>
        </is>
      </c>
      <c r="P14" s="2" t="inlineStr"/>
      <c r="Q14" s="3" t="inlineStr">
        <is>
          <t>ทช. ให้ค่า 0 (ไม่ได้สำรวจ)</t>
        </is>
      </c>
      <c r="R14" s="6" t="inlineStr">
        <is>
          <t>เปิดลิงก์</t>
        </is>
      </c>
      <c r="S14" t="inlineStr">
        <is>
          <t>ค้น road_code = ส.012 → คอลัมน์ sum_AADT</t>
        </is>
      </c>
      <c r="T14" s="2" t="inlineStr"/>
      <c r="U14" s="3" t="inlineStr">
        <is>
          <t>ไม่มีแถวนี้ในไฟล์</t>
        </is>
      </c>
      <c r="V14" s="6" t="inlineStr">
        <is>
          <t>เปิดลิงก์</t>
        </is>
      </c>
      <c r="W14" t="inlineStr">
        <is>
          <t>ค้น road_code = ส.012 → คอลัมน์ sum_AADT</t>
        </is>
      </c>
      <c r="X14" s="9" t="inlineStr">
        <is>
          <t>ใช้ค่าที่อธิบดี ทช. เปิดเผย</t>
        </is>
      </c>
      <c r="Y14" s="2" t="n">
        <v>90303</v>
      </c>
      <c r="Z14" t="n">
        <v>3</v>
      </c>
      <c r="AA14" t="n">
        <v>1</v>
      </c>
      <c r="AB14" s="2">
        <f>G14*1000000</f>
        <v/>
      </c>
      <c r="AC14" s="2">
        <f>365*Z14*Y14*AA14</f>
        <v/>
      </c>
      <c r="AD14" s="7">
        <f>AB14/AC14</f>
        <v/>
      </c>
      <c r="AE14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14" s="6" t="inlineStr">
        <is>
          <t>https://mgronline.com/business/detail/9690000025473</t>
        </is>
      </c>
      <c r="AG14" s="6" t="inlineStr">
        <is>
          <t>https://www.fm91bkk.com/newsarticle/68309</t>
        </is>
      </c>
    </row>
    <row r="15">
      <c r="A15" t="inlineStr">
        <is>
          <t>zone_178</t>
        </is>
      </c>
      <c r="B15" t="inlineStr">
        <is>
          <t>ทางเข้าถนนสุขสวัสดิ์สู่ถนนวงแหวนอุตสาหกรรม</t>
        </is>
      </c>
      <c r="C15" t="inlineStr">
        <is>
          <t>กรุงเทพมหานคร</t>
        </is>
      </c>
      <c r="D15" t="inlineStr">
        <is>
          <t>ส.012</t>
        </is>
      </c>
      <c r="E15" t="inlineStr">
        <is>
          <t>0.02–0.392</t>
        </is>
      </c>
      <c r="G15" t="n">
        <v>9</v>
      </c>
      <c r="H15" t="n">
        <v>0</v>
      </c>
      <c r="I15" t="n">
        <v>0</v>
      </c>
      <c r="J15" t="n">
        <v>0</v>
      </c>
      <c r="K15" t="inlineStr">
        <is>
          <t>low</t>
        </is>
      </c>
      <c r="L15" s="2" t="inlineStr"/>
      <c r="M15" s="3" t="inlineStr">
        <is>
          <t>ทช. ให้ค่า 0 (ไม่ได้สำรวจ)</t>
        </is>
      </c>
      <c r="N15" s="6" t="inlineStr">
        <is>
          <t>เปิดลิงก์</t>
        </is>
      </c>
      <c r="O15" t="inlineStr">
        <is>
          <t>ค้น road_code = ส.012 → คอลัมน์ sum_AADT</t>
        </is>
      </c>
      <c r="P15" s="2" t="inlineStr"/>
      <c r="Q15" s="3" t="inlineStr">
        <is>
          <t>ทช. ให้ค่า 0 (ไม่ได้สำรวจ)</t>
        </is>
      </c>
      <c r="R15" s="6" t="inlineStr">
        <is>
          <t>เปิดลิงก์</t>
        </is>
      </c>
      <c r="S15" t="inlineStr">
        <is>
          <t>ค้น road_code = ส.012 → คอลัมน์ sum_AADT</t>
        </is>
      </c>
      <c r="T15" s="2" t="inlineStr"/>
      <c r="U15" s="3" t="inlineStr">
        <is>
          <t>ไม่มีแถวนี้ในไฟล์</t>
        </is>
      </c>
      <c r="V15" s="6" t="inlineStr">
        <is>
          <t>เปิดลิงก์</t>
        </is>
      </c>
      <c r="W15" t="inlineStr">
        <is>
          <t>ค้น road_code = ส.012 → คอลัมน์ sum_AADT</t>
        </is>
      </c>
      <c r="X15" s="9" t="inlineStr">
        <is>
          <t>ใช้ค่าที่อธิบดี ทช. เปิดเผย</t>
        </is>
      </c>
      <c r="Y15" s="2" t="n">
        <v>90303</v>
      </c>
      <c r="Z15" t="n">
        <v>3</v>
      </c>
      <c r="AA15" t="n">
        <v>1</v>
      </c>
      <c r="AB15" s="2">
        <f>G15*1000000</f>
        <v/>
      </c>
      <c r="AC15" s="2">
        <f>365*Z15*Y15*AA15</f>
        <v/>
      </c>
      <c r="AD15" s="7">
        <f>AB15/AC15</f>
        <v/>
      </c>
      <c r="AE15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15" s="6" t="inlineStr">
        <is>
          <t>https://mgronline.com/business/detail/9690000025473</t>
        </is>
      </c>
      <c r="AG15" s="6" t="inlineStr">
        <is>
          <t>https://www.fm91bkk.com/newsarticle/68309</t>
        </is>
      </c>
    </row>
    <row r="16">
      <c r="A16" t="inlineStr">
        <is>
          <t>zone_184</t>
        </is>
      </c>
      <c r="B16" t="inlineStr">
        <is>
          <t>สะพานภูมิพลที่ 2 ไปสะพานภูมิพลที่ 1</t>
        </is>
      </c>
      <c r="C16" t="inlineStr">
        <is>
          <t>สมุทรปราการ</t>
        </is>
      </c>
      <c r="D16" t="inlineStr">
        <is>
          <t>ส.012</t>
        </is>
      </c>
      <c r="E16" t="inlineStr">
        <is>
          <t>2.2–3.3</t>
        </is>
      </c>
      <c r="G16" t="n">
        <v>22</v>
      </c>
      <c r="H16" t="n">
        <v>0</v>
      </c>
      <c r="I16" t="n">
        <v>17</v>
      </c>
      <c r="J16" t="n">
        <v>0.7727000000000001</v>
      </c>
      <c r="K16" t="inlineStr">
        <is>
          <t>low</t>
        </is>
      </c>
      <c r="L16" s="2" t="inlineStr"/>
      <c r="M16" s="3" t="inlineStr">
        <is>
          <t>ทช. ให้ค่า 0 (ไม่ได้สำรวจ)</t>
        </is>
      </c>
      <c r="N16" s="6" t="inlineStr">
        <is>
          <t>เปิดลิงก์</t>
        </is>
      </c>
      <c r="O16" t="inlineStr">
        <is>
          <t>ค้น road_code = ส.012 → คอลัมน์ sum_AADT</t>
        </is>
      </c>
      <c r="P16" s="2" t="inlineStr"/>
      <c r="Q16" s="3" t="inlineStr">
        <is>
          <t>ทช. ให้ค่า 0 (ไม่ได้สำรวจ)</t>
        </is>
      </c>
      <c r="R16" s="6" t="inlineStr">
        <is>
          <t>เปิดลิงก์</t>
        </is>
      </c>
      <c r="S16" t="inlineStr">
        <is>
          <t>ค้น road_code = ส.012 → คอลัมน์ sum_AADT</t>
        </is>
      </c>
      <c r="T16" s="2" t="inlineStr"/>
      <c r="U16" s="3" t="inlineStr">
        <is>
          <t>ไม่มีแถวนี้ในไฟล์</t>
        </is>
      </c>
      <c r="V16" s="6" t="inlineStr">
        <is>
          <t>เปิดลิงก์</t>
        </is>
      </c>
      <c r="W16" t="inlineStr">
        <is>
          <t>ค้น road_code = ส.012 → คอลัมน์ sum_AADT</t>
        </is>
      </c>
      <c r="X16" s="9" t="inlineStr">
        <is>
          <t>ใช้ค่าที่อธิบดี ทช. เปิดเผย</t>
        </is>
      </c>
      <c r="Y16" s="2" t="n">
        <v>90303</v>
      </c>
      <c r="Z16" t="n">
        <v>3</v>
      </c>
      <c r="AA16" t="n">
        <v>1</v>
      </c>
      <c r="AB16" s="2">
        <f>G16*1000000</f>
        <v/>
      </c>
      <c r="AC16" s="2">
        <f>365*Z16*Y16*AA16</f>
        <v/>
      </c>
      <c r="AD16" s="7">
        <f>AB16/AC16</f>
        <v/>
      </c>
      <c r="AE16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16" s="6" t="inlineStr">
        <is>
          <t>https://mgronline.com/business/detail/9690000025473</t>
        </is>
      </c>
      <c r="AG16" s="6" t="inlineStr">
        <is>
          <t>https://www.fm91bkk.com/newsarticle/68309</t>
        </is>
      </c>
    </row>
    <row r="17">
      <c r="A17" t="inlineStr">
        <is>
          <t>zone_185</t>
        </is>
      </c>
      <c r="B17" t="inlineStr">
        <is>
          <t>สะพานภูมิพลที่ 2 ไปสะพานภูมิพลที่ 1</t>
        </is>
      </c>
      <c r="C17" t="inlineStr">
        <is>
          <t>กรุงเทพมหานคร</t>
        </is>
      </c>
      <c r="D17" t="inlineStr">
        <is>
          <t>ส.012</t>
        </is>
      </c>
      <c r="E17" t="inlineStr">
        <is>
          <t>0.7–4.275</t>
        </is>
      </c>
      <c r="G17" t="n">
        <v>12</v>
      </c>
      <c r="H17" t="n">
        <v>0</v>
      </c>
      <c r="I17" t="n">
        <v>10</v>
      </c>
      <c r="J17" t="n">
        <v>0.8333</v>
      </c>
      <c r="K17" t="inlineStr">
        <is>
          <t>low</t>
        </is>
      </c>
      <c r="L17" s="2" t="inlineStr"/>
      <c r="M17" s="3" t="inlineStr">
        <is>
          <t>ทช. ให้ค่า 0 (ไม่ได้สำรวจ)</t>
        </is>
      </c>
      <c r="N17" s="6" t="inlineStr">
        <is>
          <t>เปิดลิงก์</t>
        </is>
      </c>
      <c r="O17" t="inlineStr">
        <is>
          <t>ค้น road_code = ส.012 → คอลัมน์ sum_AADT</t>
        </is>
      </c>
      <c r="P17" s="2" t="inlineStr"/>
      <c r="Q17" s="3" t="inlineStr">
        <is>
          <t>ทช. ให้ค่า 0 (ไม่ได้สำรวจ)</t>
        </is>
      </c>
      <c r="R17" s="6" t="inlineStr">
        <is>
          <t>เปิดลิงก์</t>
        </is>
      </c>
      <c r="S17" t="inlineStr">
        <is>
          <t>ค้น road_code = ส.012 → คอลัมน์ sum_AADT</t>
        </is>
      </c>
      <c r="T17" s="2" t="inlineStr"/>
      <c r="U17" s="3" t="inlineStr">
        <is>
          <t>ไม่มีแถวนี้ในไฟล์</t>
        </is>
      </c>
      <c r="V17" s="6" t="inlineStr">
        <is>
          <t>เปิดลิงก์</t>
        </is>
      </c>
      <c r="W17" t="inlineStr">
        <is>
          <t>ค้น road_code = ส.012 → คอลัมน์ sum_AADT</t>
        </is>
      </c>
      <c r="X17" s="9" t="inlineStr">
        <is>
          <t>ใช้ค่าที่อธิบดี ทช. เปิดเผย</t>
        </is>
      </c>
      <c r="Y17" s="2" t="n">
        <v>90303</v>
      </c>
      <c r="Z17" t="n">
        <v>3</v>
      </c>
      <c r="AA17" t="n">
        <v>1</v>
      </c>
      <c r="AB17" s="2">
        <f>G17*1000000</f>
        <v/>
      </c>
      <c r="AC17" s="2">
        <f>365*Z17*Y17*AA17</f>
        <v/>
      </c>
      <c r="AD17" s="7">
        <f>AB17/AC17</f>
        <v/>
      </c>
      <c r="AE17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17" s="6" t="inlineStr">
        <is>
          <t>https://mgronline.com/business/detail/9690000025473</t>
        </is>
      </c>
      <c r="AG17" s="6" t="inlineStr">
        <is>
          <t>https://www.fm91bkk.com/newsarticle/68309</t>
        </is>
      </c>
    </row>
    <row r="18">
      <c r="A18" t="inlineStr">
        <is>
          <t>zone_186</t>
        </is>
      </c>
      <c r="B18" t="inlineStr">
        <is>
          <t>สะพานภูมิพลที่ 2 ไปสะพานภูมิพลที่ 1</t>
        </is>
      </c>
      <c r="C18" t="inlineStr">
        <is>
          <t>กรุงเทพมหานคร</t>
        </is>
      </c>
      <c r="D18" t="inlineStr">
        <is>
          <t>ส.012</t>
        </is>
      </c>
      <c r="E18" t="inlineStr">
        <is>
          <t>3.9–4</t>
        </is>
      </c>
      <c r="G18" t="n">
        <v>4</v>
      </c>
      <c r="H18" t="n">
        <v>0</v>
      </c>
      <c r="I18" t="n">
        <v>5</v>
      </c>
      <c r="J18" t="n">
        <v>1.25</v>
      </c>
      <c r="K18" t="inlineStr">
        <is>
          <t>medium</t>
        </is>
      </c>
      <c r="L18" s="2" t="inlineStr"/>
      <c r="M18" s="3" t="inlineStr">
        <is>
          <t>ทช. ให้ค่า 0 (ไม่ได้สำรวจ)</t>
        </is>
      </c>
      <c r="N18" s="6" t="inlineStr">
        <is>
          <t>เปิดลิงก์</t>
        </is>
      </c>
      <c r="O18" t="inlineStr">
        <is>
          <t>ค้น road_code = ส.012 → คอลัมน์ sum_AADT</t>
        </is>
      </c>
      <c r="P18" s="2" t="inlineStr"/>
      <c r="Q18" s="3" t="inlineStr">
        <is>
          <t>ทช. ให้ค่า 0 (ไม่ได้สำรวจ)</t>
        </is>
      </c>
      <c r="R18" s="6" t="inlineStr">
        <is>
          <t>เปิดลิงก์</t>
        </is>
      </c>
      <c r="S18" t="inlineStr">
        <is>
          <t>ค้น road_code = ส.012 → คอลัมน์ sum_AADT</t>
        </is>
      </c>
      <c r="T18" s="2" t="inlineStr"/>
      <c r="U18" s="3" t="inlineStr">
        <is>
          <t>ไม่มีแถวนี้ในไฟล์</t>
        </is>
      </c>
      <c r="V18" s="6" t="inlineStr">
        <is>
          <t>เปิดลิงก์</t>
        </is>
      </c>
      <c r="W18" t="inlineStr">
        <is>
          <t>ค้น road_code = ส.012 → คอลัมน์ sum_AADT</t>
        </is>
      </c>
      <c r="X18" s="9" t="inlineStr">
        <is>
          <t>ใช้ค่าที่อธิบดี ทช. เปิดเผย</t>
        </is>
      </c>
      <c r="Y18" s="2" t="n">
        <v>90303</v>
      </c>
      <c r="Z18" t="n">
        <v>3</v>
      </c>
      <c r="AA18" t="n">
        <v>1</v>
      </c>
      <c r="AB18" s="2">
        <f>G18*1000000</f>
        <v/>
      </c>
      <c r="AC18" s="2">
        <f>365*Z18*Y18*AA18</f>
        <v/>
      </c>
      <c r="AD18" s="7">
        <f>AB18/AC18</f>
        <v/>
      </c>
      <c r="AE18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18" s="6" t="inlineStr">
        <is>
          <t>https://mgronline.com/business/detail/9690000025473</t>
        </is>
      </c>
      <c r="AG18" s="6" t="inlineStr">
        <is>
          <t>https://www.fm91bkk.com/newsarticle/68309</t>
        </is>
      </c>
    </row>
    <row r="19">
      <c r="A19" t="inlineStr">
        <is>
          <t>zone_187</t>
        </is>
      </c>
      <c r="B19" t="inlineStr">
        <is>
          <t>สะพานภูมิพลที่ 2 ไปสะพานภูมิพลที่ 1</t>
        </is>
      </c>
      <c r="C19" t="inlineStr">
        <is>
          <t>กรุงเทพมหานคร</t>
        </is>
      </c>
      <c r="D19" t="inlineStr">
        <is>
          <t>ส.012</t>
        </is>
      </c>
      <c r="E19" t="inlineStr">
        <is>
          <t>0.1–5</t>
        </is>
      </c>
      <c r="G19" t="n">
        <v>11</v>
      </c>
      <c r="H19" t="n">
        <v>0</v>
      </c>
      <c r="I19" t="n">
        <v>11</v>
      </c>
      <c r="J19" t="n">
        <v>1</v>
      </c>
      <c r="K19" t="inlineStr">
        <is>
          <t>medium</t>
        </is>
      </c>
      <c r="L19" s="2" t="inlineStr"/>
      <c r="M19" s="3" t="inlineStr">
        <is>
          <t>ทช. ให้ค่า 0 (ไม่ได้สำรวจ)</t>
        </is>
      </c>
      <c r="N19" s="6" t="inlineStr">
        <is>
          <t>เปิดลิงก์</t>
        </is>
      </c>
      <c r="O19" t="inlineStr">
        <is>
          <t>ค้น road_code = ส.012 → คอลัมน์ sum_AADT</t>
        </is>
      </c>
      <c r="P19" s="2" t="inlineStr"/>
      <c r="Q19" s="3" t="inlineStr">
        <is>
          <t>ทช. ให้ค่า 0 (ไม่ได้สำรวจ)</t>
        </is>
      </c>
      <c r="R19" s="6" t="inlineStr">
        <is>
          <t>เปิดลิงก์</t>
        </is>
      </c>
      <c r="S19" t="inlineStr">
        <is>
          <t>ค้น road_code = ส.012 → คอลัมน์ sum_AADT</t>
        </is>
      </c>
      <c r="T19" s="2" t="inlineStr"/>
      <c r="U19" s="3" t="inlineStr">
        <is>
          <t>ไม่มีแถวนี้ในไฟล์</t>
        </is>
      </c>
      <c r="V19" s="6" t="inlineStr">
        <is>
          <t>เปิดลิงก์</t>
        </is>
      </c>
      <c r="W19" t="inlineStr">
        <is>
          <t>ค้น road_code = ส.012 → คอลัมน์ sum_AADT</t>
        </is>
      </c>
      <c r="X19" s="9" t="inlineStr">
        <is>
          <t>ใช้ค่าที่อธิบดี ทช. เปิดเผย</t>
        </is>
      </c>
      <c r="Y19" s="2" t="n">
        <v>90303</v>
      </c>
      <c r="Z19" t="n">
        <v>3</v>
      </c>
      <c r="AA19" t="n">
        <v>1</v>
      </c>
      <c r="AB19" s="2">
        <f>G19*1000000</f>
        <v/>
      </c>
      <c r="AC19" s="2">
        <f>365*Z19*Y19*AA19</f>
        <v/>
      </c>
      <c r="AD19" s="7">
        <f>AB19/AC19</f>
        <v/>
      </c>
      <c r="AE19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19" s="6" t="inlineStr">
        <is>
          <t>https://mgronline.com/business/detail/9690000025473</t>
        </is>
      </c>
      <c r="AG19" s="6" t="inlineStr">
        <is>
          <t>https://www.fm91bkk.com/newsarticle/68309</t>
        </is>
      </c>
    </row>
    <row r="20">
      <c r="A20" t="inlineStr">
        <is>
          <t>zone_188</t>
        </is>
      </c>
      <c r="B20" t="inlineStr">
        <is>
          <t>สะพานภูมิพลที่ 2 ไปสะพานภูมิพลที่ 1</t>
        </is>
      </c>
      <c r="C20" t="inlineStr">
        <is>
          <t>กรุงเทพมหานคร</t>
        </is>
      </c>
      <c r="D20" t="inlineStr">
        <is>
          <t>ส.012</t>
        </is>
      </c>
      <c r="E20" t="inlineStr">
        <is>
          <t>3.6–3.7</t>
        </is>
      </c>
      <c r="G20" t="n">
        <v>3</v>
      </c>
      <c r="H20" t="n">
        <v>0</v>
      </c>
      <c r="I20" t="n">
        <v>1</v>
      </c>
      <c r="J20" t="n">
        <v>0.3333</v>
      </c>
      <c r="K20" t="inlineStr">
        <is>
          <t>low</t>
        </is>
      </c>
      <c r="L20" s="2" t="inlineStr"/>
      <c r="M20" s="3" t="inlineStr">
        <is>
          <t>ทช. ให้ค่า 0 (ไม่ได้สำรวจ)</t>
        </is>
      </c>
      <c r="N20" s="6" t="inlineStr">
        <is>
          <t>เปิดลิงก์</t>
        </is>
      </c>
      <c r="O20" t="inlineStr">
        <is>
          <t>ค้น road_code = ส.012 → คอลัมน์ sum_AADT</t>
        </is>
      </c>
      <c r="P20" s="2" t="inlineStr"/>
      <c r="Q20" s="3" t="inlineStr">
        <is>
          <t>ทช. ให้ค่า 0 (ไม่ได้สำรวจ)</t>
        </is>
      </c>
      <c r="R20" s="6" t="inlineStr">
        <is>
          <t>เปิดลิงก์</t>
        </is>
      </c>
      <c r="S20" t="inlineStr">
        <is>
          <t>ค้น road_code = ส.012 → คอลัมน์ sum_AADT</t>
        </is>
      </c>
      <c r="T20" s="2" t="inlineStr"/>
      <c r="U20" s="3" t="inlineStr">
        <is>
          <t>ไม่มีแถวนี้ในไฟล์</t>
        </is>
      </c>
      <c r="V20" s="6" t="inlineStr">
        <is>
          <t>เปิดลิงก์</t>
        </is>
      </c>
      <c r="W20" t="inlineStr">
        <is>
          <t>ค้น road_code = ส.012 → คอลัมน์ sum_AADT</t>
        </is>
      </c>
      <c r="X20" s="9" t="inlineStr">
        <is>
          <t>ใช้ค่าที่อธิบดี ทช. เปิดเผย</t>
        </is>
      </c>
      <c r="Y20" s="2" t="n">
        <v>90303</v>
      </c>
      <c r="Z20" t="n">
        <v>3</v>
      </c>
      <c r="AA20" t="n">
        <v>1</v>
      </c>
      <c r="AB20" s="2">
        <f>G20*1000000</f>
        <v/>
      </c>
      <c r="AC20" s="2">
        <f>365*Z20*Y20*AA20</f>
        <v/>
      </c>
      <c r="AD20" s="7">
        <f>AB20/AC20</f>
        <v/>
      </c>
      <c r="AE20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20" s="6" t="inlineStr">
        <is>
          <t>https://mgronline.com/business/detail/9690000025473</t>
        </is>
      </c>
      <c r="AG20" s="6" t="inlineStr">
        <is>
          <t>https://www.fm91bkk.com/newsarticle/68309</t>
        </is>
      </c>
    </row>
    <row r="21">
      <c r="A21" t="inlineStr">
        <is>
          <t>zone_189</t>
        </is>
      </c>
      <c r="B21" t="inlineStr">
        <is>
          <t>สะพานภูมิพลที่ 2 ไปสะพานภูมิพลที่ 1</t>
        </is>
      </c>
      <c r="C21" t="inlineStr">
        <is>
          <t>สมุทรปราการ</t>
        </is>
      </c>
      <c r="D21" t="inlineStr">
        <is>
          <t>ส.012</t>
        </is>
      </c>
      <c r="E21" t="inlineStr">
        <is>
          <t>1.4–4</t>
        </is>
      </c>
      <c r="G21" t="n">
        <v>27</v>
      </c>
      <c r="H21" t="n">
        <v>2</v>
      </c>
      <c r="I21" t="n">
        <v>14</v>
      </c>
      <c r="J21" t="n">
        <v>0.5926</v>
      </c>
      <c r="K21" t="inlineStr">
        <is>
          <t>low</t>
        </is>
      </c>
      <c r="L21" s="2" t="inlineStr"/>
      <c r="M21" s="3" t="inlineStr">
        <is>
          <t>ทช. ให้ค่า 0 (ไม่ได้สำรวจ)</t>
        </is>
      </c>
      <c r="N21" s="6" t="inlineStr">
        <is>
          <t>เปิดลิงก์</t>
        </is>
      </c>
      <c r="O21" t="inlineStr">
        <is>
          <t>ค้น road_code = ส.012 → คอลัมน์ sum_AADT</t>
        </is>
      </c>
      <c r="P21" s="2" t="inlineStr"/>
      <c r="Q21" s="3" t="inlineStr">
        <is>
          <t>ทช. ให้ค่า 0 (ไม่ได้สำรวจ)</t>
        </is>
      </c>
      <c r="R21" s="6" t="inlineStr">
        <is>
          <t>เปิดลิงก์</t>
        </is>
      </c>
      <c r="S21" t="inlineStr">
        <is>
          <t>ค้น road_code = ส.012 → คอลัมน์ sum_AADT</t>
        </is>
      </c>
      <c r="T21" s="2" t="inlineStr"/>
      <c r="U21" s="3" t="inlineStr">
        <is>
          <t>ไม่มีแถวนี้ในไฟล์</t>
        </is>
      </c>
      <c r="V21" s="6" t="inlineStr">
        <is>
          <t>เปิดลิงก์</t>
        </is>
      </c>
      <c r="W21" t="inlineStr">
        <is>
          <t>ค้น road_code = ส.012 → คอลัมน์ sum_AADT</t>
        </is>
      </c>
      <c r="X21" s="9" t="inlineStr">
        <is>
          <t>ใช้ค่าที่อธิบดี ทช. เปิดเผย</t>
        </is>
      </c>
      <c r="Y21" s="2" t="n">
        <v>90303</v>
      </c>
      <c r="Z21" t="n">
        <v>3</v>
      </c>
      <c r="AA21" t="n">
        <v>1</v>
      </c>
      <c r="AB21" s="2">
        <f>G21*1000000</f>
        <v/>
      </c>
      <c r="AC21" s="2">
        <f>365*Z21*Y21*AA21</f>
        <v/>
      </c>
      <c r="AD21" s="7">
        <f>AB21/AC21</f>
        <v/>
      </c>
      <c r="AE21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21" s="6" t="inlineStr">
        <is>
          <t>https://mgronline.com/business/detail/9690000025473</t>
        </is>
      </c>
      <c r="AG21" s="6" t="inlineStr">
        <is>
          <t>https://www.fm91bkk.com/newsarticle/68309</t>
        </is>
      </c>
    </row>
    <row r="22">
      <c r="A22" t="inlineStr">
        <is>
          <t>zone_190</t>
        </is>
      </c>
      <c r="B22" t="inlineStr">
        <is>
          <t>สะพานภูมิพลที่ 2 ไปสะพานภูมิพลที่ 1</t>
        </is>
      </c>
      <c r="C22" t="inlineStr">
        <is>
          <t>สมุทรปราการ</t>
        </is>
      </c>
      <c r="D22" t="inlineStr">
        <is>
          <t>ส.012</t>
        </is>
      </c>
      <c r="E22" t="inlineStr">
        <is>
          <t>1.15–1.2</t>
        </is>
      </c>
      <c r="G22" t="n">
        <v>3</v>
      </c>
      <c r="H22" t="n">
        <v>0</v>
      </c>
      <c r="I22" t="n">
        <v>2</v>
      </c>
      <c r="J22" t="n">
        <v>0.6667</v>
      </c>
      <c r="K22" t="inlineStr">
        <is>
          <t>low</t>
        </is>
      </c>
      <c r="L22" s="2" t="inlineStr"/>
      <c r="M22" s="3" t="inlineStr">
        <is>
          <t>ทช. ให้ค่า 0 (ไม่ได้สำรวจ)</t>
        </is>
      </c>
      <c r="N22" s="6" t="inlineStr">
        <is>
          <t>เปิดลิงก์</t>
        </is>
      </c>
      <c r="O22" t="inlineStr">
        <is>
          <t>ค้น road_code = ส.012 → คอลัมน์ sum_AADT</t>
        </is>
      </c>
      <c r="P22" s="2" t="inlineStr"/>
      <c r="Q22" s="3" t="inlineStr">
        <is>
          <t>ทช. ให้ค่า 0 (ไม่ได้สำรวจ)</t>
        </is>
      </c>
      <c r="R22" s="6" t="inlineStr">
        <is>
          <t>เปิดลิงก์</t>
        </is>
      </c>
      <c r="S22" t="inlineStr">
        <is>
          <t>ค้น road_code = ส.012 → คอลัมน์ sum_AADT</t>
        </is>
      </c>
      <c r="T22" s="2" t="inlineStr"/>
      <c r="U22" s="3" t="inlineStr">
        <is>
          <t>ไม่มีแถวนี้ในไฟล์</t>
        </is>
      </c>
      <c r="V22" s="6" t="inlineStr">
        <is>
          <t>เปิดลิงก์</t>
        </is>
      </c>
      <c r="W22" t="inlineStr">
        <is>
          <t>ค้น road_code = ส.012 → คอลัมน์ sum_AADT</t>
        </is>
      </c>
      <c r="X22" s="9" t="inlineStr">
        <is>
          <t>ใช้ค่าที่อธิบดี ทช. เปิดเผย</t>
        </is>
      </c>
      <c r="Y22" s="2" t="n">
        <v>90303</v>
      </c>
      <c r="Z22" t="n">
        <v>3</v>
      </c>
      <c r="AA22" t="n">
        <v>1</v>
      </c>
      <c r="AB22" s="2">
        <f>G22*1000000</f>
        <v/>
      </c>
      <c r="AC22" s="2">
        <f>365*Z22*Y22*AA22</f>
        <v/>
      </c>
      <c r="AD22" s="7">
        <f>AB22/AC22</f>
        <v/>
      </c>
      <c r="AE22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22" s="6" t="inlineStr">
        <is>
          <t>https://mgronline.com/business/detail/9690000025473</t>
        </is>
      </c>
      <c r="AG22" s="6" t="inlineStr">
        <is>
          <t>https://www.fm91bkk.com/newsarticle/68309</t>
        </is>
      </c>
    </row>
    <row r="23">
      <c r="A23" t="inlineStr">
        <is>
          <t>zone_191</t>
        </is>
      </c>
      <c r="B23" t="inlineStr">
        <is>
          <t>สะพานภูมิพลที่ 2 ไปสะพานภูมิพลที่ 1</t>
        </is>
      </c>
      <c r="C23" t="inlineStr">
        <is>
          <t>สมุทรปราการ</t>
        </is>
      </c>
      <c r="D23" t="inlineStr">
        <is>
          <t>ส.012</t>
        </is>
      </c>
      <c r="E23" t="inlineStr">
        <is>
          <t>2–2.6</t>
        </is>
      </c>
      <c r="G23" t="n">
        <v>6</v>
      </c>
      <c r="H23" t="n">
        <v>1</v>
      </c>
      <c r="I23" t="n">
        <v>5</v>
      </c>
      <c r="J23" t="n">
        <v>1</v>
      </c>
      <c r="K23" t="inlineStr">
        <is>
          <t>medium</t>
        </is>
      </c>
      <c r="L23" s="2" t="inlineStr"/>
      <c r="M23" s="3" t="inlineStr">
        <is>
          <t>ทช. ให้ค่า 0 (ไม่ได้สำรวจ)</t>
        </is>
      </c>
      <c r="N23" s="6" t="inlineStr">
        <is>
          <t>เปิดลิงก์</t>
        </is>
      </c>
      <c r="O23" t="inlineStr">
        <is>
          <t>ค้น road_code = ส.012 → คอลัมน์ sum_AADT</t>
        </is>
      </c>
      <c r="P23" s="2" t="inlineStr"/>
      <c r="Q23" s="3" t="inlineStr">
        <is>
          <t>ทช. ให้ค่า 0 (ไม่ได้สำรวจ)</t>
        </is>
      </c>
      <c r="R23" s="6" t="inlineStr">
        <is>
          <t>เปิดลิงก์</t>
        </is>
      </c>
      <c r="S23" t="inlineStr">
        <is>
          <t>ค้น road_code = ส.012 → คอลัมน์ sum_AADT</t>
        </is>
      </c>
      <c r="T23" s="2" t="inlineStr"/>
      <c r="U23" s="3" t="inlineStr">
        <is>
          <t>ไม่มีแถวนี้ในไฟล์</t>
        </is>
      </c>
      <c r="V23" s="6" t="inlineStr">
        <is>
          <t>เปิดลิงก์</t>
        </is>
      </c>
      <c r="W23" t="inlineStr">
        <is>
          <t>ค้น road_code = ส.012 → คอลัมน์ sum_AADT</t>
        </is>
      </c>
      <c r="X23" s="9" t="inlineStr">
        <is>
          <t>ใช้ค่าที่อธิบดี ทช. เปิดเผย</t>
        </is>
      </c>
      <c r="Y23" s="2" t="n">
        <v>90303</v>
      </c>
      <c r="Z23" t="n">
        <v>3</v>
      </c>
      <c r="AA23" t="n">
        <v>1</v>
      </c>
      <c r="AB23" s="2">
        <f>G23*1000000</f>
        <v/>
      </c>
      <c r="AC23" s="2">
        <f>365*Z23*Y23*AA23</f>
        <v/>
      </c>
      <c r="AD23" s="7">
        <f>AB23/AC23</f>
        <v/>
      </c>
      <c r="AE23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23" s="6" t="inlineStr">
        <is>
          <t>https://mgronline.com/business/detail/9690000025473</t>
        </is>
      </c>
      <c r="AG23" s="6" t="inlineStr">
        <is>
          <t>https://www.fm91bkk.com/newsarticle/68309</t>
        </is>
      </c>
    </row>
    <row r="24">
      <c r="A24" t="inlineStr">
        <is>
          <t>zone_192</t>
        </is>
      </c>
      <c r="B24" t="inlineStr">
        <is>
          <t>สะพานภูมิพลที่ 2 ไปสะพานภูมิพลที่ 1</t>
        </is>
      </c>
      <c r="C24" t="inlineStr">
        <is>
          <t>สมุทรปราการ</t>
        </is>
      </c>
      <c r="D24" t="inlineStr">
        <is>
          <t>ส.012</t>
        </is>
      </c>
      <c r="E24" t="inlineStr">
        <is>
          <t>0.2–1.15</t>
        </is>
      </c>
      <c r="G24" t="n">
        <v>4</v>
      </c>
      <c r="H24" t="n">
        <v>0</v>
      </c>
      <c r="I24" t="n">
        <v>1</v>
      </c>
      <c r="J24" t="n">
        <v>0.25</v>
      </c>
      <c r="K24" t="inlineStr">
        <is>
          <t>low</t>
        </is>
      </c>
      <c r="L24" s="2" t="inlineStr"/>
      <c r="M24" s="3" t="inlineStr">
        <is>
          <t>ทช. ให้ค่า 0 (ไม่ได้สำรวจ)</t>
        </is>
      </c>
      <c r="N24" s="6" t="inlineStr">
        <is>
          <t>เปิดลิงก์</t>
        </is>
      </c>
      <c r="O24" t="inlineStr">
        <is>
          <t>ค้น road_code = ส.012 → คอลัมน์ sum_AADT</t>
        </is>
      </c>
      <c r="P24" s="2" t="inlineStr"/>
      <c r="Q24" s="3" t="inlineStr">
        <is>
          <t>ทช. ให้ค่า 0 (ไม่ได้สำรวจ)</t>
        </is>
      </c>
      <c r="R24" s="6" t="inlineStr">
        <is>
          <t>เปิดลิงก์</t>
        </is>
      </c>
      <c r="S24" t="inlineStr">
        <is>
          <t>ค้น road_code = ส.012 → คอลัมน์ sum_AADT</t>
        </is>
      </c>
      <c r="T24" s="2" t="inlineStr"/>
      <c r="U24" s="3" t="inlineStr">
        <is>
          <t>ไม่มีแถวนี้ในไฟล์</t>
        </is>
      </c>
      <c r="V24" s="6" t="inlineStr">
        <is>
          <t>เปิดลิงก์</t>
        </is>
      </c>
      <c r="W24" t="inlineStr">
        <is>
          <t>ค้น road_code = ส.012 → คอลัมน์ sum_AADT</t>
        </is>
      </c>
      <c r="X24" s="9" t="inlineStr">
        <is>
          <t>ใช้ค่าที่อธิบดี ทช. เปิดเผย</t>
        </is>
      </c>
      <c r="Y24" s="2" t="n">
        <v>90303</v>
      </c>
      <c r="Z24" t="n">
        <v>3</v>
      </c>
      <c r="AA24" t="n">
        <v>1</v>
      </c>
      <c r="AB24" s="2">
        <f>G24*1000000</f>
        <v/>
      </c>
      <c r="AC24" s="2">
        <f>365*Z24*Y24*AA24</f>
        <v/>
      </c>
      <c r="AD24" s="7">
        <f>AB24/AC24</f>
        <v/>
      </c>
      <c r="AE24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24" s="6" t="inlineStr">
        <is>
          <t>https://mgronline.com/business/detail/9690000025473</t>
        </is>
      </c>
      <c r="AG24" s="6" t="inlineStr">
        <is>
          <t>https://www.fm91bkk.com/newsarticle/68309</t>
        </is>
      </c>
    </row>
    <row r="25">
      <c r="A25" t="inlineStr">
        <is>
          <t>zone_168</t>
        </is>
      </c>
      <c r="B25" t="inlineStr">
        <is>
          <t>จุดเชื่อมต่อถนนวงแหวนอุตสาหกรรมเข้าสะพานภูมิพลที่ 2</t>
        </is>
      </c>
      <c r="C25" t="inlineStr">
        <is>
          <t>สมุทรปราการ</t>
        </is>
      </c>
      <c r="D25" t="inlineStr">
        <is>
          <t>ส.013</t>
        </is>
      </c>
      <c r="E25" t="inlineStr">
        <is>
          <t>0.6–0.819</t>
        </is>
      </c>
      <c r="G25" t="n">
        <v>3</v>
      </c>
      <c r="H25" t="n">
        <v>2</v>
      </c>
      <c r="I25" t="n">
        <v>0</v>
      </c>
      <c r="J25" t="n">
        <v>0.6667</v>
      </c>
      <c r="K25" t="inlineStr">
        <is>
          <t>low</t>
        </is>
      </c>
      <c r="L25" s="2" t="inlineStr"/>
      <c r="M25" s="3" t="inlineStr">
        <is>
          <t>ทช. ให้ค่า 0 (ไม่ได้สำรวจ)</t>
        </is>
      </c>
      <c r="N25" s="6" t="inlineStr">
        <is>
          <t>เปิดลิงก์</t>
        </is>
      </c>
      <c r="O25" t="inlineStr">
        <is>
          <t>ค้น road_code = ส.013 → คอลัมน์ sum_AADT</t>
        </is>
      </c>
      <c r="P25" s="2" t="inlineStr"/>
      <c r="Q25" s="3" t="inlineStr">
        <is>
          <t>ทช. ให้ค่า 0 (ไม่ได้สำรวจ)</t>
        </is>
      </c>
      <c r="R25" s="6" t="inlineStr">
        <is>
          <t>เปิดลิงก์</t>
        </is>
      </c>
      <c r="S25" t="inlineStr">
        <is>
          <t>ค้น road_code = ส.013 → คอลัมน์ sum_AADT</t>
        </is>
      </c>
      <c r="T25" s="2" t="inlineStr"/>
      <c r="U25" s="3" t="inlineStr">
        <is>
          <t>ไม่มีแถวนี้ในไฟล์</t>
        </is>
      </c>
      <c r="V25" s="6" t="inlineStr">
        <is>
          <t>เปิดลิงก์</t>
        </is>
      </c>
      <c r="W25" t="inlineStr">
        <is>
          <t>ค้น road_code = ส.013 → คอลัมน์ sum_AADT</t>
        </is>
      </c>
      <c r="X25" s="9" t="inlineStr">
        <is>
          <t>ใช้ค่าที่อธิบดี ทช. เปิดเผย</t>
        </is>
      </c>
      <c r="Y25" s="2" t="n">
        <v>90303</v>
      </c>
      <c r="Z25" t="n">
        <v>3</v>
      </c>
      <c r="AA25" t="n">
        <v>1</v>
      </c>
      <c r="AB25" s="2">
        <f>G25*1000000</f>
        <v/>
      </c>
      <c r="AC25" s="2">
        <f>365*Z25*Y25*AA25</f>
        <v/>
      </c>
      <c r="AD25" s="7">
        <f>AB25/AC25</f>
        <v/>
      </c>
      <c r="AE25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25" s="6" t="inlineStr">
        <is>
          <t>https://mgronline.com/business/detail/9690000025473</t>
        </is>
      </c>
      <c r="AG25" s="6" t="inlineStr">
        <is>
          <t>https://www.fm91bkk.com/newsarticle/68309</t>
        </is>
      </c>
    </row>
    <row r="26">
      <c r="A26" t="inlineStr">
        <is>
          <t>zone_173</t>
        </is>
      </c>
      <c r="B26" t="inlineStr">
        <is>
          <t>ทางออกจากถนนวงแหวนอุตสาหกรรมสู่ถนนปู่เจ้าสมิงพราย</t>
        </is>
      </c>
      <c r="C26" t="inlineStr">
        <is>
          <t>สมุทรปราการ</t>
        </is>
      </c>
      <c r="D26" t="inlineStr">
        <is>
          <t>ส.013</t>
        </is>
      </c>
      <c r="E26" t="inlineStr">
        <is>
          <t>0.35–1.214</t>
        </is>
      </c>
      <c r="G26" t="n">
        <v>25</v>
      </c>
      <c r="H26" t="n">
        <v>0</v>
      </c>
      <c r="I26" t="n">
        <v>9</v>
      </c>
      <c r="J26" t="n">
        <v>0.36</v>
      </c>
      <c r="K26" t="inlineStr">
        <is>
          <t>low</t>
        </is>
      </c>
      <c r="L26" s="2" t="inlineStr"/>
      <c r="M26" s="3" t="inlineStr">
        <is>
          <t>ทช. ให้ค่า 0 (ไม่ได้สำรวจ)</t>
        </is>
      </c>
      <c r="N26" s="6" t="inlineStr">
        <is>
          <t>เปิดลิงก์</t>
        </is>
      </c>
      <c r="O26" t="inlineStr">
        <is>
          <t>ค้น road_code = ส.013 → คอลัมน์ sum_AADT</t>
        </is>
      </c>
      <c r="P26" s="2" t="inlineStr"/>
      <c r="Q26" s="3" t="inlineStr">
        <is>
          <t>ทช. ให้ค่า 0 (ไม่ได้สำรวจ)</t>
        </is>
      </c>
      <c r="R26" s="6" t="inlineStr">
        <is>
          <t>เปิดลิงก์</t>
        </is>
      </c>
      <c r="S26" t="inlineStr">
        <is>
          <t>ค้น road_code = ส.013 → คอลัมน์ sum_AADT</t>
        </is>
      </c>
      <c r="T26" s="2" t="inlineStr"/>
      <c r="U26" s="3" t="inlineStr">
        <is>
          <t>ไม่มีแถวนี้ในไฟล์</t>
        </is>
      </c>
      <c r="V26" s="6" t="inlineStr">
        <is>
          <t>เปิดลิงก์</t>
        </is>
      </c>
      <c r="W26" t="inlineStr">
        <is>
          <t>ค้น road_code = ส.013 → คอลัมน์ sum_AADT</t>
        </is>
      </c>
      <c r="X26" s="9" t="inlineStr">
        <is>
          <t>ใช้ค่าที่อธิบดี ทช. เปิดเผย</t>
        </is>
      </c>
      <c r="Y26" s="2" t="n">
        <v>90303</v>
      </c>
      <c r="Z26" t="n">
        <v>3</v>
      </c>
      <c r="AA26" t="n">
        <v>1</v>
      </c>
      <c r="AB26" s="2">
        <f>G26*1000000</f>
        <v/>
      </c>
      <c r="AC26" s="2">
        <f>365*Z26*Y26*AA26</f>
        <v/>
      </c>
      <c r="AD26" s="7">
        <f>AB26/AC26</f>
        <v/>
      </c>
      <c r="AE26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26" s="6" t="inlineStr">
        <is>
          <t>https://mgronline.com/business/detail/9690000025473</t>
        </is>
      </c>
      <c r="AG26" s="6" t="inlineStr">
        <is>
          <t>https://www.fm91bkk.com/newsarticle/68309</t>
        </is>
      </c>
    </row>
    <row r="27">
      <c r="A27" t="inlineStr">
        <is>
          <t>zone_174</t>
        </is>
      </c>
      <c r="B27" t="inlineStr">
        <is>
          <t>ทางออกจากถนนวงแหวนอุตสาหกรรมสู่ถนนปู่เจ้าสมิงพราย</t>
        </is>
      </c>
      <c r="C27" t="inlineStr">
        <is>
          <t>สมุทรปราการ</t>
        </is>
      </c>
      <c r="D27" t="inlineStr">
        <is>
          <t>ส.013</t>
        </is>
      </c>
      <c r="E27" t="inlineStr">
        <is>
          <t>1.214–1.214</t>
        </is>
      </c>
      <c r="G27" t="n">
        <v>4</v>
      </c>
      <c r="H27" t="n">
        <v>0</v>
      </c>
      <c r="I27" t="n">
        <v>0</v>
      </c>
      <c r="J27" t="n">
        <v>0</v>
      </c>
      <c r="K27" t="inlineStr">
        <is>
          <t>low</t>
        </is>
      </c>
      <c r="L27" s="2" t="inlineStr"/>
      <c r="M27" s="3" t="inlineStr">
        <is>
          <t>ทช. ให้ค่า 0 (ไม่ได้สำรวจ)</t>
        </is>
      </c>
      <c r="N27" s="6" t="inlineStr">
        <is>
          <t>เปิดลิงก์</t>
        </is>
      </c>
      <c r="O27" t="inlineStr">
        <is>
          <t>ค้น road_code = ส.013 → คอลัมน์ sum_AADT</t>
        </is>
      </c>
      <c r="P27" s="2" t="inlineStr"/>
      <c r="Q27" s="3" t="inlineStr">
        <is>
          <t>ทช. ให้ค่า 0 (ไม่ได้สำรวจ)</t>
        </is>
      </c>
      <c r="R27" s="6" t="inlineStr">
        <is>
          <t>เปิดลิงก์</t>
        </is>
      </c>
      <c r="S27" t="inlineStr">
        <is>
          <t>ค้น road_code = ส.013 → คอลัมน์ sum_AADT</t>
        </is>
      </c>
      <c r="T27" s="2" t="inlineStr"/>
      <c r="U27" s="3" t="inlineStr">
        <is>
          <t>ไม่มีแถวนี้ในไฟล์</t>
        </is>
      </c>
      <c r="V27" s="6" t="inlineStr">
        <is>
          <t>เปิดลิงก์</t>
        </is>
      </c>
      <c r="W27" t="inlineStr">
        <is>
          <t>ค้น road_code = ส.013 → คอลัมน์ sum_AADT</t>
        </is>
      </c>
      <c r="X27" s="9" t="inlineStr">
        <is>
          <t>ใช้ค่าที่อธิบดี ทช. เปิดเผย</t>
        </is>
      </c>
      <c r="Y27" s="2" t="n">
        <v>90303</v>
      </c>
      <c r="Z27" t="n">
        <v>3</v>
      </c>
      <c r="AA27" t="n">
        <v>1</v>
      </c>
      <c r="AB27" s="2">
        <f>G27*1000000</f>
        <v/>
      </c>
      <c r="AC27" s="2">
        <f>365*Z27*Y27*AA27</f>
        <v/>
      </c>
      <c r="AD27" s="7">
        <f>AB27/AC27</f>
        <v/>
      </c>
      <c r="AE27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27" s="6" t="inlineStr">
        <is>
          <t>https://mgronline.com/business/detail/9690000025473</t>
        </is>
      </c>
      <c r="AG27" s="6" t="inlineStr">
        <is>
          <t>https://www.fm91bkk.com/newsarticle/68309</t>
        </is>
      </c>
    </row>
    <row r="28">
      <c r="A28" t="inlineStr">
        <is>
          <t>zone_175</t>
        </is>
      </c>
      <c r="B28" t="inlineStr">
        <is>
          <t>ทางออกจากถนนวงแหวนอุตสาหกรรมสู่ถนนปู่เจ้าสมิงพราย</t>
        </is>
      </c>
      <c r="C28" t="inlineStr">
        <is>
          <t>สมุทรปราการ</t>
        </is>
      </c>
      <c r="D28" t="inlineStr">
        <is>
          <t>ส.013</t>
        </is>
      </c>
      <c r="E28" t="inlineStr">
        <is>
          <t>0.9–1.1</t>
        </is>
      </c>
      <c r="G28" t="n">
        <v>5</v>
      </c>
      <c r="H28" t="n">
        <v>0</v>
      </c>
      <c r="I28" t="n">
        <v>0</v>
      </c>
      <c r="J28" t="n">
        <v>0</v>
      </c>
      <c r="K28" t="inlineStr">
        <is>
          <t>low</t>
        </is>
      </c>
      <c r="L28" s="2" t="inlineStr"/>
      <c r="M28" s="3" t="inlineStr">
        <is>
          <t>ทช. ให้ค่า 0 (ไม่ได้สำรวจ)</t>
        </is>
      </c>
      <c r="N28" s="6" t="inlineStr">
        <is>
          <t>เปิดลิงก์</t>
        </is>
      </c>
      <c r="O28" t="inlineStr">
        <is>
          <t>ค้น road_code = ส.013 → คอลัมน์ sum_AADT</t>
        </is>
      </c>
      <c r="P28" s="2" t="inlineStr"/>
      <c r="Q28" s="3" t="inlineStr">
        <is>
          <t>ทช. ให้ค่า 0 (ไม่ได้สำรวจ)</t>
        </is>
      </c>
      <c r="R28" s="6" t="inlineStr">
        <is>
          <t>เปิดลิงก์</t>
        </is>
      </c>
      <c r="S28" t="inlineStr">
        <is>
          <t>ค้น road_code = ส.013 → คอลัมน์ sum_AADT</t>
        </is>
      </c>
      <c r="T28" s="2" t="inlineStr"/>
      <c r="U28" s="3" t="inlineStr">
        <is>
          <t>ไม่มีแถวนี้ในไฟล์</t>
        </is>
      </c>
      <c r="V28" s="6" t="inlineStr">
        <is>
          <t>เปิดลิงก์</t>
        </is>
      </c>
      <c r="W28" t="inlineStr">
        <is>
          <t>ค้น road_code = ส.013 → คอลัมน์ sum_AADT</t>
        </is>
      </c>
      <c r="X28" s="9" t="inlineStr">
        <is>
          <t>ใช้ค่าที่อธิบดี ทช. เปิดเผย</t>
        </is>
      </c>
      <c r="Y28" s="2" t="n">
        <v>90303</v>
      </c>
      <c r="Z28" t="n">
        <v>3</v>
      </c>
      <c r="AA28" t="n">
        <v>1</v>
      </c>
      <c r="AB28" s="2">
        <f>G28*1000000</f>
        <v/>
      </c>
      <c r="AC28" s="2">
        <f>365*Z28*Y28*AA28</f>
        <v/>
      </c>
      <c r="AD28" s="7">
        <f>AB28/AC28</f>
        <v/>
      </c>
      <c r="AE28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28" s="6" t="inlineStr">
        <is>
          <t>https://mgronline.com/business/detail/9690000025473</t>
        </is>
      </c>
      <c r="AG28" s="6" t="inlineStr">
        <is>
          <t>https://www.fm91bkk.com/newsarticle/68309</t>
        </is>
      </c>
    </row>
    <row r="29">
      <c r="A29" t="inlineStr">
        <is>
          <t>zone_176</t>
        </is>
      </c>
      <c r="B29" t="inlineStr">
        <is>
          <t>ทางออกจากถนนวงแหวนอุตสาหกรรมสู่ถนนสุขสวัสดิ์</t>
        </is>
      </c>
      <c r="C29" t="inlineStr">
        <is>
          <t>สมุทรปราการ</t>
        </is>
      </c>
      <c r="D29" t="inlineStr">
        <is>
          <t>ส.013</t>
        </is>
      </c>
      <c r="E29" t="inlineStr">
        <is>
          <t>0.05–0.25</t>
        </is>
      </c>
      <c r="G29" t="n">
        <v>9</v>
      </c>
      <c r="H29" t="n">
        <v>0</v>
      </c>
      <c r="I29" t="n">
        <v>10</v>
      </c>
      <c r="J29" t="n">
        <v>1.1111</v>
      </c>
      <c r="K29" t="inlineStr">
        <is>
          <t>medium</t>
        </is>
      </c>
      <c r="L29" s="2" t="inlineStr"/>
      <c r="M29" s="3" t="inlineStr">
        <is>
          <t>ทช. ให้ค่า 0 (ไม่ได้สำรวจ)</t>
        </is>
      </c>
      <c r="N29" s="6" t="inlineStr">
        <is>
          <t>เปิดลิงก์</t>
        </is>
      </c>
      <c r="O29" t="inlineStr">
        <is>
          <t>ค้น road_code = ส.013 → คอลัมน์ sum_AADT</t>
        </is>
      </c>
      <c r="P29" s="2" t="inlineStr"/>
      <c r="Q29" s="3" t="inlineStr">
        <is>
          <t>ทช. ให้ค่า 0 (ไม่ได้สำรวจ)</t>
        </is>
      </c>
      <c r="R29" s="6" t="inlineStr">
        <is>
          <t>เปิดลิงก์</t>
        </is>
      </c>
      <c r="S29" t="inlineStr">
        <is>
          <t>ค้น road_code = ส.013 → คอลัมน์ sum_AADT</t>
        </is>
      </c>
      <c r="T29" s="2" t="inlineStr"/>
      <c r="U29" s="3" t="inlineStr">
        <is>
          <t>ไม่มีแถวนี้ในไฟล์</t>
        </is>
      </c>
      <c r="V29" s="6" t="inlineStr">
        <is>
          <t>เปิดลิงก์</t>
        </is>
      </c>
      <c r="W29" t="inlineStr">
        <is>
          <t>ค้น road_code = ส.013 → คอลัมน์ sum_AADT</t>
        </is>
      </c>
      <c r="X29" s="9" t="inlineStr">
        <is>
          <t>ใช้ค่าที่อธิบดี ทช. เปิดเผย</t>
        </is>
      </c>
      <c r="Y29" s="2" t="n">
        <v>90303</v>
      </c>
      <c r="Z29" t="n">
        <v>3</v>
      </c>
      <c r="AA29" t="n">
        <v>1</v>
      </c>
      <c r="AB29" s="2">
        <f>G29*1000000</f>
        <v/>
      </c>
      <c r="AC29" s="2">
        <f>365*Z29*Y29*AA29</f>
        <v/>
      </c>
      <c r="AD29" s="7">
        <f>AB29/AC29</f>
        <v/>
      </c>
      <c r="AE29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29" s="6" t="inlineStr">
        <is>
          <t>https://mgronline.com/business/detail/9690000025473</t>
        </is>
      </c>
      <c r="AG29" s="6" t="inlineStr">
        <is>
          <t>https://www.fm91bkk.com/newsarticle/68309</t>
        </is>
      </c>
    </row>
    <row r="30">
      <c r="A30" t="inlineStr">
        <is>
          <t>zone_177</t>
        </is>
      </c>
      <c r="B30" t="inlineStr">
        <is>
          <t>ทางเข้าถนนปู่เจ้าสมิงพรายสู่ถนนวงแหวนอุตสาหกรรม</t>
        </is>
      </c>
      <c r="C30" t="inlineStr">
        <is>
          <t>สมุทรปราการ</t>
        </is>
      </c>
      <c r="D30" t="inlineStr">
        <is>
          <t>ส.013</t>
        </is>
      </c>
      <c r="E30" t="inlineStr">
        <is>
          <t>0.05–0.7</t>
        </is>
      </c>
      <c r="G30" t="n">
        <v>44</v>
      </c>
      <c r="H30" t="n">
        <v>0</v>
      </c>
      <c r="I30" t="n">
        <v>19</v>
      </c>
      <c r="J30" t="n">
        <v>0.4318</v>
      </c>
      <c r="K30" t="inlineStr">
        <is>
          <t>low</t>
        </is>
      </c>
      <c r="L30" s="2" t="inlineStr"/>
      <c r="M30" s="3" t="inlineStr">
        <is>
          <t>ทช. ให้ค่า 0 (ไม่ได้สำรวจ)</t>
        </is>
      </c>
      <c r="N30" s="6" t="inlineStr">
        <is>
          <t>เปิดลิงก์</t>
        </is>
      </c>
      <c r="O30" t="inlineStr">
        <is>
          <t>ค้น road_code = ส.013 → คอลัมน์ sum_AADT</t>
        </is>
      </c>
      <c r="P30" s="2" t="inlineStr"/>
      <c r="Q30" s="3" t="inlineStr">
        <is>
          <t>ทช. ให้ค่า 0 (ไม่ได้สำรวจ)</t>
        </is>
      </c>
      <c r="R30" s="6" t="inlineStr">
        <is>
          <t>เปิดลิงก์</t>
        </is>
      </c>
      <c r="S30" t="inlineStr">
        <is>
          <t>ค้น road_code = ส.013 → คอลัมน์ sum_AADT</t>
        </is>
      </c>
      <c r="T30" s="2" t="inlineStr"/>
      <c r="U30" s="3" t="inlineStr">
        <is>
          <t>ไม่มีแถวนี้ในไฟล์</t>
        </is>
      </c>
      <c r="V30" s="6" t="inlineStr">
        <is>
          <t>เปิดลิงก์</t>
        </is>
      </c>
      <c r="W30" t="inlineStr">
        <is>
          <t>ค้น road_code = ส.013 → คอลัมน์ sum_AADT</t>
        </is>
      </c>
      <c r="X30" s="9" t="inlineStr">
        <is>
          <t>ใช้ค่าที่อธิบดี ทช. เปิดเผย</t>
        </is>
      </c>
      <c r="Y30" s="2" t="n">
        <v>90303</v>
      </c>
      <c r="Z30" t="n">
        <v>3</v>
      </c>
      <c r="AA30" t="n">
        <v>1</v>
      </c>
      <c r="AB30" s="2">
        <f>G30*1000000</f>
        <v/>
      </c>
      <c r="AC30" s="2">
        <f>365*Z30*Y30*AA30</f>
        <v/>
      </c>
      <c r="AD30" s="7">
        <f>AB30/AC30</f>
        <v/>
      </c>
      <c r="AE30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30" s="6" t="inlineStr">
        <is>
          <t>https://mgronline.com/business/detail/9690000025473</t>
        </is>
      </c>
      <c r="AG30" s="6" t="inlineStr">
        <is>
          <t>https://www.fm91bkk.com/newsarticle/68309</t>
        </is>
      </c>
    </row>
    <row r="31">
      <c r="A31" t="inlineStr">
        <is>
          <t>zone_179</t>
        </is>
      </c>
      <c r="B31" t="inlineStr">
        <is>
          <t>สะพานภูมิพลที่ 1 ไปสะพานภูมิพลที่ 2</t>
        </is>
      </c>
      <c r="C31" t="inlineStr">
        <is>
          <t>กรุงเทพมหานคร</t>
        </is>
      </c>
      <c r="D31" t="inlineStr">
        <is>
          <t>ส.013</t>
        </is>
      </c>
      <c r="E31" t="inlineStr">
        <is>
          <t>0.6–3.4</t>
        </is>
      </c>
      <c r="G31" t="n">
        <v>116</v>
      </c>
      <c r="H31" t="n">
        <v>25</v>
      </c>
      <c r="I31" t="n">
        <v>59</v>
      </c>
      <c r="J31" t="n">
        <v>0.6897</v>
      </c>
      <c r="K31" t="inlineStr">
        <is>
          <t>low</t>
        </is>
      </c>
      <c r="L31" s="2" t="inlineStr"/>
      <c r="M31" s="3" t="inlineStr">
        <is>
          <t>ทช. ให้ค่า 0 (ไม่ได้สำรวจ)</t>
        </is>
      </c>
      <c r="N31" s="6" t="inlineStr">
        <is>
          <t>เปิดลิงก์</t>
        </is>
      </c>
      <c r="O31" t="inlineStr">
        <is>
          <t>ค้น road_code = ส.013 → คอลัมน์ sum_AADT</t>
        </is>
      </c>
      <c r="P31" s="2" t="inlineStr"/>
      <c r="Q31" s="3" t="inlineStr">
        <is>
          <t>ทช. ให้ค่า 0 (ไม่ได้สำรวจ)</t>
        </is>
      </c>
      <c r="R31" s="6" t="inlineStr">
        <is>
          <t>เปิดลิงก์</t>
        </is>
      </c>
      <c r="S31" t="inlineStr">
        <is>
          <t>ค้น road_code = ส.013 → คอลัมน์ sum_AADT</t>
        </is>
      </c>
      <c r="T31" s="2" t="inlineStr"/>
      <c r="U31" s="3" t="inlineStr">
        <is>
          <t>ไม่มีแถวนี้ในไฟล์</t>
        </is>
      </c>
      <c r="V31" s="6" t="inlineStr">
        <is>
          <t>เปิดลิงก์</t>
        </is>
      </c>
      <c r="W31" t="inlineStr">
        <is>
          <t>ค้น road_code = ส.013 → คอลัมน์ sum_AADT</t>
        </is>
      </c>
      <c r="X31" s="9" t="inlineStr">
        <is>
          <t>ใช้ค่าที่อธิบดี ทช. เปิดเผย</t>
        </is>
      </c>
      <c r="Y31" s="2" t="n">
        <v>90303</v>
      </c>
      <c r="Z31" t="n">
        <v>3</v>
      </c>
      <c r="AA31" t="n">
        <v>1</v>
      </c>
      <c r="AB31" s="2">
        <f>G31*1000000</f>
        <v/>
      </c>
      <c r="AC31" s="2">
        <f>365*Z31*Y31*AA31</f>
        <v/>
      </c>
      <c r="AD31" s="7">
        <f>AB31/AC31</f>
        <v/>
      </c>
      <c r="AE31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31" s="6" t="inlineStr">
        <is>
          <t>https://mgronline.com/business/detail/9690000025473</t>
        </is>
      </c>
      <c r="AG31" s="6" t="inlineStr">
        <is>
          <t>https://www.fm91bkk.com/newsarticle/68309</t>
        </is>
      </c>
    </row>
    <row r="32">
      <c r="A32" t="inlineStr">
        <is>
          <t>zone_180</t>
        </is>
      </c>
      <c r="B32" t="inlineStr">
        <is>
          <t>สะพานภูมิพลที่ 1 ไปสะพานภูมิพลที่ 2</t>
        </is>
      </c>
      <c r="C32" t="inlineStr">
        <is>
          <t>กรุงเทพมหานคร</t>
        </is>
      </c>
      <c r="D32" t="inlineStr">
        <is>
          <t>ส.013</t>
        </is>
      </c>
      <c r="E32" t="inlineStr">
        <is>
          <t>0.3–1</t>
        </is>
      </c>
      <c r="G32" t="n">
        <v>3</v>
      </c>
      <c r="H32" t="n">
        <v>2</v>
      </c>
      <c r="I32" t="n">
        <v>1</v>
      </c>
      <c r="J32" t="n">
        <v>1</v>
      </c>
      <c r="K32" t="inlineStr">
        <is>
          <t>medium</t>
        </is>
      </c>
      <c r="L32" s="2" t="inlineStr"/>
      <c r="M32" s="3" t="inlineStr">
        <is>
          <t>ทช. ให้ค่า 0 (ไม่ได้สำรวจ)</t>
        </is>
      </c>
      <c r="N32" s="6" t="inlineStr">
        <is>
          <t>เปิดลิงก์</t>
        </is>
      </c>
      <c r="O32" t="inlineStr">
        <is>
          <t>ค้น road_code = ส.013 → คอลัมน์ sum_AADT</t>
        </is>
      </c>
      <c r="P32" s="2" t="inlineStr"/>
      <c r="Q32" s="3" t="inlineStr">
        <is>
          <t>ทช. ให้ค่า 0 (ไม่ได้สำรวจ)</t>
        </is>
      </c>
      <c r="R32" s="6" t="inlineStr">
        <is>
          <t>เปิดลิงก์</t>
        </is>
      </c>
      <c r="S32" t="inlineStr">
        <is>
          <t>ค้น road_code = ส.013 → คอลัมน์ sum_AADT</t>
        </is>
      </c>
      <c r="T32" s="2" t="inlineStr"/>
      <c r="U32" s="3" t="inlineStr">
        <is>
          <t>ไม่มีแถวนี้ในไฟล์</t>
        </is>
      </c>
      <c r="V32" s="6" t="inlineStr">
        <is>
          <t>เปิดลิงก์</t>
        </is>
      </c>
      <c r="W32" t="inlineStr">
        <is>
          <t>ค้น road_code = ส.013 → คอลัมน์ sum_AADT</t>
        </is>
      </c>
      <c r="X32" s="9" t="inlineStr">
        <is>
          <t>ใช้ค่าที่อธิบดี ทช. เปิดเผย</t>
        </is>
      </c>
      <c r="Y32" s="2" t="n">
        <v>90303</v>
      </c>
      <c r="Z32" t="n">
        <v>3</v>
      </c>
      <c r="AA32" t="n">
        <v>1</v>
      </c>
      <c r="AB32" s="2">
        <f>G32*1000000</f>
        <v/>
      </c>
      <c r="AC32" s="2">
        <f>365*Z32*Y32*AA32</f>
        <v/>
      </c>
      <c r="AD32" s="7">
        <f>AB32/AC32</f>
        <v/>
      </c>
      <c r="AE32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32" s="6" t="inlineStr">
        <is>
          <t>https://mgronline.com/business/detail/9690000025473</t>
        </is>
      </c>
      <c r="AG32" s="6" t="inlineStr">
        <is>
          <t>https://www.fm91bkk.com/newsarticle/68309</t>
        </is>
      </c>
    </row>
    <row r="33">
      <c r="A33" t="inlineStr">
        <is>
          <t>zone_181</t>
        </is>
      </c>
      <c r="B33" t="inlineStr">
        <is>
          <t>สะพานภูมิพลที่ 1 ไปสะพานภูมิพลที่ 2</t>
        </is>
      </c>
      <c r="C33" t="inlineStr">
        <is>
          <t>สมุทรปราการ</t>
        </is>
      </c>
      <c r="D33" t="inlineStr">
        <is>
          <t>ส.013</t>
        </is>
      </c>
      <c r="E33" t="inlineStr">
        <is>
          <t>1.4–2.6</t>
        </is>
      </c>
      <c r="G33" t="n">
        <v>22</v>
      </c>
      <c r="H33" t="n">
        <v>2</v>
      </c>
      <c r="I33" t="n">
        <v>13</v>
      </c>
      <c r="J33" t="n">
        <v>0.6818</v>
      </c>
      <c r="K33" t="inlineStr">
        <is>
          <t>low</t>
        </is>
      </c>
      <c r="L33" s="2" t="inlineStr"/>
      <c r="M33" s="3" t="inlineStr">
        <is>
          <t>ทช. ให้ค่า 0 (ไม่ได้สำรวจ)</t>
        </is>
      </c>
      <c r="N33" s="6" t="inlineStr">
        <is>
          <t>เปิดลิงก์</t>
        </is>
      </c>
      <c r="O33" t="inlineStr">
        <is>
          <t>ค้น road_code = ส.013 → คอลัมน์ sum_AADT</t>
        </is>
      </c>
      <c r="P33" s="2" t="inlineStr"/>
      <c r="Q33" s="3" t="inlineStr">
        <is>
          <t>ทช. ให้ค่า 0 (ไม่ได้สำรวจ)</t>
        </is>
      </c>
      <c r="R33" s="6" t="inlineStr">
        <is>
          <t>เปิดลิงก์</t>
        </is>
      </c>
      <c r="S33" t="inlineStr">
        <is>
          <t>ค้น road_code = ส.013 → คอลัมน์ sum_AADT</t>
        </is>
      </c>
      <c r="T33" s="2" t="inlineStr"/>
      <c r="U33" s="3" t="inlineStr">
        <is>
          <t>ไม่มีแถวนี้ในไฟล์</t>
        </is>
      </c>
      <c r="V33" s="6" t="inlineStr">
        <is>
          <t>เปิดลิงก์</t>
        </is>
      </c>
      <c r="W33" t="inlineStr">
        <is>
          <t>ค้น road_code = ส.013 → คอลัมน์ sum_AADT</t>
        </is>
      </c>
      <c r="X33" s="9" t="inlineStr">
        <is>
          <t>ใช้ค่าที่อธิบดี ทช. เปิดเผย</t>
        </is>
      </c>
      <c r="Y33" s="2" t="n">
        <v>90303</v>
      </c>
      <c r="Z33" t="n">
        <v>3</v>
      </c>
      <c r="AA33" t="n">
        <v>1</v>
      </c>
      <c r="AB33" s="2">
        <f>G33*1000000</f>
        <v/>
      </c>
      <c r="AC33" s="2">
        <f>365*Z33*Y33*AA33</f>
        <v/>
      </c>
      <c r="AD33" s="7">
        <f>AB33/AC33</f>
        <v/>
      </c>
      <c r="AE33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33" s="6" t="inlineStr">
        <is>
          <t>https://mgronline.com/business/detail/9690000025473</t>
        </is>
      </c>
      <c r="AG33" s="6" t="inlineStr">
        <is>
          <t>https://www.fm91bkk.com/newsarticle/68309</t>
        </is>
      </c>
    </row>
    <row r="34">
      <c r="A34" t="inlineStr">
        <is>
          <t>zone_182</t>
        </is>
      </c>
      <c r="B34" t="inlineStr">
        <is>
          <t>สะพานภูมิพลที่ 1 ไปสะพานภูมิพลที่ 2</t>
        </is>
      </c>
      <c r="C34" t="inlineStr">
        <is>
          <t>สมุทรปราการ</t>
        </is>
      </c>
      <c r="D34" t="inlineStr">
        <is>
          <t>ส.013</t>
        </is>
      </c>
      <c r="E34" t="inlineStr">
        <is>
          <t>0.2–4.7</t>
        </is>
      </c>
      <c r="G34" t="n">
        <v>12</v>
      </c>
      <c r="H34" t="n">
        <v>0</v>
      </c>
      <c r="I34" t="n">
        <v>12</v>
      </c>
      <c r="J34" t="n">
        <v>1</v>
      </c>
      <c r="K34" t="inlineStr">
        <is>
          <t>medium</t>
        </is>
      </c>
      <c r="L34" s="2" t="inlineStr"/>
      <c r="M34" s="3" t="inlineStr">
        <is>
          <t>ทช. ให้ค่า 0 (ไม่ได้สำรวจ)</t>
        </is>
      </c>
      <c r="N34" s="6" t="inlineStr">
        <is>
          <t>เปิดลิงก์</t>
        </is>
      </c>
      <c r="O34" t="inlineStr">
        <is>
          <t>ค้น road_code = ส.013 → คอลัมน์ sum_AADT</t>
        </is>
      </c>
      <c r="P34" s="2" t="inlineStr"/>
      <c r="Q34" s="3" t="inlineStr">
        <is>
          <t>ทช. ให้ค่า 0 (ไม่ได้สำรวจ)</t>
        </is>
      </c>
      <c r="R34" s="6" t="inlineStr">
        <is>
          <t>เปิดลิงก์</t>
        </is>
      </c>
      <c r="S34" t="inlineStr">
        <is>
          <t>ค้น road_code = ส.013 → คอลัมน์ sum_AADT</t>
        </is>
      </c>
      <c r="T34" s="2" t="inlineStr"/>
      <c r="U34" s="3" t="inlineStr">
        <is>
          <t>ไม่มีแถวนี้ในไฟล์</t>
        </is>
      </c>
      <c r="V34" s="6" t="inlineStr">
        <is>
          <t>เปิดลิงก์</t>
        </is>
      </c>
      <c r="W34" t="inlineStr">
        <is>
          <t>ค้น road_code = ส.013 → คอลัมน์ sum_AADT</t>
        </is>
      </c>
      <c r="X34" s="9" t="inlineStr">
        <is>
          <t>ใช้ค่าที่อธิบดี ทช. เปิดเผย</t>
        </is>
      </c>
      <c r="Y34" s="2" t="n">
        <v>90303</v>
      </c>
      <c r="Z34" t="n">
        <v>3</v>
      </c>
      <c r="AA34" t="n">
        <v>1</v>
      </c>
      <c r="AB34" s="2">
        <f>G34*1000000</f>
        <v/>
      </c>
      <c r="AC34" s="2">
        <f>365*Z34*Y34*AA34</f>
        <v/>
      </c>
      <c r="AD34" s="7">
        <f>AB34/AC34</f>
        <v/>
      </c>
      <c r="AE34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34" s="6" t="inlineStr">
        <is>
          <t>https://mgronline.com/business/detail/9690000025473</t>
        </is>
      </c>
      <c r="AG34" s="6" t="inlineStr">
        <is>
          <t>https://www.fm91bkk.com/newsarticle/68309</t>
        </is>
      </c>
    </row>
    <row r="35">
      <c r="A35" t="inlineStr">
        <is>
          <t>zone_183</t>
        </is>
      </c>
      <c r="B35" t="inlineStr">
        <is>
          <t>สะพานภูมิพลที่ 1 ไปสะพานภูมิพลที่ 2</t>
        </is>
      </c>
      <c r="C35" t="inlineStr">
        <is>
          <t>สมุทรปราการ</t>
        </is>
      </c>
      <c r="D35" t="inlineStr">
        <is>
          <t>ส.013</t>
        </is>
      </c>
      <c r="E35" t="inlineStr">
        <is>
          <t>3.8–4.1</t>
        </is>
      </c>
      <c r="G35" t="n">
        <v>8</v>
      </c>
      <c r="H35" t="n">
        <v>0</v>
      </c>
      <c r="I35" t="n">
        <v>1</v>
      </c>
      <c r="J35" t="n">
        <v>0.125</v>
      </c>
      <c r="K35" t="inlineStr">
        <is>
          <t>low</t>
        </is>
      </c>
      <c r="L35" s="2" t="inlineStr"/>
      <c r="M35" s="3" t="inlineStr">
        <is>
          <t>ทช. ให้ค่า 0 (ไม่ได้สำรวจ)</t>
        </is>
      </c>
      <c r="N35" s="6" t="inlineStr">
        <is>
          <t>เปิดลิงก์</t>
        </is>
      </c>
      <c r="O35" t="inlineStr">
        <is>
          <t>ค้น road_code = ส.013 → คอลัมน์ sum_AADT</t>
        </is>
      </c>
      <c r="P35" s="2" t="inlineStr"/>
      <c r="Q35" s="3" t="inlineStr">
        <is>
          <t>ทช. ให้ค่า 0 (ไม่ได้สำรวจ)</t>
        </is>
      </c>
      <c r="R35" s="6" t="inlineStr">
        <is>
          <t>เปิดลิงก์</t>
        </is>
      </c>
      <c r="S35" t="inlineStr">
        <is>
          <t>ค้น road_code = ส.013 → คอลัมน์ sum_AADT</t>
        </is>
      </c>
      <c r="T35" s="2" t="inlineStr"/>
      <c r="U35" s="3" t="inlineStr">
        <is>
          <t>ไม่มีแถวนี้ในไฟล์</t>
        </is>
      </c>
      <c r="V35" s="6" t="inlineStr">
        <is>
          <t>เปิดลิงก์</t>
        </is>
      </c>
      <c r="W35" t="inlineStr">
        <is>
          <t>ค้น road_code = ส.013 → คอลัมน์ sum_AADT</t>
        </is>
      </c>
      <c r="X35" s="9" t="inlineStr">
        <is>
          <t>ใช้ค่าที่อธิบดี ทช. เปิดเผย</t>
        </is>
      </c>
      <c r="Y35" s="2" t="n">
        <v>90303</v>
      </c>
      <c r="Z35" t="n">
        <v>3</v>
      </c>
      <c r="AA35" t="n">
        <v>1</v>
      </c>
      <c r="AB35" s="2">
        <f>G35*1000000</f>
        <v/>
      </c>
      <c r="AC35" s="2">
        <f>365*Z35*Y35*AA35</f>
        <v/>
      </c>
      <c r="AD35" s="7">
        <f>AB35/AC35</f>
        <v/>
      </c>
      <c r="AE35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35" s="6" t="inlineStr">
        <is>
          <t>https://mgronline.com/business/detail/9690000025473</t>
        </is>
      </c>
      <c r="AG35" s="6" t="inlineStr">
        <is>
          <t>https://www.fm91bkk.com/newsarticle/68309</t>
        </is>
      </c>
    </row>
    <row r="36">
      <c r="A36" t="inlineStr">
        <is>
          <t>zone_193</t>
        </is>
      </c>
      <c r="B36" t="inlineStr">
        <is>
          <t>ออกจากสะพานภูมิพลที่ 2 ไปถนนวงแหวนอุตสาหกรรม</t>
        </is>
      </c>
      <c r="C36" t="inlineStr">
        <is>
          <t>กรุงเทพมหานคร</t>
        </is>
      </c>
      <c r="D36" t="inlineStr">
        <is>
          <t>ส.013</t>
        </is>
      </c>
      <c r="E36" t="inlineStr">
        <is>
          <t>2.1–2.874</t>
        </is>
      </c>
      <c r="G36" t="n">
        <v>9</v>
      </c>
      <c r="H36" t="n">
        <v>2</v>
      </c>
      <c r="I36" t="n">
        <v>0</v>
      </c>
      <c r="J36" t="n">
        <v>0.2222</v>
      </c>
      <c r="K36" t="inlineStr">
        <is>
          <t>low</t>
        </is>
      </c>
      <c r="L36" s="2" t="inlineStr"/>
      <c r="M36" s="3" t="inlineStr">
        <is>
          <t>ทช. ให้ค่า 0 (ไม่ได้สำรวจ)</t>
        </is>
      </c>
      <c r="N36" s="6" t="inlineStr">
        <is>
          <t>เปิดลิงก์</t>
        </is>
      </c>
      <c r="O36" t="inlineStr">
        <is>
          <t>ค้น road_code = ส.013 → คอลัมน์ sum_AADT</t>
        </is>
      </c>
      <c r="P36" s="2" t="inlineStr"/>
      <c r="Q36" s="3" t="inlineStr">
        <is>
          <t>ทช. ให้ค่า 0 (ไม่ได้สำรวจ)</t>
        </is>
      </c>
      <c r="R36" s="6" t="inlineStr">
        <is>
          <t>เปิดลิงก์</t>
        </is>
      </c>
      <c r="S36" t="inlineStr">
        <is>
          <t>ค้น road_code = ส.013 → คอลัมน์ sum_AADT</t>
        </is>
      </c>
      <c r="T36" s="2" t="inlineStr"/>
      <c r="U36" s="3" t="inlineStr">
        <is>
          <t>ไม่มีแถวนี้ในไฟล์</t>
        </is>
      </c>
      <c r="V36" s="6" t="inlineStr">
        <is>
          <t>เปิดลิงก์</t>
        </is>
      </c>
      <c r="W36" t="inlineStr">
        <is>
          <t>ค้น road_code = ส.013 → คอลัมน์ sum_AADT</t>
        </is>
      </c>
      <c r="X36" s="9" t="inlineStr">
        <is>
          <t>ใช้ค่าที่อธิบดี ทช. เปิดเผย</t>
        </is>
      </c>
      <c r="Y36" s="2" t="n">
        <v>90303</v>
      </c>
      <c r="Z36" t="n">
        <v>3</v>
      </c>
      <c r="AA36" t="n">
        <v>1</v>
      </c>
      <c r="AB36" s="2">
        <f>G36*1000000</f>
        <v/>
      </c>
      <c r="AC36" s="2">
        <f>365*Z36*Y36*AA36</f>
        <v/>
      </c>
      <c r="AD36" s="7">
        <f>AB36/AC36</f>
        <v/>
      </c>
      <c r="AE36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36" s="6" t="inlineStr">
        <is>
          <t>https://mgronline.com/business/detail/9690000025473</t>
        </is>
      </c>
      <c r="AG36" s="6" t="inlineStr">
        <is>
          <t>https://www.fm91bkk.com/newsarticle/68309</t>
        </is>
      </c>
    </row>
    <row r="37">
      <c r="A37" t="inlineStr">
        <is>
          <t>zone_194</t>
        </is>
      </c>
      <c r="B37" t="inlineStr">
        <is>
          <t>ออกจากสะพานภูมิพลที่ 2 ไปถนนวงแหวนอุตสาหกรรม</t>
        </is>
      </c>
      <c r="C37" t="inlineStr">
        <is>
          <t>สมุทรปราการ</t>
        </is>
      </c>
      <c r="D37" t="inlineStr">
        <is>
          <t>ส.013</t>
        </is>
      </c>
      <c r="E37" t="inlineStr">
        <is>
          <t>0.2–1.9</t>
        </is>
      </c>
      <c r="G37" t="n">
        <v>41</v>
      </c>
      <c r="H37" t="n">
        <v>0</v>
      </c>
      <c r="I37" t="n">
        <v>14</v>
      </c>
      <c r="J37" t="n">
        <v>0.3415</v>
      </c>
      <c r="K37" t="inlineStr">
        <is>
          <t>low</t>
        </is>
      </c>
      <c r="L37" s="2" t="inlineStr"/>
      <c r="M37" s="3" t="inlineStr">
        <is>
          <t>ทช. ให้ค่า 0 (ไม่ได้สำรวจ)</t>
        </is>
      </c>
      <c r="N37" s="6" t="inlineStr">
        <is>
          <t>เปิดลิงก์</t>
        </is>
      </c>
      <c r="O37" t="inlineStr">
        <is>
          <t>ค้น road_code = ส.013 → คอลัมน์ sum_AADT</t>
        </is>
      </c>
      <c r="P37" s="2" t="inlineStr"/>
      <c r="Q37" s="3" t="inlineStr">
        <is>
          <t>ทช. ให้ค่า 0 (ไม่ได้สำรวจ)</t>
        </is>
      </c>
      <c r="R37" s="6" t="inlineStr">
        <is>
          <t>เปิดลิงก์</t>
        </is>
      </c>
      <c r="S37" t="inlineStr">
        <is>
          <t>ค้น road_code = ส.013 → คอลัมน์ sum_AADT</t>
        </is>
      </c>
      <c r="T37" s="2" t="inlineStr"/>
      <c r="U37" s="3" t="inlineStr">
        <is>
          <t>ไม่มีแถวนี้ในไฟล์</t>
        </is>
      </c>
      <c r="V37" s="6" t="inlineStr">
        <is>
          <t>เปิดลิงก์</t>
        </is>
      </c>
      <c r="W37" t="inlineStr">
        <is>
          <t>ค้น road_code = ส.013 → คอลัมน์ sum_AADT</t>
        </is>
      </c>
      <c r="X37" s="9" t="inlineStr">
        <is>
          <t>ใช้ค่าที่อธิบดี ทช. เปิดเผย</t>
        </is>
      </c>
      <c r="Y37" s="2" t="n">
        <v>90303</v>
      </c>
      <c r="Z37" t="n">
        <v>3</v>
      </c>
      <c r="AA37" t="n">
        <v>1</v>
      </c>
      <c r="AB37" s="2">
        <f>G37*1000000</f>
        <v/>
      </c>
      <c r="AC37" s="2">
        <f>365*Z37*Y37*AA37</f>
        <v/>
      </c>
      <c r="AD37" s="7">
        <f>AB37/AC37</f>
        <v/>
      </c>
      <c r="AE37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37" s="6" t="inlineStr">
        <is>
          <t>https://mgronline.com/business/detail/9690000025473</t>
        </is>
      </c>
      <c r="AG37" s="6" t="inlineStr">
        <is>
          <t>https://www.fm91bkk.com/newsarticle/68309</t>
        </is>
      </c>
    </row>
    <row r="38">
      <c r="A38" t="inlineStr">
        <is>
          <t>zone_195</t>
        </is>
      </c>
      <c r="B38" t="inlineStr">
        <is>
          <t>ออกจากสะพานภูมิพลที่ 2 ไปถนนวงแหวนอุตสาหกรรม</t>
        </is>
      </c>
      <c r="C38" t="inlineStr">
        <is>
          <t>สมุทรปราการ</t>
        </is>
      </c>
      <c r="D38" t="inlineStr">
        <is>
          <t>ส.013</t>
        </is>
      </c>
      <c r="E38" t="inlineStr">
        <is>
          <t>0.25–0.8</t>
        </is>
      </c>
      <c r="G38" t="n">
        <v>5</v>
      </c>
      <c r="H38" t="n">
        <v>0</v>
      </c>
      <c r="I38" t="n">
        <v>0</v>
      </c>
      <c r="J38" t="n">
        <v>0</v>
      </c>
      <c r="K38" t="inlineStr">
        <is>
          <t>low</t>
        </is>
      </c>
      <c r="L38" s="2" t="inlineStr"/>
      <c r="M38" s="3" t="inlineStr">
        <is>
          <t>ทช. ให้ค่า 0 (ไม่ได้สำรวจ)</t>
        </is>
      </c>
      <c r="N38" s="6" t="inlineStr">
        <is>
          <t>เปิดลิงก์</t>
        </is>
      </c>
      <c r="O38" t="inlineStr">
        <is>
          <t>ค้น road_code = ส.013 → คอลัมน์ sum_AADT</t>
        </is>
      </c>
      <c r="P38" s="2" t="inlineStr"/>
      <c r="Q38" s="3" t="inlineStr">
        <is>
          <t>ทช. ให้ค่า 0 (ไม่ได้สำรวจ)</t>
        </is>
      </c>
      <c r="R38" s="6" t="inlineStr">
        <is>
          <t>เปิดลิงก์</t>
        </is>
      </c>
      <c r="S38" t="inlineStr">
        <is>
          <t>ค้น road_code = ส.013 → คอลัมน์ sum_AADT</t>
        </is>
      </c>
      <c r="T38" s="2" t="inlineStr"/>
      <c r="U38" s="3" t="inlineStr">
        <is>
          <t>ไม่มีแถวนี้ในไฟล์</t>
        </is>
      </c>
      <c r="V38" s="6" t="inlineStr">
        <is>
          <t>เปิดลิงก์</t>
        </is>
      </c>
      <c r="W38" t="inlineStr">
        <is>
          <t>ค้น road_code = ส.013 → คอลัมน์ sum_AADT</t>
        </is>
      </c>
      <c r="X38" s="9" t="inlineStr">
        <is>
          <t>ใช้ค่าที่อธิบดี ทช. เปิดเผย</t>
        </is>
      </c>
      <c r="Y38" s="2" t="n">
        <v>90303</v>
      </c>
      <c r="Z38" t="n">
        <v>3</v>
      </c>
      <c r="AA38" t="n">
        <v>1</v>
      </c>
      <c r="AB38" s="2">
        <f>G38*1000000</f>
        <v/>
      </c>
      <c r="AC38" s="2">
        <f>365*Z38*Y38*AA38</f>
        <v/>
      </c>
      <c r="AD38" s="7">
        <f>AB38/AC38</f>
        <v/>
      </c>
      <c r="AE38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38" s="6" t="inlineStr">
        <is>
          <t>https://mgronline.com/business/detail/9690000025473</t>
        </is>
      </c>
      <c r="AG38" s="6" t="inlineStr">
        <is>
          <t>https://www.fm91bkk.com/newsarticle/68309</t>
        </is>
      </c>
    </row>
    <row r="39">
      <c r="A39" t="inlineStr">
        <is>
          <t>zone_196</t>
        </is>
      </c>
      <c r="B39" t="inlineStr">
        <is>
          <t>ออกจากสะพานภูมิพลที่ 2 ไปถนนวงแหวนอุตสาหกรรม</t>
        </is>
      </c>
      <c r="C39" t="inlineStr">
        <is>
          <t>สมุทรปราการ</t>
        </is>
      </c>
      <c r="D39" t="inlineStr">
        <is>
          <t>ส.013</t>
        </is>
      </c>
      <c r="E39" t="inlineStr">
        <is>
          <t>1.9–2.1</t>
        </is>
      </c>
      <c r="G39" t="n">
        <v>3</v>
      </c>
      <c r="H39" t="n">
        <v>0</v>
      </c>
      <c r="I39" t="n">
        <v>1</v>
      </c>
      <c r="J39" t="n">
        <v>0.3333</v>
      </c>
      <c r="K39" t="inlineStr">
        <is>
          <t>low</t>
        </is>
      </c>
      <c r="L39" s="2" t="inlineStr"/>
      <c r="M39" s="3" t="inlineStr">
        <is>
          <t>ทช. ให้ค่า 0 (ไม่ได้สำรวจ)</t>
        </is>
      </c>
      <c r="N39" s="6" t="inlineStr">
        <is>
          <t>เปิดลิงก์</t>
        </is>
      </c>
      <c r="O39" t="inlineStr">
        <is>
          <t>ค้น road_code = ส.013 → คอลัมน์ sum_AADT</t>
        </is>
      </c>
      <c r="P39" s="2" t="inlineStr"/>
      <c r="Q39" s="3" t="inlineStr">
        <is>
          <t>ทช. ให้ค่า 0 (ไม่ได้สำรวจ)</t>
        </is>
      </c>
      <c r="R39" s="6" t="inlineStr">
        <is>
          <t>เปิดลิงก์</t>
        </is>
      </c>
      <c r="S39" t="inlineStr">
        <is>
          <t>ค้น road_code = ส.013 → คอลัมน์ sum_AADT</t>
        </is>
      </c>
      <c r="T39" s="2" t="inlineStr"/>
      <c r="U39" s="3" t="inlineStr">
        <is>
          <t>ไม่มีแถวนี้ในไฟล์</t>
        </is>
      </c>
      <c r="V39" s="6" t="inlineStr">
        <is>
          <t>เปิดลิงก์</t>
        </is>
      </c>
      <c r="W39" t="inlineStr">
        <is>
          <t>ค้น road_code = ส.013 → คอลัมน์ sum_AADT</t>
        </is>
      </c>
      <c r="X39" s="9" t="inlineStr">
        <is>
          <t>ใช้ค่าที่อธิบดี ทช. เปิดเผย</t>
        </is>
      </c>
      <c r="Y39" s="2" t="n">
        <v>90303</v>
      </c>
      <c r="Z39" t="n">
        <v>3</v>
      </c>
      <c r="AA39" t="n">
        <v>1</v>
      </c>
      <c r="AB39" s="2">
        <f>G39*1000000</f>
        <v/>
      </c>
      <c r="AC39" s="2">
        <f>365*Z39*Y39*AA39</f>
        <v/>
      </c>
      <c r="AD39" s="7">
        <f>AB39/AC39</f>
        <v/>
      </c>
      <c r="AE39" t="inlineStr">
        <is>
          <t>อธิบดีกรมทางหลวงชนบท (นายพิชิต หุ่นศิริ) 16 มี.ค. 2569: "โดยมีปริมาณจราจรมากถึง 90,303 คันต่อวัน" (สะพานภูมิพล 1 และ 2)</t>
        </is>
      </c>
      <c r="AF39" s="6" t="inlineStr">
        <is>
          <t>https://mgronline.com/business/detail/9690000025473</t>
        </is>
      </c>
      <c r="AG39" s="6" t="inlineStr">
        <is>
          <t>https://www.fm91bkk.com/newsarticle/68309</t>
        </is>
      </c>
    </row>
  </sheetData>
  <autoFilter ref="A1:AA39"/>
  <hyperlinks>
    <hyperlink xmlns:r="http://schemas.openxmlformats.org/officeDocument/2006/relationships" ref="N2" r:id="rId1"/>
    <hyperlink xmlns:r="http://schemas.openxmlformats.org/officeDocument/2006/relationships" ref="R2" r:id="rId2"/>
    <hyperlink xmlns:r="http://schemas.openxmlformats.org/officeDocument/2006/relationships" ref="V2" r:id="rId3"/>
    <hyperlink xmlns:r="http://schemas.openxmlformats.org/officeDocument/2006/relationships" ref="N3" r:id="rId4"/>
    <hyperlink xmlns:r="http://schemas.openxmlformats.org/officeDocument/2006/relationships" ref="R3" r:id="rId5"/>
    <hyperlink xmlns:r="http://schemas.openxmlformats.org/officeDocument/2006/relationships" ref="V3" r:id="rId6"/>
    <hyperlink xmlns:r="http://schemas.openxmlformats.org/officeDocument/2006/relationships" ref="N4" r:id="rId7"/>
    <hyperlink xmlns:r="http://schemas.openxmlformats.org/officeDocument/2006/relationships" ref="R4" r:id="rId8"/>
    <hyperlink xmlns:r="http://schemas.openxmlformats.org/officeDocument/2006/relationships" ref="V4" r:id="rId9"/>
    <hyperlink xmlns:r="http://schemas.openxmlformats.org/officeDocument/2006/relationships" ref="N5" r:id="rId10"/>
    <hyperlink xmlns:r="http://schemas.openxmlformats.org/officeDocument/2006/relationships" ref="R5" r:id="rId11"/>
    <hyperlink xmlns:r="http://schemas.openxmlformats.org/officeDocument/2006/relationships" ref="V5" r:id="rId12"/>
    <hyperlink xmlns:r="http://schemas.openxmlformats.org/officeDocument/2006/relationships" ref="N6" r:id="rId13"/>
    <hyperlink xmlns:r="http://schemas.openxmlformats.org/officeDocument/2006/relationships" ref="R6" r:id="rId14"/>
    <hyperlink xmlns:r="http://schemas.openxmlformats.org/officeDocument/2006/relationships" ref="V6" r:id="rId15"/>
    <hyperlink xmlns:r="http://schemas.openxmlformats.org/officeDocument/2006/relationships" ref="N7" r:id="rId16"/>
    <hyperlink xmlns:r="http://schemas.openxmlformats.org/officeDocument/2006/relationships" ref="R7" r:id="rId17"/>
    <hyperlink xmlns:r="http://schemas.openxmlformats.org/officeDocument/2006/relationships" ref="V7" r:id="rId18"/>
    <hyperlink xmlns:r="http://schemas.openxmlformats.org/officeDocument/2006/relationships" ref="N8" r:id="rId19"/>
    <hyperlink xmlns:r="http://schemas.openxmlformats.org/officeDocument/2006/relationships" ref="R8" r:id="rId20"/>
    <hyperlink xmlns:r="http://schemas.openxmlformats.org/officeDocument/2006/relationships" ref="V8" r:id="rId21"/>
    <hyperlink xmlns:r="http://schemas.openxmlformats.org/officeDocument/2006/relationships" ref="N9" r:id="rId22"/>
    <hyperlink xmlns:r="http://schemas.openxmlformats.org/officeDocument/2006/relationships" ref="R9" r:id="rId23"/>
    <hyperlink xmlns:r="http://schemas.openxmlformats.org/officeDocument/2006/relationships" ref="V9" r:id="rId24"/>
    <hyperlink xmlns:r="http://schemas.openxmlformats.org/officeDocument/2006/relationships" ref="AF9" r:id="rId25"/>
    <hyperlink xmlns:r="http://schemas.openxmlformats.org/officeDocument/2006/relationships" ref="AG9" r:id="rId26"/>
    <hyperlink xmlns:r="http://schemas.openxmlformats.org/officeDocument/2006/relationships" ref="N10" r:id="rId27"/>
    <hyperlink xmlns:r="http://schemas.openxmlformats.org/officeDocument/2006/relationships" ref="R10" r:id="rId28"/>
    <hyperlink xmlns:r="http://schemas.openxmlformats.org/officeDocument/2006/relationships" ref="V10" r:id="rId29"/>
    <hyperlink xmlns:r="http://schemas.openxmlformats.org/officeDocument/2006/relationships" ref="AF10" r:id="rId30"/>
    <hyperlink xmlns:r="http://schemas.openxmlformats.org/officeDocument/2006/relationships" ref="AG10" r:id="rId31"/>
    <hyperlink xmlns:r="http://schemas.openxmlformats.org/officeDocument/2006/relationships" ref="N11" r:id="rId32"/>
    <hyperlink xmlns:r="http://schemas.openxmlformats.org/officeDocument/2006/relationships" ref="R11" r:id="rId33"/>
    <hyperlink xmlns:r="http://schemas.openxmlformats.org/officeDocument/2006/relationships" ref="V11" r:id="rId34"/>
    <hyperlink xmlns:r="http://schemas.openxmlformats.org/officeDocument/2006/relationships" ref="AF11" r:id="rId35"/>
    <hyperlink xmlns:r="http://schemas.openxmlformats.org/officeDocument/2006/relationships" ref="AG11" r:id="rId36"/>
    <hyperlink xmlns:r="http://schemas.openxmlformats.org/officeDocument/2006/relationships" ref="N12" r:id="rId37"/>
    <hyperlink xmlns:r="http://schemas.openxmlformats.org/officeDocument/2006/relationships" ref="R12" r:id="rId38"/>
    <hyperlink xmlns:r="http://schemas.openxmlformats.org/officeDocument/2006/relationships" ref="V12" r:id="rId39"/>
    <hyperlink xmlns:r="http://schemas.openxmlformats.org/officeDocument/2006/relationships" ref="AF12" r:id="rId40"/>
    <hyperlink xmlns:r="http://schemas.openxmlformats.org/officeDocument/2006/relationships" ref="AG12" r:id="rId41"/>
    <hyperlink xmlns:r="http://schemas.openxmlformats.org/officeDocument/2006/relationships" ref="N13" r:id="rId42"/>
    <hyperlink xmlns:r="http://schemas.openxmlformats.org/officeDocument/2006/relationships" ref="R13" r:id="rId43"/>
    <hyperlink xmlns:r="http://schemas.openxmlformats.org/officeDocument/2006/relationships" ref="V13" r:id="rId44"/>
    <hyperlink xmlns:r="http://schemas.openxmlformats.org/officeDocument/2006/relationships" ref="AF13" r:id="rId45"/>
    <hyperlink xmlns:r="http://schemas.openxmlformats.org/officeDocument/2006/relationships" ref="AG13" r:id="rId46"/>
    <hyperlink xmlns:r="http://schemas.openxmlformats.org/officeDocument/2006/relationships" ref="N14" r:id="rId47"/>
    <hyperlink xmlns:r="http://schemas.openxmlformats.org/officeDocument/2006/relationships" ref="R14" r:id="rId48"/>
    <hyperlink xmlns:r="http://schemas.openxmlformats.org/officeDocument/2006/relationships" ref="V14" r:id="rId49"/>
    <hyperlink xmlns:r="http://schemas.openxmlformats.org/officeDocument/2006/relationships" ref="AF14" r:id="rId50"/>
    <hyperlink xmlns:r="http://schemas.openxmlformats.org/officeDocument/2006/relationships" ref="AG14" r:id="rId51"/>
    <hyperlink xmlns:r="http://schemas.openxmlformats.org/officeDocument/2006/relationships" ref="N15" r:id="rId52"/>
    <hyperlink xmlns:r="http://schemas.openxmlformats.org/officeDocument/2006/relationships" ref="R15" r:id="rId53"/>
    <hyperlink xmlns:r="http://schemas.openxmlformats.org/officeDocument/2006/relationships" ref="V15" r:id="rId54"/>
    <hyperlink xmlns:r="http://schemas.openxmlformats.org/officeDocument/2006/relationships" ref="AF15" r:id="rId55"/>
    <hyperlink xmlns:r="http://schemas.openxmlformats.org/officeDocument/2006/relationships" ref="AG15" r:id="rId56"/>
    <hyperlink xmlns:r="http://schemas.openxmlformats.org/officeDocument/2006/relationships" ref="N16" r:id="rId57"/>
    <hyperlink xmlns:r="http://schemas.openxmlformats.org/officeDocument/2006/relationships" ref="R16" r:id="rId58"/>
    <hyperlink xmlns:r="http://schemas.openxmlformats.org/officeDocument/2006/relationships" ref="V16" r:id="rId59"/>
    <hyperlink xmlns:r="http://schemas.openxmlformats.org/officeDocument/2006/relationships" ref="AF16" r:id="rId60"/>
    <hyperlink xmlns:r="http://schemas.openxmlformats.org/officeDocument/2006/relationships" ref="AG16" r:id="rId61"/>
    <hyperlink xmlns:r="http://schemas.openxmlformats.org/officeDocument/2006/relationships" ref="N17" r:id="rId62"/>
    <hyperlink xmlns:r="http://schemas.openxmlformats.org/officeDocument/2006/relationships" ref="R17" r:id="rId63"/>
    <hyperlink xmlns:r="http://schemas.openxmlformats.org/officeDocument/2006/relationships" ref="V17" r:id="rId64"/>
    <hyperlink xmlns:r="http://schemas.openxmlformats.org/officeDocument/2006/relationships" ref="AF17" r:id="rId65"/>
    <hyperlink xmlns:r="http://schemas.openxmlformats.org/officeDocument/2006/relationships" ref="AG17" r:id="rId66"/>
    <hyperlink xmlns:r="http://schemas.openxmlformats.org/officeDocument/2006/relationships" ref="N18" r:id="rId67"/>
    <hyperlink xmlns:r="http://schemas.openxmlformats.org/officeDocument/2006/relationships" ref="R18" r:id="rId68"/>
    <hyperlink xmlns:r="http://schemas.openxmlformats.org/officeDocument/2006/relationships" ref="V18" r:id="rId69"/>
    <hyperlink xmlns:r="http://schemas.openxmlformats.org/officeDocument/2006/relationships" ref="AF18" r:id="rId70"/>
    <hyperlink xmlns:r="http://schemas.openxmlformats.org/officeDocument/2006/relationships" ref="AG18" r:id="rId71"/>
    <hyperlink xmlns:r="http://schemas.openxmlformats.org/officeDocument/2006/relationships" ref="N19" r:id="rId72"/>
    <hyperlink xmlns:r="http://schemas.openxmlformats.org/officeDocument/2006/relationships" ref="R19" r:id="rId73"/>
    <hyperlink xmlns:r="http://schemas.openxmlformats.org/officeDocument/2006/relationships" ref="V19" r:id="rId74"/>
    <hyperlink xmlns:r="http://schemas.openxmlformats.org/officeDocument/2006/relationships" ref="AF19" r:id="rId75"/>
    <hyperlink xmlns:r="http://schemas.openxmlformats.org/officeDocument/2006/relationships" ref="AG19" r:id="rId76"/>
    <hyperlink xmlns:r="http://schemas.openxmlformats.org/officeDocument/2006/relationships" ref="N20" r:id="rId77"/>
    <hyperlink xmlns:r="http://schemas.openxmlformats.org/officeDocument/2006/relationships" ref="R20" r:id="rId78"/>
    <hyperlink xmlns:r="http://schemas.openxmlformats.org/officeDocument/2006/relationships" ref="V20" r:id="rId79"/>
    <hyperlink xmlns:r="http://schemas.openxmlformats.org/officeDocument/2006/relationships" ref="AF20" r:id="rId80"/>
    <hyperlink xmlns:r="http://schemas.openxmlformats.org/officeDocument/2006/relationships" ref="AG20" r:id="rId81"/>
    <hyperlink xmlns:r="http://schemas.openxmlformats.org/officeDocument/2006/relationships" ref="N21" r:id="rId82"/>
    <hyperlink xmlns:r="http://schemas.openxmlformats.org/officeDocument/2006/relationships" ref="R21" r:id="rId83"/>
    <hyperlink xmlns:r="http://schemas.openxmlformats.org/officeDocument/2006/relationships" ref="V21" r:id="rId84"/>
    <hyperlink xmlns:r="http://schemas.openxmlformats.org/officeDocument/2006/relationships" ref="AF21" r:id="rId85"/>
    <hyperlink xmlns:r="http://schemas.openxmlformats.org/officeDocument/2006/relationships" ref="AG21" r:id="rId86"/>
    <hyperlink xmlns:r="http://schemas.openxmlformats.org/officeDocument/2006/relationships" ref="N22" r:id="rId87"/>
    <hyperlink xmlns:r="http://schemas.openxmlformats.org/officeDocument/2006/relationships" ref="R22" r:id="rId88"/>
    <hyperlink xmlns:r="http://schemas.openxmlformats.org/officeDocument/2006/relationships" ref="V22" r:id="rId89"/>
    <hyperlink xmlns:r="http://schemas.openxmlformats.org/officeDocument/2006/relationships" ref="AF22" r:id="rId90"/>
    <hyperlink xmlns:r="http://schemas.openxmlformats.org/officeDocument/2006/relationships" ref="AG22" r:id="rId91"/>
    <hyperlink xmlns:r="http://schemas.openxmlformats.org/officeDocument/2006/relationships" ref="N23" r:id="rId92"/>
    <hyperlink xmlns:r="http://schemas.openxmlformats.org/officeDocument/2006/relationships" ref="R23" r:id="rId93"/>
    <hyperlink xmlns:r="http://schemas.openxmlformats.org/officeDocument/2006/relationships" ref="V23" r:id="rId94"/>
    <hyperlink xmlns:r="http://schemas.openxmlformats.org/officeDocument/2006/relationships" ref="AF23" r:id="rId95"/>
    <hyperlink xmlns:r="http://schemas.openxmlformats.org/officeDocument/2006/relationships" ref="AG23" r:id="rId96"/>
    <hyperlink xmlns:r="http://schemas.openxmlformats.org/officeDocument/2006/relationships" ref="N24" r:id="rId97"/>
    <hyperlink xmlns:r="http://schemas.openxmlformats.org/officeDocument/2006/relationships" ref="R24" r:id="rId98"/>
    <hyperlink xmlns:r="http://schemas.openxmlformats.org/officeDocument/2006/relationships" ref="V24" r:id="rId99"/>
    <hyperlink xmlns:r="http://schemas.openxmlformats.org/officeDocument/2006/relationships" ref="AF24" r:id="rId100"/>
    <hyperlink xmlns:r="http://schemas.openxmlformats.org/officeDocument/2006/relationships" ref="AG24" r:id="rId101"/>
    <hyperlink xmlns:r="http://schemas.openxmlformats.org/officeDocument/2006/relationships" ref="N25" r:id="rId102"/>
    <hyperlink xmlns:r="http://schemas.openxmlformats.org/officeDocument/2006/relationships" ref="R25" r:id="rId103"/>
    <hyperlink xmlns:r="http://schemas.openxmlformats.org/officeDocument/2006/relationships" ref="V25" r:id="rId104"/>
    <hyperlink xmlns:r="http://schemas.openxmlformats.org/officeDocument/2006/relationships" ref="AF25" r:id="rId105"/>
    <hyperlink xmlns:r="http://schemas.openxmlformats.org/officeDocument/2006/relationships" ref="AG25" r:id="rId106"/>
    <hyperlink xmlns:r="http://schemas.openxmlformats.org/officeDocument/2006/relationships" ref="N26" r:id="rId107"/>
    <hyperlink xmlns:r="http://schemas.openxmlformats.org/officeDocument/2006/relationships" ref="R26" r:id="rId108"/>
    <hyperlink xmlns:r="http://schemas.openxmlformats.org/officeDocument/2006/relationships" ref="V26" r:id="rId109"/>
    <hyperlink xmlns:r="http://schemas.openxmlformats.org/officeDocument/2006/relationships" ref="AF26" r:id="rId110"/>
    <hyperlink xmlns:r="http://schemas.openxmlformats.org/officeDocument/2006/relationships" ref="AG26" r:id="rId111"/>
    <hyperlink xmlns:r="http://schemas.openxmlformats.org/officeDocument/2006/relationships" ref="N27" r:id="rId112"/>
    <hyperlink xmlns:r="http://schemas.openxmlformats.org/officeDocument/2006/relationships" ref="R27" r:id="rId113"/>
    <hyperlink xmlns:r="http://schemas.openxmlformats.org/officeDocument/2006/relationships" ref="V27" r:id="rId114"/>
    <hyperlink xmlns:r="http://schemas.openxmlformats.org/officeDocument/2006/relationships" ref="AF27" r:id="rId115"/>
    <hyperlink xmlns:r="http://schemas.openxmlformats.org/officeDocument/2006/relationships" ref="AG27" r:id="rId116"/>
    <hyperlink xmlns:r="http://schemas.openxmlformats.org/officeDocument/2006/relationships" ref="N28" r:id="rId117"/>
    <hyperlink xmlns:r="http://schemas.openxmlformats.org/officeDocument/2006/relationships" ref="R28" r:id="rId118"/>
    <hyperlink xmlns:r="http://schemas.openxmlformats.org/officeDocument/2006/relationships" ref="V28" r:id="rId119"/>
    <hyperlink xmlns:r="http://schemas.openxmlformats.org/officeDocument/2006/relationships" ref="AF28" r:id="rId120"/>
    <hyperlink xmlns:r="http://schemas.openxmlformats.org/officeDocument/2006/relationships" ref="AG28" r:id="rId121"/>
    <hyperlink xmlns:r="http://schemas.openxmlformats.org/officeDocument/2006/relationships" ref="N29" r:id="rId122"/>
    <hyperlink xmlns:r="http://schemas.openxmlformats.org/officeDocument/2006/relationships" ref="R29" r:id="rId123"/>
    <hyperlink xmlns:r="http://schemas.openxmlformats.org/officeDocument/2006/relationships" ref="V29" r:id="rId124"/>
    <hyperlink xmlns:r="http://schemas.openxmlformats.org/officeDocument/2006/relationships" ref="AF29" r:id="rId125"/>
    <hyperlink xmlns:r="http://schemas.openxmlformats.org/officeDocument/2006/relationships" ref="AG29" r:id="rId126"/>
    <hyperlink xmlns:r="http://schemas.openxmlformats.org/officeDocument/2006/relationships" ref="N30" r:id="rId127"/>
    <hyperlink xmlns:r="http://schemas.openxmlformats.org/officeDocument/2006/relationships" ref="R30" r:id="rId128"/>
    <hyperlink xmlns:r="http://schemas.openxmlformats.org/officeDocument/2006/relationships" ref="V30" r:id="rId129"/>
    <hyperlink xmlns:r="http://schemas.openxmlformats.org/officeDocument/2006/relationships" ref="AF30" r:id="rId130"/>
    <hyperlink xmlns:r="http://schemas.openxmlformats.org/officeDocument/2006/relationships" ref="AG30" r:id="rId131"/>
    <hyperlink xmlns:r="http://schemas.openxmlformats.org/officeDocument/2006/relationships" ref="N31" r:id="rId132"/>
    <hyperlink xmlns:r="http://schemas.openxmlformats.org/officeDocument/2006/relationships" ref="R31" r:id="rId133"/>
    <hyperlink xmlns:r="http://schemas.openxmlformats.org/officeDocument/2006/relationships" ref="V31" r:id="rId134"/>
    <hyperlink xmlns:r="http://schemas.openxmlformats.org/officeDocument/2006/relationships" ref="AF31" r:id="rId135"/>
    <hyperlink xmlns:r="http://schemas.openxmlformats.org/officeDocument/2006/relationships" ref="AG31" r:id="rId136"/>
    <hyperlink xmlns:r="http://schemas.openxmlformats.org/officeDocument/2006/relationships" ref="N32" r:id="rId137"/>
    <hyperlink xmlns:r="http://schemas.openxmlformats.org/officeDocument/2006/relationships" ref="R32" r:id="rId138"/>
    <hyperlink xmlns:r="http://schemas.openxmlformats.org/officeDocument/2006/relationships" ref="V32" r:id="rId139"/>
    <hyperlink xmlns:r="http://schemas.openxmlformats.org/officeDocument/2006/relationships" ref="AF32" r:id="rId140"/>
    <hyperlink xmlns:r="http://schemas.openxmlformats.org/officeDocument/2006/relationships" ref="AG32" r:id="rId141"/>
    <hyperlink xmlns:r="http://schemas.openxmlformats.org/officeDocument/2006/relationships" ref="N33" r:id="rId142"/>
    <hyperlink xmlns:r="http://schemas.openxmlformats.org/officeDocument/2006/relationships" ref="R33" r:id="rId143"/>
    <hyperlink xmlns:r="http://schemas.openxmlformats.org/officeDocument/2006/relationships" ref="V33" r:id="rId144"/>
    <hyperlink xmlns:r="http://schemas.openxmlformats.org/officeDocument/2006/relationships" ref="AF33" r:id="rId145"/>
    <hyperlink xmlns:r="http://schemas.openxmlformats.org/officeDocument/2006/relationships" ref="AG33" r:id="rId146"/>
    <hyperlink xmlns:r="http://schemas.openxmlformats.org/officeDocument/2006/relationships" ref="N34" r:id="rId147"/>
    <hyperlink xmlns:r="http://schemas.openxmlformats.org/officeDocument/2006/relationships" ref="R34" r:id="rId148"/>
    <hyperlink xmlns:r="http://schemas.openxmlformats.org/officeDocument/2006/relationships" ref="V34" r:id="rId149"/>
    <hyperlink xmlns:r="http://schemas.openxmlformats.org/officeDocument/2006/relationships" ref="AF34" r:id="rId150"/>
    <hyperlink xmlns:r="http://schemas.openxmlformats.org/officeDocument/2006/relationships" ref="AG34" r:id="rId151"/>
    <hyperlink xmlns:r="http://schemas.openxmlformats.org/officeDocument/2006/relationships" ref="N35" r:id="rId152"/>
    <hyperlink xmlns:r="http://schemas.openxmlformats.org/officeDocument/2006/relationships" ref="R35" r:id="rId153"/>
    <hyperlink xmlns:r="http://schemas.openxmlformats.org/officeDocument/2006/relationships" ref="V35" r:id="rId154"/>
    <hyperlink xmlns:r="http://schemas.openxmlformats.org/officeDocument/2006/relationships" ref="AF35" r:id="rId155"/>
    <hyperlink xmlns:r="http://schemas.openxmlformats.org/officeDocument/2006/relationships" ref="AG35" r:id="rId156"/>
    <hyperlink xmlns:r="http://schemas.openxmlformats.org/officeDocument/2006/relationships" ref="N36" r:id="rId157"/>
    <hyperlink xmlns:r="http://schemas.openxmlformats.org/officeDocument/2006/relationships" ref="R36" r:id="rId158"/>
    <hyperlink xmlns:r="http://schemas.openxmlformats.org/officeDocument/2006/relationships" ref="V36" r:id="rId159"/>
    <hyperlink xmlns:r="http://schemas.openxmlformats.org/officeDocument/2006/relationships" ref="AF36" r:id="rId160"/>
    <hyperlink xmlns:r="http://schemas.openxmlformats.org/officeDocument/2006/relationships" ref="AG36" r:id="rId161"/>
    <hyperlink xmlns:r="http://schemas.openxmlformats.org/officeDocument/2006/relationships" ref="N37" r:id="rId162"/>
    <hyperlink xmlns:r="http://schemas.openxmlformats.org/officeDocument/2006/relationships" ref="R37" r:id="rId163"/>
    <hyperlink xmlns:r="http://schemas.openxmlformats.org/officeDocument/2006/relationships" ref="V37" r:id="rId164"/>
    <hyperlink xmlns:r="http://schemas.openxmlformats.org/officeDocument/2006/relationships" ref="AF37" r:id="rId165"/>
    <hyperlink xmlns:r="http://schemas.openxmlformats.org/officeDocument/2006/relationships" ref="AG37" r:id="rId166"/>
    <hyperlink xmlns:r="http://schemas.openxmlformats.org/officeDocument/2006/relationships" ref="N38" r:id="rId167"/>
    <hyperlink xmlns:r="http://schemas.openxmlformats.org/officeDocument/2006/relationships" ref="R38" r:id="rId168"/>
    <hyperlink xmlns:r="http://schemas.openxmlformats.org/officeDocument/2006/relationships" ref="V38" r:id="rId169"/>
    <hyperlink xmlns:r="http://schemas.openxmlformats.org/officeDocument/2006/relationships" ref="AF38" r:id="rId170"/>
    <hyperlink xmlns:r="http://schemas.openxmlformats.org/officeDocument/2006/relationships" ref="AG38" r:id="rId171"/>
    <hyperlink xmlns:r="http://schemas.openxmlformats.org/officeDocument/2006/relationships" ref="N39" r:id="rId172"/>
    <hyperlink xmlns:r="http://schemas.openxmlformats.org/officeDocument/2006/relationships" ref="R39" r:id="rId173"/>
    <hyperlink xmlns:r="http://schemas.openxmlformats.org/officeDocument/2006/relationships" ref="V39" r:id="rId174"/>
    <hyperlink xmlns:r="http://schemas.openxmlformats.org/officeDocument/2006/relationships" ref="AF39" r:id="rId175"/>
    <hyperlink xmlns:r="http://schemas.openxmlformats.org/officeDocument/2006/relationships" ref="AG39" r:id="rId17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52" customWidth="1" min="4" max="4"/>
    <col width="14" customWidth="1" min="5" max="5"/>
  </cols>
  <sheetData>
    <row r="1" ht="42" customHeight="1">
      <c r="A1" s="1" t="inlineStr">
        <is>
          <t>ไฟล์</t>
        </is>
      </c>
      <c r="B1" s="1" t="inlineStr">
        <is>
          <t>budget_year</t>
        </is>
      </c>
      <c r="C1" s="1" t="inlineStr">
        <is>
          <t>road_code</t>
        </is>
      </c>
      <c r="D1" s="1" t="inlineStr">
        <is>
          <t>road_name</t>
        </is>
      </c>
      <c r="E1" s="1" t="inlineStr">
        <is>
          <t>sum_AADT</t>
        </is>
      </c>
    </row>
    <row r="2">
      <c r="A2" t="inlineStr">
        <is>
          <t>pcu-update-66.csv</t>
        </is>
      </c>
      <c r="B2" t="n">
        <v>2566</v>
      </c>
      <c r="C2" t="inlineStr">
        <is>
          <t>นฐ.5022</t>
        </is>
      </c>
      <c r="D2" t="inlineStr">
        <is>
          <t>ถนนศูนย์ราชการ</t>
        </is>
      </c>
      <c r="E2" t="n">
        <v>3492</v>
      </c>
    </row>
    <row r="3">
      <c r="A3" t="inlineStr">
        <is>
          <t>pcu-update-66.csv</t>
        </is>
      </c>
      <c r="B3" t="n">
        <v>2566</v>
      </c>
      <c r="C3" t="inlineStr">
        <is>
          <t>นบ.1002</t>
        </is>
      </c>
      <c r="D3" t="inlineStr">
        <is>
          <t>แยกทางหลวงหมายเลข 9 (กม.ที่ 42+500) - บ้านหนองเพรางาย</t>
        </is>
      </c>
      <c r="E3" t="n">
        <v>19261</v>
      </c>
    </row>
    <row r="4">
      <c r="A4" t="inlineStr">
        <is>
          <t>pcu-update-66.csv</t>
        </is>
      </c>
      <c r="B4" t="n">
        <v>2566</v>
      </c>
      <c r="C4" t="inlineStr">
        <is>
          <t>นบ.1013</t>
        </is>
      </c>
      <c r="D4" t="inlineStr">
        <is>
          <t>แยกทางหลวงหมายเลข 9 (กม.ที่ 43+490) - อำเภอไทรน้อย</t>
        </is>
      </c>
      <c r="E4" t="n">
        <v>10040</v>
      </c>
    </row>
    <row r="5">
      <c r="A5" t="inlineStr">
        <is>
          <t>pcu-update-66.csv</t>
        </is>
      </c>
      <c r="B5" t="n">
        <v>2566</v>
      </c>
      <c r="C5" t="inlineStr">
        <is>
          <t>นบ.3021</t>
        </is>
      </c>
      <c r="D5" t="inlineStr">
        <is>
          <t>ถนนราชพฤกษ์ (กม.ที่ 0+000 - 11+000)</t>
        </is>
      </c>
      <c r="E5" t="n">
        <v>0</v>
      </c>
    </row>
    <row r="6">
      <c r="A6" t="inlineStr">
        <is>
          <t>pcu-update-66.csv</t>
        </is>
      </c>
      <c r="B6" t="n">
        <v>2566</v>
      </c>
      <c r="C6" t="inlineStr">
        <is>
          <t>นบ.3021</t>
        </is>
      </c>
      <c r="D6" t="inlineStr">
        <is>
          <t>ถนนราชพฤกษ์ (กม.ที่ 28+000 - 42+200)</t>
        </is>
      </c>
      <c r="E6" t="n">
        <v>129948</v>
      </c>
    </row>
    <row r="7">
      <c r="A7" t="inlineStr">
        <is>
          <t>pcu-update-66.csv</t>
        </is>
      </c>
      <c r="B7" t="n">
        <v>2566</v>
      </c>
      <c r="C7" t="inlineStr">
        <is>
          <t>นบ.3021</t>
        </is>
      </c>
      <c r="D7" t="inlineStr">
        <is>
          <t>ถนนราชพฤกษ์ (กม.ที่ 11+000 - 28+000)</t>
        </is>
      </c>
      <c r="E7" t="n">
        <v>0</v>
      </c>
    </row>
    <row r="8">
      <c r="A8" t="inlineStr">
        <is>
          <t>pcu-update-66.csv</t>
        </is>
      </c>
      <c r="B8" t="n">
        <v>2566</v>
      </c>
      <c r="C8" t="inlineStr">
        <is>
          <t>ปท.3004</t>
        </is>
      </c>
      <c r="D8" t="inlineStr">
        <is>
          <t>แยกทางหลวงหมายเลข 305 (กม.ที่ 15+700) - บ้านลำลูกกา</t>
        </is>
      </c>
      <c r="E8" t="n">
        <v>24945</v>
      </c>
    </row>
    <row r="9">
      <c r="A9" t="inlineStr">
        <is>
          <t>pcu-update-66.csv</t>
        </is>
      </c>
      <c r="B9" t="n">
        <v>2566</v>
      </c>
      <c r="C9" t="inlineStr">
        <is>
          <t>ปท.3006</t>
        </is>
      </c>
      <c r="D9" t="inlineStr">
        <is>
          <t>แยกทางหลวงหมายเลข 305 (กม.ที่ 18+700) - บ้านคลองแปด</t>
        </is>
      </c>
      <c r="E9" t="n">
        <v>10991</v>
      </c>
    </row>
    <row r="10">
      <c r="A10" t="inlineStr">
        <is>
          <t>pcu-update-66.csv</t>
        </is>
      </c>
      <c r="B10" t="n">
        <v>2566</v>
      </c>
      <c r="C10" t="inlineStr">
        <is>
          <t>ส.012</t>
        </is>
      </c>
      <c r="D10" t="inlineStr">
        <is>
          <t>สะพานภูมิพล 1</t>
        </is>
      </c>
      <c r="E10" t="n">
        <v>0</v>
      </c>
    </row>
    <row r="11">
      <c r="A11" t="inlineStr">
        <is>
          <t>pcu-update-66.csv</t>
        </is>
      </c>
      <c r="B11" t="n">
        <v>2566</v>
      </c>
      <c r="C11" t="inlineStr">
        <is>
          <t>ส.013</t>
        </is>
      </c>
      <c r="D11" t="inlineStr">
        <is>
          <t>สะพานภูมิพล 2</t>
        </is>
      </c>
      <c r="E11" t="n">
        <v>0</v>
      </c>
    </row>
    <row r="12">
      <c r="A12" t="inlineStr">
        <is>
          <t>pcu-update-67.csv</t>
        </is>
      </c>
      <c r="B12" t="n">
        <v>2567</v>
      </c>
      <c r="C12" t="inlineStr">
        <is>
          <t>นฐ.5022</t>
        </is>
      </c>
      <c r="D12" t="inlineStr">
        <is>
          <t>ถนนศูนย์ราชการ</t>
        </is>
      </c>
      <c r="E12" t="n">
        <v>3602</v>
      </c>
    </row>
    <row r="13">
      <c r="A13" t="inlineStr">
        <is>
          <t>pcu-update-67.csv</t>
        </is>
      </c>
      <c r="B13" t="n">
        <v>2567</v>
      </c>
      <c r="C13" t="inlineStr">
        <is>
          <t>นบ.1002</t>
        </is>
      </c>
      <c r="D13" t="inlineStr">
        <is>
          <t>แยกทางหลวงหมายเลข 9 (กม.ที่ 42+500) - บ้านหนองเพรางาย</t>
        </is>
      </c>
      <c r="E13" t="n">
        <v>20230</v>
      </c>
    </row>
    <row r="14">
      <c r="A14" t="inlineStr">
        <is>
          <t>pcu-update-67.csv</t>
        </is>
      </c>
      <c r="B14" t="n">
        <v>2567</v>
      </c>
      <c r="C14" t="inlineStr">
        <is>
          <t>นบ.1013</t>
        </is>
      </c>
      <c r="D14" t="inlineStr">
        <is>
          <t>แยกทางหลวงหมายเลข 9 (กม.ที่ 43+490) - อำเภอไทรน้อย</t>
        </is>
      </c>
      <c r="E14" t="n">
        <v>10548</v>
      </c>
    </row>
    <row r="15">
      <c r="A15" t="inlineStr">
        <is>
          <t>pcu-update-67.csv</t>
        </is>
      </c>
      <c r="B15" t="n">
        <v>2567</v>
      </c>
      <c r="C15" t="inlineStr">
        <is>
          <t>นบ.3021</t>
        </is>
      </c>
      <c r="D15" t="inlineStr">
        <is>
          <t>ถนนราชพฤกษ์ (กม.ที่ 0+000 - 11+000)</t>
        </is>
      </c>
      <c r="E15" t="n">
        <v>0</v>
      </c>
    </row>
    <row r="16">
      <c r="A16" t="inlineStr">
        <is>
          <t>pcu-update-67.csv</t>
        </is>
      </c>
      <c r="B16" t="n">
        <v>2567</v>
      </c>
      <c r="C16" t="inlineStr">
        <is>
          <t>นบ.3021</t>
        </is>
      </c>
      <c r="D16" t="inlineStr">
        <is>
          <t>ถนนราชพฤกษ์ (กม.ที่ 11+000 - 28+000)</t>
        </is>
      </c>
      <c r="E16" t="n">
        <v>0</v>
      </c>
    </row>
    <row r="17">
      <c r="A17" t="inlineStr">
        <is>
          <t>pcu-update-67.csv</t>
        </is>
      </c>
      <c r="B17" t="n">
        <v>2567</v>
      </c>
      <c r="C17" t="inlineStr">
        <is>
          <t>นบ.3021</t>
        </is>
      </c>
      <c r="D17" t="inlineStr">
        <is>
          <t>ถนนราชพฤกษ์ (กม.ที่ 28+000 - 42+200)</t>
        </is>
      </c>
      <c r="E17" t="n">
        <v>136447</v>
      </c>
    </row>
    <row r="18">
      <c r="A18" t="inlineStr">
        <is>
          <t>pcu-update-67.csv</t>
        </is>
      </c>
      <c r="B18" t="n">
        <v>2567</v>
      </c>
      <c r="C18" t="inlineStr">
        <is>
          <t>ปท.3004</t>
        </is>
      </c>
      <c r="D18" t="inlineStr">
        <is>
          <t>แยกทางหลวงหมายเลข 305 (กม.ที่ 15+700) - บ้านลำลูกกา</t>
        </is>
      </c>
      <c r="E18" t="n">
        <v>26199</v>
      </c>
    </row>
    <row r="19">
      <c r="A19" t="inlineStr">
        <is>
          <t>pcu-update-67.csv</t>
        </is>
      </c>
      <c r="B19" t="n">
        <v>2567</v>
      </c>
      <c r="C19" t="inlineStr">
        <is>
          <t>ปท.3006</t>
        </is>
      </c>
      <c r="D19" t="inlineStr">
        <is>
          <t>แยกทางหลวงหมายเลข 305 (กม.ที่ 18+700) - บ้านคลองแปด</t>
        </is>
      </c>
      <c r="E19" t="n">
        <v>11546</v>
      </c>
    </row>
    <row r="20">
      <c r="A20" t="inlineStr">
        <is>
          <t>pcu-update-67.csv</t>
        </is>
      </c>
      <c r="B20" t="n">
        <v>2567</v>
      </c>
      <c r="C20" t="inlineStr">
        <is>
          <t>ส.012</t>
        </is>
      </c>
      <c r="D20" t="inlineStr">
        <is>
          <t>สะพานภูมิพล 1</t>
        </is>
      </c>
      <c r="E20" t="n">
        <v>0</v>
      </c>
    </row>
    <row r="21">
      <c r="A21" t="inlineStr">
        <is>
          <t>pcu-update-67.csv</t>
        </is>
      </c>
      <c r="B21" t="n">
        <v>2567</v>
      </c>
      <c r="C21" t="inlineStr">
        <is>
          <t>ส.013</t>
        </is>
      </c>
      <c r="D21" t="inlineStr">
        <is>
          <t>สะพานภูมิพล 2</t>
        </is>
      </c>
      <c r="E21" t="n">
        <v>0</v>
      </c>
    </row>
    <row r="22">
      <c r="A22" t="inlineStr">
        <is>
          <t>2568_traffic_aadt_drr.csv</t>
        </is>
      </c>
      <c r="B22" t="n">
        <v>2568</v>
      </c>
      <c r="C22" t="inlineStr">
        <is>
          <t>นฐ.5022</t>
        </is>
      </c>
      <c r="D22" t="inlineStr">
        <is>
          <t>ถนนศูนย์ราชการ</t>
        </is>
      </c>
      <c r="E22" t="n">
        <v>3385</v>
      </c>
    </row>
    <row r="23">
      <c r="A23" t="inlineStr">
        <is>
          <t>2568_traffic_aadt_drr.csv</t>
        </is>
      </c>
      <c r="B23" t="n">
        <v>2568</v>
      </c>
      <c r="C23" t="inlineStr">
        <is>
          <t>นบ.1002</t>
        </is>
      </c>
      <c r="D23" t="inlineStr">
        <is>
          <t>แยกทางหลวงหมายเลข 9 (กม.ที่ 42+500) - บ้านหนองเพรางาย</t>
        </is>
      </c>
      <c r="E23" t="n">
        <v>18338</v>
      </c>
    </row>
    <row r="24">
      <c r="A24" t="inlineStr">
        <is>
          <t>2568_traffic_aadt_drr.csv</t>
        </is>
      </c>
      <c r="B24" t="n">
        <v>2568</v>
      </c>
      <c r="C24" t="inlineStr">
        <is>
          <t>นบ.1013</t>
        </is>
      </c>
      <c r="D24" t="inlineStr">
        <is>
          <t>แยกทางหลวงหมายเลข 9 (กม.ที่ 43+490) - อำเภอไทรน้อย</t>
        </is>
      </c>
      <c r="E24" t="n">
        <v>9557</v>
      </c>
    </row>
    <row r="25">
      <c r="A25" t="inlineStr">
        <is>
          <t>2568_traffic_aadt_drr.csv</t>
        </is>
      </c>
      <c r="B25" t="n">
        <v>2568</v>
      </c>
      <c r="C25" t="inlineStr">
        <is>
          <t>นบ.3021</t>
        </is>
      </c>
      <c r="D25" t="inlineStr">
        <is>
          <t>ถนนราชพฤกษ์ (กม.ที่ 28+000 - 42+200)</t>
        </is>
      </c>
      <c r="E25" t="n">
        <v>123759</v>
      </c>
    </row>
    <row r="26">
      <c r="A26" t="inlineStr">
        <is>
          <t>2568_traffic_aadt_drr.csv</t>
        </is>
      </c>
      <c r="B26" t="n">
        <v>2568</v>
      </c>
      <c r="C26" t="inlineStr">
        <is>
          <t>ปท.3004</t>
        </is>
      </c>
      <c r="D26" t="inlineStr">
        <is>
          <t>แยกทางหลวงหมายเลข 305 (กม.ที่ 15+700) - บ้านลำลูกกา</t>
        </is>
      </c>
      <c r="E26" t="n">
        <v>27029</v>
      </c>
    </row>
    <row r="27">
      <c r="A27" t="inlineStr">
        <is>
          <t>2568_traffic_aadt_drr.csv</t>
        </is>
      </c>
      <c r="B27" t="n">
        <v>2568</v>
      </c>
      <c r="C27" t="inlineStr">
        <is>
          <t>ปท.3006</t>
        </is>
      </c>
      <c r="D27" t="inlineStr">
        <is>
          <t>แยกทางหลวงหมายเลข 305 (กม.ที่ 18+700) - บ้านคลองแปด</t>
        </is>
      </c>
      <c r="E27" t="n">
        <v>10462</v>
      </c>
    </row>
  </sheetData>
  <autoFilter ref="A1:E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0" customWidth="1" min="2" max="2"/>
  </cols>
  <sheetData>
    <row r="1" ht="42" customHeight="1">
      <c r="A1" s="1" t="inlineStr">
        <is>
          <t>รายการ</t>
        </is>
      </c>
      <c r="B1" s="1" t="inlineStr">
        <is>
          <t>รายละเอียด</t>
        </is>
      </c>
    </row>
    <row r="2">
      <c r="A2" t="inlineStr">
        <is>
          <t>หน้าชุดข้อมูล</t>
        </is>
      </c>
      <c r="B2" t="inlineStr">
        <is>
          <t>กรมทางหลวงชนบท · ชุดข้อมูล aadt1 'สถิติปริมาณจราจร': https://dataportal.drr.go.th/dataset/3833590c-a0f4-4c99-baf1-8c540aadebb5</t>
        </is>
      </c>
    </row>
    <row r="3">
      <c r="A3" t="inlineStr">
        <is>
          <t>ปี 2566</t>
        </is>
      </c>
      <c r="B3" t="inlineStr">
        <is>
          <t>ปริมาณจราจร 2566 (pcu-update-66.csv): https://dataportal.drr.go.th/dataset/3833590c-a0f4-4c99-baf1-8c540aadebb5/resource/3ae42fe1-d7e4-4784-a257-81475f5b8243</t>
        </is>
      </c>
    </row>
    <row r="4">
      <c r="A4" t="inlineStr">
        <is>
          <t>ปี 2567</t>
        </is>
      </c>
      <c r="B4" t="inlineStr">
        <is>
          <t>ปริมาณจราจร 2567 (pcu-update-67.csv): https://dataportal.drr.go.th/dataset/3833590c-a0f4-4c99-baf1-8c540aadebb5/resource/d0675c68-510b-45e1-b865-1ce261814948</t>
        </is>
      </c>
    </row>
    <row r="5">
      <c r="A5" t="inlineStr">
        <is>
          <t>ปี 2568</t>
        </is>
      </c>
      <c r="B5" t="inlineStr">
        <is>
          <t>2568_traffic_aadt_drr (2568_traffic_aadt_drr.csv): https://dataportal.drr.go.th/dataset/3833590c-a0f4-4c99-baf1-8c540aadebb5/resource/0d612f16-e188-4604-b61c-c0da07854ef9</t>
        </is>
      </c>
    </row>
    <row r="6">
      <c r="A6" t="inlineStr">
        <is>
          <t>ปี 2569 (ไม่ใช้ในสูตร)</t>
        </is>
      </c>
      <c r="B6" t="inlineStr">
        <is>
          <t>2569_traffic_aadt_drr.csv: ไม่มีแถว ส.012 / ส.013 และราชพฤกษ์มีแค่ตอน กม. 28–42.2 เหมือนปี 2568</t>
        </is>
      </c>
    </row>
    <row r="7">
      <c r="A7" t="inlineStr">
        <is>
          <t>หลักการ</t>
        </is>
      </c>
      <c r="B7" t="inlineStr">
        <is>
          <t>ใช้ค่า sum_AADT ของแถวที่ road_code ตรงกับรหัสสายทางในข้อมูลอุบัติเหตุ · ค่า 0 ถือว่าไม่ได้สำรวจ (ไม่ใช่ไม่มีรถ) จึงไม่นำมาใช้ · นบ.3021 แบ่ง 3 ตอนตาม กม. ใช้ตอนที่ กม. คลัสเตอร์อยู่</t>
        </is>
      </c>
    </row>
    <row r="8">
      <c r="A8" t="inlineStr">
        <is>
          <t>ตรวจแล้ว</t>
        </is>
      </c>
      <c r="B8" t="inlineStr">
        <is>
          <t>ค่าในไฟล์ที่ดาวน์โหลด = ไฟล์บนหน้าเว็บ (รหัส resource ตรงกับชื่อไฟล์ใน API ของ dataportal.drr.go.th)</t>
        </is>
      </c>
    </row>
    <row r="9">
      <c r="A9" t="inlineStr">
        <is>
          <t>สูตร</t>
        </is>
      </c>
      <c r="B9" t="inlineStr">
        <is>
          <t>R = A × 1,000,000 / (365 × T × V × L) · V = AADT เฉลี่ย 2566–2568 · T = 3 ปี · L = 1 กม.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80" customWidth="1" min="3" max="3"/>
  </cols>
  <sheetData>
    <row r="1">
      <c r="A1" s="8" t="inlineStr">
        <is>
          <t>รายการ</t>
        </is>
      </c>
      <c r="B1" s="8" t="inlineStr">
        <is>
          <t>ค่า</t>
        </is>
      </c>
      <c r="C1" s="8" t="inlineStr">
        <is>
          <t>ที่มา</t>
        </is>
      </c>
    </row>
    <row r="2">
      <c r="A2" t="inlineStr">
        <is>
          <t>สะพานภูมิพล 1 นับ 12 ชม. (7.00–19.00 น.) 16 ต.ค. 2567 · มุ่งหน้าพระราม 3</t>
        </is>
      </c>
      <c r="B2" s="2" t="n">
        <v>45712</v>
      </c>
      <c r="C2" s="6" t="inlineStr">
        <is>
          <t>https://traffic.bangkok.go.th/re_intersection/intersection/2567/Bridge67.pdf</t>
        </is>
      </c>
    </row>
    <row r="3">
      <c r="A3" t="inlineStr">
        <is>
          <t>สะพานภูมิพล 1 นับ 12 ชม. · มุ่งหน้าสุขสวัสดิ์</t>
        </is>
      </c>
      <c r="B3" s="2" t="n">
        <v>29249</v>
      </c>
      <c r="C3" s="6" t="inlineStr">
        <is>
          <t>https://traffic.bangkok.go.th/re_intersection/intersection/2567/Bridge67.pdf</t>
        </is>
      </c>
    </row>
    <row r="4">
      <c r="A4" t="inlineStr">
        <is>
          <t>สะพานภูมิพล 1 รวม 12 ชม. (สำนักการจราจรและขนส่ง กทม.)</t>
        </is>
      </c>
      <c r="B4" s="2" t="n">
        <v>74961</v>
      </c>
      <c r="C4" s="6" t="inlineStr">
        <is>
          <t>https://traffic.bangkok.go.th/re_intersection/intersection/2567/Bridge67.pdf</t>
        </is>
      </c>
    </row>
    <row r="5">
      <c r="A5" t="inlineStr">
        <is>
          <t>ค่าทั้งวันที่อธิบดี ทช. เปิดเผย (16 มี.ค. 2569)</t>
        </is>
      </c>
      <c r="B5" s="2" t="n">
        <v>90303</v>
      </c>
      <c r="C5" s="6" t="inlineStr">
        <is>
          <t>https://mgronline.com/business/detail/9690000025473</t>
        </is>
      </c>
    </row>
    <row r="6">
      <c r="A6" t="inlineStr">
        <is>
          <t>ส่วนต่าง = รถช่วงกลางคืน 19.00–7.00 น. (โดยประมาณ)</t>
        </is>
      </c>
      <c r="B6" s="2">
        <f>B5-B4</f>
        <v/>
      </c>
      <c r="C6" t="inlineStr"/>
    </row>
    <row r="7">
      <c r="A7" t="inlineStr">
        <is>
          <t>สัดส่วนกลางคืนต่อทั้งวัน</t>
        </is>
      </c>
      <c r="B7" s="10">
        <f>B6/B5</f>
        <v/>
      </c>
      <c r="C7" t="inlineStr">
        <is>
          <t>ประมาณ 17% สอดคล้องกับลักษณะถนนเมืองทั่วไป → ค่าของ ทช. สมเหตุสมผล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2026-10-13T10:27:32Z</dcterms:created>
  <dcterms:modified xmlns:dcterms="http://purl.org/dc/terms/" xmlns:xsi="http://www.w3.org/2001/XMLSchema-instance" xsi:type="dcterms:W3CDTF">2026-10-19T06:41:28Z</dcterms:modified>
</cp:coreProperties>
</file>