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 สายทาง" sheetId="1" state="visible" r:id="rId1"/>
    <sheet xmlns:r="http://schemas.openxmlformats.org/officeDocument/2006/relationships" name="126 คลัสเตอร์ + Accident Rate" sheetId="2" state="visible" r:id="rId2"/>
    <sheet xmlns:r="http://schemas.openxmlformats.org/officeDocument/2006/relationships" name="รายด่าน (ข้อมูลดิบจาก API)" sheetId="3" state="visible" r:id="rId3"/>
    <sheet xmlns:r="http://schemas.openxmlformats.org/officeDocument/2006/relationships" name="แหล่งข้อมูลและวิธีตรวจ" sheetId="4" state="visible" r:id="rId4"/>
  </sheets>
  <definedNames>
    <definedName name="_xlnm._FilterDatabase" localSheetId="0" hidden="1">'7 สายทาง'!$A$1:$O$8</definedName>
    <definedName name="_xlnm._FilterDatabase" localSheetId="1" hidden="1">'126 คลัสเตอร์ + Accident Rate'!$A$1:$Q$127</definedName>
    <definedName name="_xlnm._FilterDatabase" localSheetId="2" hidden="1">'รายด่าน (ข้อมูลดิบจาก API)'!$A$1:$E$384</definedName>
    <definedName name="_xlnm._FilterDatabase" localSheetId="3" hidden="1">'แหล่งข้อมูลและวิธีตรวจ'!$A$1:$B$11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B683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center" wrapText="1"/>
    </xf>
    <xf numFmtId="0" fontId="1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t-man.web.app/api/EXAT_TrafficStatByPlaza/2566" TargetMode="External" Id="rId1"/><Relationship Type="http://schemas.openxmlformats.org/officeDocument/2006/relationships/hyperlink" Target="https://exat-man.web.app/api/EXAT_TrafficStatByPlaza/2567" TargetMode="External" Id="rId2"/><Relationship Type="http://schemas.openxmlformats.org/officeDocument/2006/relationships/hyperlink" Target="https://exat-man.web.app/api/EXAT_TrafficStatByPlaza/2568" TargetMode="External" Id="rId3"/><Relationship Type="http://schemas.openxmlformats.org/officeDocument/2006/relationships/hyperlink" Target="https://exat-man.web.app/api/EXAT_TrafficStatByPlaza/2566" TargetMode="External" Id="rId4"/><Relationship Type="http://schemas.openxmlformats.org/officeDocument/2006/relationships/hyperlink" Target="https://exat-man.web.app/api/EXAT_TrafficStatByPlaza/2567" TargetMode="External" Id="rId5"/><Relationship Type="http://schemas.openxmlformats.org/officeDocument/2006/relationships/hyperlink" Target="https://exat-man.web.app/api/EXAT_TrafficStatByPlaza/2568" TargetMode="External" Id="rId6"/><Relationship Type="http://schemas.openxmlformats.org/officeDocument/2006/relationships/hyperlink" Target="https://exat-man.web.app/api/EXAT_TrafficStatByPlaza/2566" TargetMode="External" Id="rId7"/><Relationship Type="http://schemas.openxmlformats.org/officeDocument/2006/relationships/hyperlink" Target="https://exat-man.web.app/api/EXAT_TrafficStatByPlaza/2567" TargetMode="External" Id="rId8"/><Relationship Type="http://schemas.openxmlformats.org/officeDocument/2006/relationships/hyperlink" Target="https://exat-man.web.app/api/EXAT_TrafficStatByPlaza/2568" TargetMode="External" Id="rId9"/><Relationship Type="http://schemas.openxmlformats.org/officeDocument/2006/relationships/hyperlink" Target="https://exat-man.web.app/api/EXAT_TrafficStatByPlaza/2566" TargetMode="External" Id="rId10"/><Relationship Type="http://schemas.openxmlformats.org/officeDocument/2006/relationships/hyperlink" Target="https://exat-man.web.app/api/EXAT_TrafficStatByPlaza/2567" TargetMode="External" Id="rId11"/><Relationship Type="http://schemas.openxmlformats.org/officeDocument/2006/relationships/hyperlink" Target="https://exat-man.web.app/api/EXAT_TrafficStatByPlaza/2568" TargetMode="External" Id="rId12"/><Relationship Type="http://schemas.openxmlformats.org/officeDocument/2006/relationships/hyperlink" Target="https://exat-man.web.app/api/EXAT_TrafficStatByPlaza/2566" TargetMode="External" Id="rId13"/><Relationship Type="http://schemas.openxmlformats.org/officeDocument/2006/relationships/hyperlink" Target="https://exat-man.web.app/api/EXAT_TrafficStatByPlaza/2567" TargetMode="External" Id="rId14"/><Relationship Type="http://schemas.openxmlformats.org/officeDocument/2006/relationships/hyperlink" Target="https://exat-man.web.app/api/EXAT_TrafficStatByPlaza/2568" TargetMode="External" Id="rId15"/><Relationship Type="http://schemas.openxmlformats.org/officeDocument/2006/relationships/hyperlink" Target="https://exat-man.web.app/api/EXAT_TrafficStatByPlaza/2566" TargetMode="External" Id="rId16"/><Relationship Type="http://schemas.openxmlformats.org/officeDocument/2006/relationships/hyperlink" Target="https://exat-man.web.app/api/EXAT_TrafficStatByPlaza/2567" TargetMode="External" Id="rId17"/><Relationship Type="http://schemas.openxmlformats.org/officeDocument/2006/relationships/hyperlink" Target="https://exat-man.web.app/api/EXAT_TrafficStatByPlaza/2568" TargetMode="External" Id="rId18"/><Relationship Type="http://schemas.openxmlformats.org/officeDocument/2006/relationships/hyperlink" Target="https://exat-man.web.app/api/EXAT_TrafficStatByPlaza/2566" TargetMode="External" Id="rId19"/><Relationship Type="http://schemas.openxmlformats.org/officeDocument/2006/relationships/hyperlink" Target="https://exat-man.web.app/api/EXAT_TrafficStatByPlaza/2567" TargetMode="External" Id="rId20"/><Relationship Type="http://schemas.openxmlformats.org/officeDocument/2006/relationships/hyperlink" Target="https://exat-man.web.app/api/EXAT_TrafficStatByPlaza/256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  <col width="30" customWidth="1" min="13" max="13"/>
    <col width="30" customWidth="1" min="14" max="14"/>
    <col width="60" customWidth="1" min="15" max="15"/>
  </cols>
  <sheetData>
    <row r="1" ht="42" customHeight="1">
      <c r="A1" s="1" t="inlineStr">
        <is>
          <t>สายทาง (highway_name)</t>
        </is>
      </c>
      <c r="B1" s="1" t="inlineStr">
        <is>
          <t>จำนวนด่าน 2566</t>
        </is>
      </c>
      <c r="C1" s="1" t="inlineStr">
        <is>
          <t>ยอดรวมทั้งปี 2566</t>
        </is>
      </c>
      <c r="D1" s="1" t="inlineStr">
        <is>
          <t>เฉลี่ยต่อวัน 2566</t>
        </is>
      </c>
      <c r="E1" s="1" t="inlineStr">
        <is>
          <t>จำนวนด่าน 2567</t>
        </is>
      </c>
      <c r="F1" s="1" t="inlineStr">
        <is>
          <t>ยอดรวมทั้งปี 2567</t>
        </is>
      </c>
      <c r="G1" s="1" t="inlineStr">
        <is>
          <t>เฉลี่ยต่อวัน 2567</t>
        </is>
      </c>
      <c r="H1" s="1" t="inlineStr">
        <is>
          <t>จำนวนด่าน 2568</t>
        </is>
      </c>
      <c r="I1" s="1" t="inlineStr">
        <is>
          <t>ยอดรวมทั้งปี 2568</t>
        </is>
      </c>
      <c r="J1" s="1" t="inlineStr">
        <is>
          <t>เฉลี่ยต่อวัน 2568</t>
        </is>
      </c>
      <c r="K1" s="1" t="inlineStr">
        <is>
          <t>V = เฉลี่ย 3 ปี (คัน/วัน)</t>
        </is>
      </c>
      <c r="L1" s="1" t="inlineStr">
        <is>
          <t>ลิงก์ API 2566</t>
        </is>
      </c>
      <c r="M1" s="1" t="inlineStr">
        <is>
          <t>ลิงก์ API 2567</t>
        </is>
      </c>
      <c r="N1" s="1" t="inlineStr">
        <is>
          <t>ลิงก์ API 2568</t>
        </is>
      </c>
      <c r="O1" s="1" t="inlineStr">
        <is>
          <t>วิธีค้นในลิงก์</t>
        </is>
      </c>
    </row>
    <row r="2">
      <c r="A2" t="inlineStr">
        <is>
          <t>ฉลองรัช</t>
        </is>
      </c>
      <c r="B2" t="n">
        <v>16</v>
      </c>
      <c r="C2" s="2" t="n">
        <v>77764638</v>
      </c>
      <c r="D2" s="3" t="n">
        <v>213053.8</v>
      </c>
      <c r="E2" t="n">
        <v>16</v>
      </c>
      <c r="F2" s="2" t="n">
        <v>75714313</v>
      </c>
      <c r="G2" s="3" t="n">
        <v>207436.5</v>
      </c>
      <c r="H2" t="n">
        <v>16</v>
      </c>
      <c r="I2" s="2" t="n">
        <v>74947873</v>
      </c>
      <c r="J2" s="3" t="n">
        <v>205336.6</v>
      </c>
      <c r="K2" s="3" t="n">
        <v>208609</v>
      </c>
      <c r="L2" s="4" t="inlineStr">
        <is>
          <t>https://exat-man.web.app/api/EXAT_TrafficStatByPlaza/2566</t>
        </is>
      </c>
      <c r="M2" s="4" t="inlineStr">
        <is>
          <t>https://exat-man.web.app/api/EXAT_TrafficStatByPlaza/2567</t>
        </is>
      </c>
      <c r="N2" s="4" t="inlineStr">
        <is>
          <t>https://exat-man.web.app/api/EXAT_TrafficStatByPlaza/2568</t>
        </is>
      </c>
      <c r="O2" t="inlineStr">
        <is>
          <t>รวมค่า traffic ทุกแถวที่ highway_name = ฉลองรัช แล้ว ÷ 365</t>
        </is>
      </c>
    </row>
    <row r="3">
      <c r="A3" t="inlineStr">
        <is>
          <t>ทางพิเศษกาญจนาภิเษก(บางพลี-สุขสวัสดิ์)</t>
        </is>
      </c>
      <c r="B3" t="n">
        <v>20</v>
      </c>
      <c r="C3" s="2" t="n">
        <v>85058507</v>
      </c>
      <c r="D3" s="3" t="n">
        <v>233037</v>
      </c>
      <c r="E3" t="n">
        <v>20</v>
      </c>
      <c r="F3" s="2" t="n">
        <v>85149021</v>
      </c>
      <c r="G3" s="3" t="n">
        <v>233285</v>
      </c>
      <c r="H3" t="n">
        <v>20</v>
      </c>
      <c r="I3" s="2" t="n">
        <v>83353554</v>
      </c>
      <c r="J3" s="3" t="n">
        <v>228365.9</v>
      </c>
      <c r="K3" s="3" t="n">
        <v>231562.6</v>
      </c>
      <c r="L3" s="4" t="inlineStr">
        <is>
          <t>https://exat-man.web.app/api/EXAT_TrafficStatByPlaza/2566</t>
        </is>
      </c>
      <c r="M3" s="4" t="inlineStr">
        <is>
          <t>https://exat-man.web.app/api/EXAT_TrafficStatByPlaza/2567</t>
        </is>
      </c>
      <c r="N3" s="4" t="inlineStr">
        <is>
          <t>https://exat-man.web.app/api/EXAT_TrafficStatByPlaza/2568</t>
        </is>
      </c>
      <c r="O3" t="inlineStr">
        <is>
          <t>รวมค่า traffic ทุกแถวที่ highway_name = ทางพิเศษกาญจนาภิเษก(บางพลี-สุขสวัสดิ์) แล้ว ÷ 365</t>
        </is>
      </c>
    </row>
    <row r="4">
      <c r="A4" t="inlineStr">
        <is>
          <t>บูรพาวิถี</t>
        </is>
      </c>
      <c r="B4" t="n">
        <v>19</v>
      </c>
      <c r="C4" s="2" t="n">
        <v>52307904</v>
      </c>
      <c r="D4" s="3" t="n">
        <v>143309.3</v>
      </c>
      <c r="E4" t="n">
        <v>19</v>
      </c>
      <c r="F4" s="2" t="n">
        <v>53098078</v>
      </c>
      <c r="G4" s="3" t="n">
        <v>145474.2</v>
      </c>
      <c r="H4" t="n">
        <v>19</v>
      </c>
      <c r="I4" s="2" t="n">
        <v>53689469</v>
      </c>
      <c r="J4" s="3" t="n">
        <v>147094.4</v>
      </c>
      <c r="K4" s="3" t="n">
        <v>145292.6</v>
      </c>
      <c r="L4" s="4" t="inlineStr">
        <is>
          <t>https://exat-man.web.app/api/EXAT_TrafficStatByPlaza/2566</t>
        </is>
      </c>
      <c r="M4" s="4" t="inlineStr">
        <is>
          <t>https://exat-man.web.app/api/EXAT_TrafficStatByPlaza/2567</t>
        </is>
      </c>
      <c r="N4" s="4" t="inlineStr">
        <is>
          <t>https://exat-man.web.app/api/EXAT_TrafficStatByPlaza/2568</t>
        </is>
      </c>
      <c r="O4" t="inlineStr">
        <is>
          <t>รวมค่า traffic ทุกแถวที่ highway_name = บูรพาวิถี แล้ว ÷ 365</t>
        </is>
      </c>
    </row>
    <row r="5">
      <c r="A5" t="inlineStr">
        <is>
          <t>ศรีรัช</t>
        </is>
      </c>
      <c r="B5" t="n">
        <v>33</v>
      </c>
      <c r="C5" s="2" t="n">
        <v>223775350</v>
      </c>
      <c r="D5" s="3" t="n">
        <v>613083.2</v>
      </c>
      <c r="E5" t="n">
        <v>33</v>
      </c>
      <c r="F5" s="2" t="n">
        <v>219411613</v>
      </c>
      <c r="G5" s="3" t="n">
        <v>601127.7</v>
      </c>
      <c r="H5" t="n">
        <v>33</v>
      </c>
      <c r="I5" s="2" t="n">
        <v>221867998</v>
      </c>
      <c r="J5" s="3" t="n">
        <v>607857.5</v>
      </c>
      <c r="K5" s="3" t="n">
        <v>607356.1</v>
      </c>
      <c r="L5" s="4" t="inlineStr">
        <is>
          <t>https://exat-man.web.app/api/EXAT_TrafficStatByPlaza/2566</t>
        </is>
      </c>
      <c r="M5" s="4" t="inlineStr">
        <is>
          <t>https://exat-man.web.app/api/EXAT_TrafficStatByPlaza/2567</t>
        </is>
      </c>
      <c r="N5" s="4" t="inlineStr">
        <is>
          <t>https://exat-man.web.app/api/EXAT_TrafficStatByPlaza/2568</t>
        </is>
      </c>
      <c r="O5" t="inlineStr">
        <is>
          <t>รวมค่า traffic ทุกแถวที่ highway_name = ศรีรัช แล้ว ÷ 365</t>
        </is>
      </c>
    </row>
    <row r="6">
      <c r="A6" t="inlineStr">
        <is>
          <t>ศรีรัช-วงแหวนรอบนอกกรุงเทพมหานคร</t>
        </is>
      </c>
      <c r="B6" t="n">
        <v>9</v>
      </c>
      <c r="C6" s="2" t="n">
        <v>22331299</v>
      </c>
      <c r="D6" s="3" t="n">
        <v>61181.6</v>
      </c>
      <c r="E6" t="n">
        <v>9</v>
      </c>
      <c r="F6" s="2" t="n">
        <v>23113356</v>
      </c>
      <c r="G6" s="3" t="n">
        <v>63324.3</v>
      </c>
      <c r="H6" t="n">
        <v>9</v>
      </c>
      <c r="I6" s="2" t="n">
        <v>22829485</v>
      </c>
      <c r="J6" s="3" t="n">
        <v>62546.5</v>
      </c>
      <c r="K6" s="3" t="n">
        <v>62350.8</v>
      </c>
      <c r="L6" s="4" t="inlineStr">
        <is>
          <t>https://exat-man.web.app/api/EXAT_TrafficStatByPlaza/2566</t>
        </is>
      </c>
      <c r="M6" s="4" t="inlineStr">
        <is>
          <t>https://exat-man.web.app/api/EXAT_TrafficStatByPlaza/2567</t>
        </is>
      </c>
      <c r="N6" s="4" t="inlineStr">
        <is>
          <t>https://exat-man.web.app/api/EXAT_TrafficStatByPlaza/2568</t>
        </is>
      </c>
      <c r="O6" t="inlineStr">
        <is>
          <t>รวมค่า traffic ทุกแถวที่ highway_name = ศรีรัช-วงแหวนรอบนอกกรุงเทพมหานคร แล้ว ÷ 365</t>
        </is>
      </c>
    </row>
    <row r="7">
      <c r="A7" t="inlineStr">
        <is>
          <t>อุดรรัถยา</t>
        </is>
      </c>
      <c r="B7" t="n">
        <v>10</v>
      </c>
      <c r="C7" s="2" t="n">
        <v>28302289</v>
      </c>
      <c r="D7" s="3" t="n">
        <v>77540.5</v>
      </c>
      <c r="E7" t="n">
        <v>10</v>
      </c>
      <c r="F7" s="2" t="n">
        <v>28608911</v>
      </c>
      <c r="G7" s="3" t="n">
        <v>78380.60000000001</v>
      </c>
      <c r="H7" t="n">
        <v>10</v>
      </c>
      <c r="I7" s="2" t="n">
        <v>28050463</v>
      </c>
      <c r="J7" s="3" t="n">
        <v>76850.60000000001</v>
      </c>
      <c r="K7" s="3" t="n">
        <v>77590.60000000001</v>
      </c>
      <c r="L7" s="4" t="inlineStr">
        <is>
          <t>https://exat-man.web.app/api/EXAT_TrafficStatByPlaza/2566</t>
        </is>
      </c>
      <c r="M7" s="4" t="inlineStr">
        <is>
          <t>https://exat-man.web.app/api/EXAT_TrafficStatByPlaza/2567</t>
        </is>
      </c>
      <c r="N7" s="4" t="inlineStr">
        <is>
          <t>https://exat-man.web.app/api/EXAT_TrafficStatByPlaza/2568</t>
        </is>
      </c>
      <c r="O7" t="inlineStr">
        <is>
          <t>รวมค่า traffic ทุกแถวที่ highway_name = อุดรรัถยา แล้ว ÷ 365</t>
        </is>
      </c>
    </row>
    <row r="8">
      <c r="A8" t="inlineStr">
        <is>
          <t>เฉลิมมหานคร</t>
        </is>
      </c>
      <c r="B8" t="n">
        <v>20</v>
      </c>
      <c r="C8" s="2" t="n">
        <v>112172929</v>
      </c>
      <c r="D8" s="3" t="n">
        <v>307323.1</v>
      </c>
      <c r="E8" t="n">
        <v>20</v>
      </c>
      <c r="F8" s="2" t="n">
        <v>111618823</v>
      </c>
      <c r="G8" s="3" t="n">
        <v>305805</v>
      </c>
      <c r="H8" t="n">
        <v>22</v>
      </c>
      <c r="I8" s="2" t="n">
        <v>111038064</v>
      </c>
      <c r="J8" s="3" t="n">
        <v>304213.9</v>
      </c>
      <c r="K8" s="3" t="n">
        <v>305780.7</v>
      </c>
      <c r="L8" s="4" t="inlineStr">
        <is>
          <t>https://exat-man.web.app/api/EXAT_TrafficStatByPlaza/2566</t>
        </is>
      </c>
      <c r="M8" s="4" t="inlineStr">
        <is>
          <t>https://exat-man.web.app/api/EXAT_TrafficStatByPlaza/2567</t>
        </is>
      </c>
      <c r="N8" s="4" t="inlineStr">
        <is>
          <t>https://exat-man.web.app/api/EXAT_TrafficStatByPlaza/2568</t>
        </is>
      </c>
      <c r="O8" t="inlineStr">
        <is>
          <t>รวมค่า traffic ทุกแถวที่ highway_name = เฉลิมมหานคร แล้ว ÷ 365</t>
        </is>
      </c>
    </row>
  </sheetData>
  <autoFilter ref="A1:O8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L3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N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L6" r:id="rId13"/>
    <hyperlink xmlns:r="http://schemas.openxmlformats.org/officeDocument/2006/relationships" ref="M6" r:id="rId14"/>
    <hyperlink xmlns:r="http://schemas.openxmlformats.org/officeDocument/2006/relationships" ref="N6" r:id="rId15"/>
    <hyperlink xmlns:r="http://schemas.openxmlformats.org/officeDocument/2006/relationships" ref="L7" r:id="rId16"/>
    <hyperlink xmlns:r="http://schemas.openxmlformats.org/officeDocument/2006/relationships" ref="M7" r:id="rId17"/>
    <hyperlink xmlns:r="http://schemas.openxmlformats.org/officeDocument/2006/relationships" ref="N7" r:id="rId18"/>
    <hyperlink xmlns:r="http://schemas.openxmlformats.org/officeDocument/2006/relationships" ref="L8" r:id="rId19"/>
    <hyperlink xmlns:r="http://schemas.openxmlformats.org/officeDocument/2006/relationships" ref="M8" r:id="rId20"/>
    <hyperlink xmlns:r="http://schemas.openxmlformats.org/officeDocument/2006/relationships" ref="N8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14" customWidth="1" min="5" max="5"/>
    <col width="3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42" customHeight="1">
      <c r="A1" s="1" t="inlineStr">
        <is>
          <t>id</t>
        </is>
      </c>
      <c r="B1" s="1" t="inlineStr">
        <is>
          <t>ถนน</t>
        </is>
      </c>
      <c r="C1" s="1" t="inlineStr">
        <is>
          <t>จังหวัด</t>
        </is>
      </c>
      <c r="D1" s="1" t="inlineStr">
        <is>
          <t>route_code</t>
        </is>
      </c>
      <c r="E1" s="1" t="inlineStr">
        <is>
          <t>กม. คลัสเตอร์</t>
        </is>
      </c>
      <c r="F1" s="1" t="inlineStr">
        <is>
          <t>สายทาง (highway_name)</t>
        </is>
      </c>
      <c r="G1" s="1" t="inlineStr">
        <is>
          <t>A</t>
        </is>
      </c>
      <c r="H1" s="1" t="inlineStr">
        <is>
          <t>เสียชีวิต</t>
        </is>
      </c>
      <c r="I1" s="1" t="inlineStr">
        <is>
          <t>บาดเจ็บ</t>
        </is>
      </c>
      <c r="J1" s="1" t="inlineStr">
        <is>
          <t>SI</t>
        </is>
      </c>
      <c r="K1" s="1" t="inlineStr">
        <is>
          <t>ระดับ_SI</t>
        </is>
      </c>
      <c r="L1" s="1" t="inlineStr">
        <is>
          <t>เฉลี่ยต่อวัน 2566</t>
        </is>
      </c>
      <c r="M1" s="1" t="inlineStr">
        <is>
          <t>เฉลี่ยต่อวัน 2567</t>
        </is>
      </c>
      <c r="N1" s="1" t="inlineStr">
        <is>
          <t>เฉลี่ยต่อวัน 2568</t>
        </is>
      </c>
      <c r="O1" s="5" t="inlineStr">
        <is>
          <t>V = เฉลี่ย 3 ปี</t>
        </is>
      </c>
      <c r="P1" s="1" t="inlineStr">
        <is>
          <t>T (ปี)</t>
        </is>
      </c>
      <c r="Q1" s="1" t="inlineStr">
        <is>
          <t>L (กม.)</t>
        </is>
      </c>
      <c r="R1" s="6" t="inlineStr">
        <is>
          <t>ตัวตั้ง A×1,000,000</t>
        </is>
      </c>
      <c r="S1" s="6" t="inlineStr">
        <is>
          <t>ตัวหาร 365×T×V×L</t>
        </is>
      </c>
      <c r="T1" s="6" t="inlineStr">
        <is>
          <t>R (ครั้ง/ล้านคัน-กม.)</t>
        </is>
      </c>
      <c r="U1" s="6" t="inlineStr">
        <is>
          <t>อันดับ R</t>
        </is>
      </c>
    </row>
    <row r="2">
      <c r="A2" t="inlineStr">
        <is>
          <t>zone_198</t>
        </is>
      </c>
      <c r="B2" t="inlineStr">
        <is>
          <t>รามอินทรา-อาจณรงค์</t>
        </is>
      </c>
      <c r="C2" t="inlineStr">
        <is>
          <t>กรุงเทพมหานคร</t>
        </is>
      </c>
      <c r="D2" t="inlineStr">
        <is>
          <t>E003S008|U</t>
        </is>
      </c>
      <c r="E2" t="inlineStr">
        <is>
          <t>10.3–11</t>
        </is>
      </c>
      <c r="F2" t="inlineStr">
        <is>
          <t>ฉลองรัช</t>
        </is>
      </c>
      <c r="G2" t="n">
        <v>10</v>
      </c>
      <c r="H2" t="n">
        <v>0</v>
      </c>
      <c r="I2" t="n">
        <v>10</v>
      </c>
      <c r="J2" t="n">
        <v>1</v>
      </c>
      <c r="K2" t="inlineStr">
        <is>
          <t>medium</t>
        </is>
      </c>
      <c r="L2" s="2" t="n">
        <v>213053.8</v>
      </c>
      <c r="M2" s="2" t="n">
        <v>207436.5</v>
      </c>
      <c r="N2" s="2" t="n">
        <v>205336.6</v>
      </c>
      <c r="O2" s="2">
        <f>AVERAGE(L2:N2)</f>
        <v/>
      </c>
      <c r="P2" t="n">
        <v>3</v>
      </c>
      <c r="Q2" t="n">
        <v>1</v>
      </c>
      <c r="R2" s="2">
        <f>G2*1000000</f>
        <v/>
      </c>
      <c r="S2" s="2">
        <f>365*P2*O2*Q2</f>
        <v/>
      </c>
      <c r="T2" s="7">
        <f>R2/S2</f>
        <v/>
      </c>
      <c r="U2">
        <f>IF(ISNUMBER(T2),RANK(T2,$T$2:$T$127,0),"")</f>
        <v/>
      </c>
    </row>
    <row r="3">
      <c r="A3" t="inlineStr">
        <is>
          <t>zone_203</t>
        </is>
      </c>
      <c r="B3" t="inlineStr">
        <is>
          <t>รามอินทรา-วงแหวนรอบนอก</t>
        </is>
      </c>
      <c r="C3" t="inlineStr">
        <is>
          <t>กรุงเทพมหานคร</t>
        </is>
      </c>
      <c r="D3" t="inlineStr">
        <is>
          <t>E003S013|I</t>
        </is>
      </c>
      <c r="E3" t="inlineStr">
        <is>
          <t>22.3–22.7</t>
        </is>
      </c>
      <c r="F3" t="inlineStr">
        <is>
          <t>ฉลองรัช</t>
        </is>
      </c>
      <c r="G3" t="n">
        <v>6</v>
      </c>
      <c r="H3" t="n">
        <v>1</v>
      </c>
      <c r="I3" t="n">
        <v>8</v>
      </c>
      <c r="J3" t="n">
        <v>1.5</v>
      </c>
      <c r="K3" t="inlineStr">
        <is>
          <t>medium</t>
        </is>
      </c>
      <c r="L3" s="2" t="n">
        <v>213053.8</v>
      </c>
      <c r="M3" s="2" t="n">
        <v>207436.5</v>
      </c>
      <c r="N3" s="2" t="n">
        <v>205336.6</v>
      </c>
      <c r="O3" s="2">
        <f>AVERAGE(L3:N3)</f>
        <v/>
      </c>
      <c r="P3" t="n">
        <v>3</v>
      </c>
      <c r="Q3" t="n">
        <v>1</v>
      </c>
      <c r="R3" s="2">
        <f>G3*1000000</f>
        <v/>
      </c>
      <c r="S3" s="2">
        <f>365*P3*O3*Q3</f>
        <v/>
      </c>
      <c r="T3" s="7">
        <f>R3/S3</f>
        <v/>
      </c>
      <c r="U3">
        <f>IF(ISNUMBER(T3),RANK(T3,$T$2:$T$127,0),"")</f>
        <v/>
      </c>
    </row>
    <row r="4">
      <c r="A4" t="inlineStr">
        <is>
          <t>zone_290</t>
        </is>
      </c>
      <c r="B4" t="inlineStr">
        <is>
          <t>รามอินทรา-อาจณรงค์</t>
        </is>
      </c>
      <c r="C4" t="inlineStr">
        <is>
          <t>กรุงเทพมหานคร</t>
        </is>
      </c>
      <c r="D4" t="inlineStr">
        <is>
          <t>E003S008|I</t>
        </is>
      </c>
      <c r="E4" t="inlineStr">
        <is>
          <t>5–5.2</t>
        </is>
      </c>
      <c r="F4" t="inlineStr">
        <is>
          <t>ฉลองรัช</t>
        </is>
      </c>
      <c r="G4" t="n">
        <v>3</v>
      </c>
      <c r="H4" t="n">
        <v>0</v>
      </c>
      <c r="I4" t="n">
        <v>2</v>
      </c>
      <c r="J4" t="n">
        <v>0.6667</v>
      </c>
      <c r="K4" t="inlineStr">
        <is>
          <t>low</t>
        </is>
      </c>
      <c r="L4" s="2" t="n">
        <v>213053.8</v>
      </c>
      <c r="M4" s="2" t="n">
        <v>207436.5</v>
      </c>
      <c r="N4" s="2" t="n">
        <v>205336.6</v>
      </c>
      <c r="O4" s="2">
        <f>AVERAGE(L4:N4)</f>
        <v/>
      </c>
      <c r="P4" t="n">
        <v>3</v>
      </c>
      <c r="Q4" t="n">
        <v>1</v>
      </c>
      <c r="R4" s="2">
        <f>G4*1000000</f>
        <v/>
      </c>
      <c r="S4" s="2">
        <f>365*P4*O4*Q4</f>
        <v/>
      </c>
      <c r="T4" s="7">
        <f>R4/S4</f>
        <v/>
      </c>
      <c r="U4">
        <f>IF(ISNUMBER(T4),RANK(T4,$T$2:$T$127,0),"")</f>
        <v/>
      </c>
    </row>
    <row r="5">
      <c r="A5" t="inlineStr">
        <is>
          <t>zone_294</t>
        </is>
      </c>
      <c r="B5" t="inlineStr">
        <is>
          <t>รามอินทรา-อาจณรงค์</t>
        </is>
      </c>
      <c r="C5" t="inlineStr">
        <is>
          <t>กรุงเทพมหานคร</t>
        </is>
      </c>
      <c r="D5" t="inlineStr">
        <is>
          <t>E003S008|U</t>
        </is>
      </c>
      <c r="E5" t="inlineStr">
        <is>
          <t>6.7–7</t>
        </is>
      </c>
      <c r="F5" t="inlineStr">
        <is>
          <t>ฉลองรัช</t>
        </is>
      </c>
      <c r="G5" t="n">
        <v>5</v>
      </c>
      <c r="H5" t="n">
        <v>0</v>
      </c>
      <c r="I5" t="n">
        <v>2</v>
      </c>
      <c r="J5" t="n">
        <v>0.4</v>
      </c>
      <c r="K5" t="inlineStr">
        <is>
          <t>low</t>
        </is>
      </c>
      <c r="L5" s="2" t="n">
        <v>213053.8</v>
      </c>
      <c r="M5" s="2" t="n">
        <v>207436.5</v>
      </c>
      <c r="N5" s="2" t="n">
        <v>205336.6</v>
      </c>
      <c r="O5" s="2">
        <f>AVERAGE(L5:N5)</f>
        <v/>
      </c>
      <c r="P5" t="n">
        <v>3</v>
      </c>
      <c r="Q5" t="n">
        <v>1</v>
      </c>
      <c r="R5" s="2">
        <f>G5*1000000</f>
        <v/>
      </c>
      <c r="S5" s="2">
        <f>365*P5*O5*Q5</f>
        <v/>
      </c>
      <c r="T5" s="7">
        <f>R5/S5</f>
        <v/>
      </c>
      <c r="U5">
        <f>IF(ISNUMBER(T5),RANK(T5,$T$2:$T$127,0),"")</f>
        <v/>
      </c>
    </row>
    <row r="6">
      <c r="A6" t="inlineStr">
        <is>
          <t>zone_300</t>
        </is>
      </c>
      <c r="B6" t="inlineStr">
        <is>
          <t>รามอินทรา-อาจณรงค์</t>
        </is>
      </c>
      <c r="C6" t="inlineStr">
        <is>
          <t>กรุงเทพมหานคร</t>
        </is>
      </c>
      <c r="D6" t="inlineStr">
        <is>
          <t>E003S008|I</t>
        </is>
      </c>
      <c r="E6" t="inlineStr">
        <is>
          <t>6.3–6.5</t>
        </is>
      </c>
      <c r="F6" t="inlineStr">
        <is>
          <t>ฉลองรัช</t>
        </is>
      </c>
      <c r="G6" t="n">
        <v>3</v>
      </c>
      <c r="H6" t="n">
        <v>0</v>
      </c>
      <c r="I6" t="n">
        <v>0</v>
      </c>
      <c r="J6" t="n">
        <v>0</v>
      </c>
      <c r="K6" t="inlineStr">
        <is>
          <t>low</t>
        </is>
      </c>
      <c r="L6" s="2" t="n">
        <v>213053.8</v>
      </c>
      <c r="M6" s="2" t="n">
        <v>207436.5</v>
      </c>
      <c r="N6" s="2" t="n">
        <v>205336.6</v>
      </c>
      <c r="O6" s="2">
        <f>AVERAGE(L6:N6)</f>
        <v/>
      </c>
      <c r="P6" t="n">
        <v>3</v>
      </c>
      <c r="Q6" t="n">
        <v>1</v>
      </c>
      <c r="R6" s="2">
        <f>G6*1000000</f>
        <v/>
      </c>
      <c r="S6" s="2">
        <f>365*P6*O6*Q6</f>
        <v/>
      </c>
      <c r="T6" s="7">
        <f>R6/S6</f>
        <v/>
      </c>
      <c r="U6">
        <f>IF(ISNUMBER(T6),RANK(T6,$T$2:$T$127,0),"")</f>
        <v/>
      </c>
    </row>
    <row r="7">
      <c r="A7" t="inlineStr">
        <is>
          <t>zone_302</t>
        </is>
      </c>
      <c r="B7" t="inlineStr">
        <is>
          <t>รามอินทรา-อาจณรงค์</t>
        </is>
      </c>
      <c r="C7" t="inlineStr">
        <is>
          <t>กรุงเทพมหานคร</t>
        </is>
      </c>
      <c r="D7" t="inlineStr">
        <is>
          <t>E003S008|U</t>
        </is>
      </c>
      <c r="E7" t="inlineStr">
        <is>
          <t>2.8–2.8</t>
        </is>
      </c>
      <c r="F7" t="inlineStr">
        <is>
          <t>ฉลองรัช</t>
        </is>
      </c>
      <c r="G7" t="n">
        <v>5</v>
      </c>
      <c r="H7" t="n">
        <v>0</v>
      </c>
      <c r="I7" t="n">
        <v>1</v>
      </c>
      <c r="J7" t="n">
        <v>0.2</v>
      </c>
      <c r="K7" t="inlineStr">
        <is>
          <t>low</t>
        </is>
      </c>
      <c r="L7" s="2" t="n">
        <v>213053.8</v>
      </c>
      <c r="M7" s="2" t="n">
        <v>207436.5</v>
      </c>
      <c r="N7" s="2" t="n">
        <v>205336.6</v>
      </c>
      <c r="O7" s="2">
        <f>AVERAGE(L7:N7)</f>
        <v/>
      </c>
      <c r="P7" t="n">
        <v>3</v>
      </c>
      <c r="Q7" t="n">
        <v>1</v>
      </c>
      <c r="R7" s="2">
        <f>G7*1000000</f>
        <v/>
      </c>
      <c r="S7" s="2">
        <f>365*P7*O7*Q7</f>
        <v/>
      </c>
      <c r="T7" s="7">
        <f>R7/S7</f>
        <v/>
      </c>
      <c r="U7">
        <f>IF(ISNUMBER(T7),RANK(T7,$T$2:$T$127,0),"")</f>
        <v/>
      </c>
    </row>
    <row r="8">
      <c r="A8" t="inlineStr">
        <is>
          <t>zone_303</t>
        </is>
      </c>
      <c r="B8" t="inlineStr">
        <is>
          <t>รามอินทรา-อาจณรงค์</t>
        </is>
      </c>
      <c r="C8" t="inlineStr">
        <is>
          <t>กรุงเทพมหานคร</t>
        </is>
      </c>
      <c r="D8" t="inlineStr">
        <is>
          <t>E003S008|I</t>
        </is>
      </c>
      <c r="E8" t="inlineStr">
        <is>
          <t>9.8–9.9</t>
        </is>
      </c>
      <c r="F8" t="inlineStr">
        <is>
          <t>ฉลองรัช</t>
        </is>
      </c>
      <c r="G8" t="n">
        <v>3</v>
      </c>
      <c r="H8" t="n">
        <v>0</v>
      </c>
      <c r="I8" t="n">
        <v>1</v>
      </c>
      <c r="J8" t="n">
        <v>0.3333</v>
      </c>
      <c r="K8" t="inlineStr">
        <is>
          <t>low</t>
        </is>
      </c>
      <c r="L8" s="2" t="n">
        <v>213053.8</v>
      </c>
      <c r="M8" s="2" t="n">
        <v>207436.5</v>
      </c>
      <c r="N8" s="2" t="n">
        <v>205336.6</v>
      </c>
      <c r="O8" s="2">
        <f>AVERAGE(L8:N8)</f>
        <v/>
      </c>
      <c r="P8" t="n">
        <v>3</v>
      </c>
      <c r="Q8" t="n">
        <v>1</v>
      </c>
      <c r="R8" s="2">
        <f>G8*1000000</f>
        <v/>
      </c>
      <c r="S8" s="2">
        <f>365*P8*O8*Q8</f>
        <v/>
      </c>
      <c r="T8" s="7">
        <f>R8/S8</f>
        <v/>
      </c>
      <c r="U8">
        <f>IF(ISNUMBER(T8),RANK(T8,$T$2:$T$127,0),"")</f>
        <v/>
      </c>
    </row>
    <row r="9">
      <c r="A9" t="inlineStr">
        <is>
          <t>zone_305</t>
        </is>
      </c>
      <c r="B9" t="inlineStr">
        <is>
          <t>รามอินทรา-อาจณรงค์</t>
        </is>
      </c>
      <c r="C9" t="inlineStr">
        <is>
          <t>กรุงเทพมหานคร</t>
        </is>
      </c>
      <c r="D9" t="inlineStr">
        <is>
          <t>E003S008|I</t>
        </is>
      </c>
      <c r="E9" t="inlineStr">
        <is>
          <t>4.3–4.5</t>
        </is>
      </c>
      <c r="F9" t="inlineStr">
        <is>
          <t>ฉลองรัช</t>
        </is>
      </c>
      <c r="G9" t="n">
        <v>3</v>
      </c>
      <c r="H9" t="n">
        <v>0</v>
      </c>
      <c r="I9" t="n">
        <v>2</v>
      </c>
      <c r="J9" t="n">
        <v>0.6667</v>
      </c>
      <c r="K9" t="inlineStr">
        <is>
          <t>low</t>
        </is>
      </c>
      <c r="L9" s="2" t="n">
        <v>213053.8</v>
      </c>
      <c r="M9" s="2" t="n">
        <v>207436.5</v>
      </c>
      <c r="N9" s="2" t="n">
        <v>205336.6</v>
      </c>
      <c r="O9" s="2">
        <f>AVERAGE(L9:N9)</f>
        <v/>
      </c>
      <c r="P9" t="n">
        <v>3</v>
      </c>
      <c r="Q9" t="n">
        <v>1</v>
      </c>
      <c r="R9" s="2">
        <f>G9*1000000</f>
        <v/>
      </c>
      <c r="S9" s="2">
        <f>365*P9*O9*Q9</f>
        <v/>
      </c>
      <c r="T9" s="7">
        <f>R9/S9</f>
        <v/>
      </c>
      <c r="U9">
        <f>IF(ISNUMBER(T9),RANK(T9,$T$2:$T$127,0),"")</f>
        <v/>
      </c>
    </row>
    <row r="10">
      <c r="A10" t="inlineStr">
        <is>
          <t>zone_309</t>
        </is>
      </c>
      <c r="B10" t="inlineStr">
        <is>
          <t>รามอินทรา-อาจณรงค์</t>
        </is>
      </c>
      <c r="C10" t="inlineStr">
        <is>
          <t>กรุงเทพมหานคร</t>
        </is>
      </c>
      <c r="D10" t="inlineStr">
        <is>
          <t>E003S008|U</t>
        </is>
      </c>
      <c r="E10" t="inlineStr">
        <is>
          <t>0.8–1.2</t>
        </is>
      </c>
      <c r="F10" t="inlineStr">
        <is>
          <t>ฉลองรัช</t>
        </is>
      </c>
      <c r="G10" t="n">
        <v>5</v>
      </c>
      <c r="H10" t="n">
        <v>0</v>
      </c>
      <c r="I10" t="n">
        <v>2</v>
      </c>
      <c r="J10" t="n">
        <v>0.4</v>
      </c>
      <c r="K10" t="inlineStr">
        <is>
          <t>low</t>
        </is>
      </c>
      <c r="L10" s="2" t="n">
        <v>213053.8</v>
      </c>
      <c r="M10" s="2" t="n">
        <v>207436.5</v>
      </c>
      <c r="N10" s="2" t="n">
        <v>205336.6</v>
      </c>
      <c r="O10" s="2">
        <f>AVERAGE(L10:N10)</f>
        <v/>
      </c>
      <c r="P10" t="n">
        <v>3</v>
      </c>
      <c r="Q10" t="n">
        <v>1</v>
      </c>
      <c r="R10" s="2">
        <f>G10*1000000</f>
        <v/>
      </c>
      <c r="S10" s="2">
        <f>365*P10*O10*Q10</f>
        <v/>
      </c>
      <c r="T10" s="7">
        <f>R10/S10</f>
        <v/>
      </c>
      <c r="U10">
        <f>IF(ISNUMBER(T10),RANK(T10,$T$2:$T$127,0),"")</f>
        <v/>
      </c>
    </row>
    <row r="11">
      <c r="A11" t="inlineStr">
        <is>
          <t>zone_311</t>
        </is>
      </c>
      <c r="B11" t="inlineStr">
        <is>
          <t>รามอินทรา-อาจณรงค์</t>
        </is>
      </c>
      <c r="C11" t="inlineStr">
        <is>
          <t>กรุงเทพมหานคร</t>
        </is>
      </c>
      <c r="D11" t="inlineStr">
        <is>
          <t>E003S008|U</t>
        </is>
      </c>
      <c r="E11" t="inlineStr">
        <is>
          <t>5.5–5.5</t>
        </is>
      </c>
      <c r="F11" t="inlineStr">
        <is>
          <t>ฉลองรัช</t>
        </is>
      </c>
      <c r="G11" t="n">
        <v>4</v>
      </c>
      <c r="H11" t="n">
        <v>0</v>
      </c>
      <c r="I11" t="n">
        <v>0</v>
      </c>
      <c r="J11" t="n">
        <v>0</v>
      </c>
      <c r="K11" t="inlineStr">
        <is>
          <t>low</t>
        </is>
      </c>
      <c r="L11" s="2" t="n">
        <v>213053.8</v>
      </c>
      <c r="M11" s="2" t="n">
        <v>207436.5</v>
      </c>
      <c r="N11" s="2" t="n">
        <v>205336.6</v>
      </c>
      <c r="O11" s="2">
        <f>AVERAGE(L11:N11)</f>
        <v/>
      </c>
      <c r="P11" t="n">
        <v>3</v>
      </c>
      <c r="Q11" t="n">
        <v>1</v>
      </c>
      <c r="R11" s="2">
        <f>G11*1000000</f>
        <v/>
      </c>
      <c r="S11" s="2">
        <f>365*P11*O11*Q11</f>
        <v/>
      </c>
      <c r="T11" s="7">
        <f>R11/S11</f>
        <v/>
      </c>
      <c r="U11">
        <f>IF(ISNUMBER(T11),RANK(T11,$T$2:$T$127,0),"")</f>
        <v/>
      </c>
    </row>
    <row r="12">
      <c r="A12" t="inlineStr">
        <is>
          <t>zone_315</t>
        </is>
      </c>
      <c r="B12" t="inlineStr">
        <is>
          <t>รามอินทรา-อาจณรงค์</t>
        </is>
      </c>
      <c r="C12" t="inlineStr">
        <is>
          <t>กรุงเทพมหานคร</t>
        </is>
      </c>
      <c r="D12" t="inlineStr">
        <is>
          <t>E003S008|U</t>
        </is>
      </c>
      <c r="E12" t="inlineStr">
        <is>
          <t>8.9–9</t>
        </is>
      </c>
      <c r="F12" t="inlineStr">
        <is>
          <t>ฉลองรัช</t>
        </is>
      </c>
      <c r="G12" t="n">
        <v>4</v>
      </c>
      <c r="H12" t="n">
        <v>0</v>
      </c>
      <c r="I12" t="n">
        <v>4</v>
      </c>
      <c r="J12" t="n">
        <v>1</v>
      </c>
      <c r="K12" t="inlineStr">
        <is>
          <t>medium</t>
        </is>
      </c>
      <c r="L12" s="2" t="n">
        <v>213053.8</v>
      </c>
      <c r="M12" s="2" t="n">
        <v>207436.5</v>
      </c>
      <c r="N12" s="2" t="n">
        <v>205336.6</v>
      </c>
      <c r="O12" s="2">
        <f>AVERAGE(L12:N12)</f>
        <v/>
      </c>
      <c r="P12" t="n">
        <v>3</v>
      </c>
      <c r="Q12" t="n">
        <v>1</v>
      </c>
      <c r="R12" s="2">
        <f>G12*1000000</f>
        <v/>
      </c>
      <c r="S12" s="2">
        <f>365*P12*O12*Q12</f>
        <v/>
      </c>
      <c r="T12" s="7">
        <f>R12/S12</f>
        <v/>
      </c>
      <c r="U12">
        <f>IF(ISNUMBER(T12),RANK(T12,$T$2:$T$127,0),"")</f>
        <v/>
      </c>
    </row>
    <row r="13">
      <c r="A13" t="inlineStr">
        <is>
          <t>zone_448</t>
        </is>
      </c>
      <c r="B13" t="inlineStr">
        <is>
          <t>บางพลี-สุขสวัสดิ์</t>
        </is>
      </c>
      <c r="C13" t="inlineStr">
        <is>
          <t>สมุทรปราการ</t>
        </is>
      </c>
      <c r="D13" t="inlineStr">
        <is>
          <t>E007S013|U</t>
        </is>
      </c>
      <c r="E13" t="inlineStr">
        <is>
          <t>10.6–10.6</t>
        </is>
      </c>
      <c r="F13" t="inlineStr">
        <is>
          <t>ทางพิเศษกาญจนาภิเษก(บางพลี-สุขสวัสดิ์)</t>
        </is>
      </c>
      <c r="G13" t="n">
        <v>3</v>
      </c>
      <c r="H13" t="n">
        <v>0</v>
      </c>
      <c r="I13" t="n">
        <v>2</v>
      </c>
      <c r="J13" t="n">
        <v>0.6667</v>
      </c>
      <c r="K13" t="inlineStr">
        <is>
          <t>low</t>
        </is>
      </c>
      <c r="L13" s="2" t="n">
        <v>233037</v>
      </c>
      <c r="M13" s="2" t="n">
        <v>233285</v>
      </c>
      <c r="N13" s="2" t="n">
        <v>228365.9</v>
      </c>
      <c r="O13" s="2">
        <f>AVERAGE(L13:N13)</f>
        <v/>
      </c>
      <c r="P13" t="n">
        <v>3</v>
      </c>
      <c r="Q13" t="n">
        <v>1</v>
      </c>
      <c r="R13" s="2">
        <f>G13*1000000</f>
        <v/>
      </c>
      <c r="S13" s="2">
        <f>365*P13*O13*Q13</f>
        <v/>
      </c>
      <c r="T13" s="7">
        <f>R13/S13</f>
        <v/>
      </c>
      <c r="U13">
        <f>IF(ISNUMBER(T13),RANK(T13,$T$2:$T$127,0),"")</f>
        <v/>
      </c>
    </row>
    <row r="14">
      <c r="A14" t="inlineStr">
        <is>
          <t>zone_471</t>
        </is>
      </c>
      <c r="B14" t="inlineStr">
        <is>
          <t>บางพลี-สุขสวัสดิ์</t>
        </is>
      </c>
      <c r="C14" t="inlineStr">
        <is>
          <t>สมุทรปราการ</t>
        </is>
      </c>
      <c r="D14" t="inlineStr">
        <is>
          <t>E007S013|U</t>
        </is>
      </c>
      <c r="E14" t="inlineStr">
        <is>
          <t>2.2–2.4</t>
        </is>
      </c>
      <c r="F14" t="inlineStr">
        <is>
          <t>ทางพิเศษกาญจนาภิเษก(บางพลี-สุขสวัสดิ์)</t>
        </is>
      </c>
      <c r="G14" t="n">
        <v>3</v>
      </c>
      <c r="H14" t="n">
        <v>0</v>
      </c>
      <c r="I14" t="n">
        <v>0</v>
      </c>
      <c r="J14" t="n">
        <v>0</v>
      </c>
      <c r="K14" t="inlineStr">
        <is>
          <t>low</t>
        </is>
      </c>
      <c r="L14" s="2" t="n">
        <v>233037</v>
      </c>
      <c r="M14" s="2" t="n">
        <v>233285</v>
      </c>
      <c r="N14" s="2" t="n">
        <v>228365.9</v>
      </c>
      <c r="O14" s="2">
        <f>AVERAGE(L14:N14)</f>
        <v/>
      </c>
      <c r="P14" t="n">
        <v>3</v>
      </c>
      <c r="Q14" t="n">
        <v>1</v>
      </c>
      <c r="R14" s="2">
        <f>G14*1000000</f>
        <v/>
      </c>
      <c r="S14" s="2">
        <f>365*P14*O14*Q14</f>
        <v/>
      </c>
      <c r="T14" s="7">
        <f>R14/S14</f>
        <v/>
      </c>
      <c r="U14">
        <f>IF(ISNUMBER(T14),RANK(T14,$T$2:$T$127,0),"")</f>
        <v/>
      </c>
    </row>
    <row r="15">
      <c r="A15" t="inlineStr">
        <is>
          <t>zone_489</t>
        </is>
      </c>
      <c r="B15" t="inlineStr">
        <is>
          <t>บางพลี-สุขสวัสดิ์</t>
        </is>
      </c>
      <c r="C15" t="inlineStr">
        <is>
          <t>สมุทรปราการ</t>
        </is>
      </c>
      <c r="D15" t="inlineStr">
        <is>
          <t>E007S013|U</t>
        </is>
      </c>
      <c r="E15" t="inlineStr">
        <is>
          <t>3.7–3.8</t>
        </is>
      </c>
      <c r="F15" t="inlineStr">
        <is>
          <t>ทางพิเศษกาญจนาภิเษก(บางพลี-สุขสวัสดิ์)</t>
        </is>
      </c>
      <c r="G15" t="n">
        <v>4</v>
      </c>
      <c r="H15" t="n">
        <v>0</v>
      </c>
      <c r="I15" t="n">
        <v>2</v>
      </c>
      <c r="J15" t="n">
        <v>0.5</v>
      </c>
      <c r="K15" t="inlineStr">
        <is>
          <t>low</t>
        </is>
      </c>
      <c r="L15" s="2" t="n">
        <v>233037</v>
      </c>
      <c r="M15" s="2" t="n">
        <v>233285</v>
      </c>
      <c r="N15" s="2" t="n">
        <v>228365.9</v>
      </c>
      <c r="O15" s="2">
        <f>AVERAGE(L15:N15)</f>
        <v/>
      </c>
      <c r="P15" t="n">
        <v>3</v>
      </c>
      <c r="Q15" t="n">
        <v>1</v>
      </c>
      <c r="R15" s="2">
        <f>G15*1000000</f>
        <v/>
      </c>
      <c r="S15" s="2">
        <f>365*P15*O15*Q15</f>
        <v/>
      </c>
      <c r="T15" s="7">
        <f>R15/S15</f>
        <v/>
      </c>
      <c r="U15">
        <f>IF(ISNUMBER(T15),RANK(T15,$T$2:$T$127,0),"")</f>
        <v/>
      </c>
    </row>
    <row r="16">
      <c r="A16" t="inlineStr">
        <is>
          <t>zone_490</t>
        </is>
      </c>
      <c r="B16" t="inlineStr">
        <is>
          <t>บางพลี-สุขสวัสดิ์</t>
        </is>
      </c>
      <c r="C16" t="inlineStr">
        <is>
          <t>สมุทรปราการ</t>
        </is>
      </c>
      <c r="D16" t="inlineStr">
        <is>
          <t>E007S013|I</t>
        </is>
      </c>
      <c r="E16" t="inlineStr">
        <is>
          <t>12.2–12.4</t>
        </is>
      </c>
      <c r="F16" t="inlineStr">
        <is>
          <t>ทางพิเศษกาญจนาภิเษก(บางพลี-สุขสวัสดิ์)</t>
        </is>
      </c>
      <c r="G16" t="n">
        <v>7</v>
      </c>
      <c r="H16" t="n">
        <v>0</v>
      </c>
      <c r="I16" t="n">
        <v>3</v>
      </c>
      <c r="J16" t="n">
        <v>0.4286</v>
      </c>
      <c r="K16" t="inlineStr">
        <is>
          <t>low</t>
        </is>
      </c>
      <c r="L16" s="2" t="n">
        <v>233037</v>
      </c>
      <c r="M16" s="2" t="n">
        <v>233285</v>
      </c>
      <c r="N16" s="2" t="n">
        <v>228365.9</v>
      </c>
      <c r="O16" s="2">
        <f>AVERAGE(L16:N16)</f>
        <v/>
      </c>
      <c r="P16" t="n">
        <v>3</v>
      </c>
      <c r="Q16" t="n">
        <v>1</v>
      </c>
      <c r="R16" s="2">
        <f>G16*1000000</f>
        <v/>
      </c>
      <c r="S16" s="2">
        <f>365*P16*O16*Q16</f>
        <v/>
      </c>
      <c r="T16" s="7">
        <f>R16/S16</f>
        <v/>
      </c>
      <c r="U16">
        <f>IF(ISNUMBER(T16),RANK(T16,$T$2:$T$127,0),"")</f>
        <v/>
      </c>
    </row>
    <row r="17">
      <c r="A17" t="inlineStr">
        <is>
          <t>zone_495</t>
        </is>
      </c>
      <c r="B17" t="inlineStr">
        <is>
          <t>บางพลี-สุขสวัสดิ์</t>
        </is>
      </c>
      <c r="C17" t="inlineStr">
        <is>
          <t>สมุทรปราการ</t>
        </is>
      </c>
      <c r="D17" t="inlineStr">
        <is>
          <t>E007S013|U</t>
        </is>
      </c>
      <c r="E17" t="inlineStr">
        <is>
          <t>18.2–19.1</t>
        </is>
      </c>
      <c r="F17" t="inlineStr">
        <is>
          <t>ทางพิเศษกาญจนาภิเษก(บางพลี-สุขสวัสดิ์)</t>
        </is>
      </c>
      <c r="G17" t="n">
        <v>11</v>
      </c>
      <c r="H17" t="n">
        <v>0</v>
      </c>
      <c r="I17" t="n">
        <v>2</v>
      </c>
      <c r="J17" t="n">
        <v>0.1818</v>
      </c>
      <c r="K17" t="inlineStr">
        <is>
          <t>low</t>
        </is>
      </c>
      <c r="L17" s="2" t="n">
        <v>233037</v>
      </c>
      <c r="M17" s="2" t="n">
        <v>233285</v>
      </c>
      <c r="N17" s="2" t="n">
        <v>228365.9</v>
      </c>
      <c r="O17" s="2">
        <f>AVERAGE(L17:N17)</f>
        <v/>
      </c>
      <c r="P17" t="n">
        <v>3</v>
      </c>
      <c r="Q17" t="n">
        <v>1</v>
      </c>
      <c r="R17" s="2">
        <f>G17*1000000</f>
        <v/>
      </c>
      <c r="S17" s="2">
        <f>365*P17*O17*Q17</f>
        <v/>
      </c>
      <c r="T17" s="7">
        <f>R17/S17</f>
        <v/>
      </c>
      <c r="U17">
        <f>IF(ISNUMBER(T17),RANK(T17,$T$2:$T$127,0),"")</f>
        <v/>
      </c>
    </row>
    <row r="18">
      <c r="A18" t="inlineStr">
        <is>
          <t>zone_504</t>
        </is>
      </c>
      <c r="B18" t="inlineStr">
        <is>
          <t>บางพลี-สุขสวัสดิ์</t>
        </is>
      </c>
      <c r="C18" t="inlineStr">
        <is>
          <t>สมุทรปราการ</t>
        </is>
      </c>
      <c r="D18" t="inlineStr">
        <is>
          <t>E007S013|I</t>
        </is>
      </c>
      <c r="E18" t="inlineStr">
        <is>
          <t>19.3–19.9</t>
        </is>
      </c>
      <c r="F18" t="inlineStr">
        <is>
          <t>ทางพิเศษกาญจนาภิเษก(บางพลี-สุขสวัสดิ์)</t>
        </is>
      </c>
      <c r="G18" t="n">
        <v>16</v>
      </c>
      <c r="H18" t="n">
        <v>2</v>
      </c>
      <c r="I18" t="n">
        <v>3</v>
      </c>
      <c r="J18" t="n">
        <v>0.3125</v>
      </c>
      <c r="K18" t="inlineStr">
        <is>
          <t>low</t>
        </is>
      </c>
      <c r="L18" s="2" t="n">
        <v>233037</v>
      </c>
      <c r="M18" s="2" t="n">
        <v>233285</v>
      </c>
      <c r="N18" s="2" t="n">
        <v>228365.9</v>
      </c>
      <c r="O18" s="2">
        <f>AVERAGE(L18:N18)</f>
        <v/>
      </c>
      <c r="P18" t="n">
        <v>3</v>
      </c>
      <c r="Q18" t="n">
        <v>1</v>
      </c>
      <c r="R18" s="2">
        <f>G18*1000000</f>
        <v/>
      </c>
      <c r="S18" s="2">
        <f>365*P18*O18*Q18</f>
        <v/>
      </c>
      <c r="T18" s="7">
        <f>R18/S18</f>
        <v/>
      </c>
      <c r="U18">
        <f>IF(ISNUMBER(T18),RANK(T18,$T$2:$T$127,0),"")</f>
        <v/>
      </c>
    </row>
    <row r="19">
      <c r="A19" t="inlineStr">
        <is>
          <t>zone_512</t>
        </is>
      </c>
      <c r="B19" t="inlineStr">
        <is>
          <t>บางพลี-สุขสวัสดิ์</t>
        </is>
      </c>
      <c r="C19" t="inlineStr">
        <is>
          <t>สมุทรปราการ</t>
        </is>
      </c>
      <c r="D19" t="inlineStr">
        <is>
          <t>E007S013|I</t>
        </is>
      </c>
      <c r="E19" t="inlineStr">
        <is>
          <t>14.8–14.9</t>
        </is>
      </c>
      <c r="F19" t="inlineStr">
        <is>
          <t>ทางพิเศษกาญจนาภิเษก(บางพลี-สุขสวัสดิ์)</t>
        </is>
      </c>
      <c r="G19" t="n">
        <v>7</v>
      </c>
      <c r="H19" t="n">
        <v>0</v>
      </c>
      <c r="I19" t="n">
        <v>2</v>
      </c>
      <c r="J19" t="n">
        <v>0.2857</v>
      </c>
      <c r="K19" t="inlineStr">
        <is>
          <t>low</t>
        </is>
      </c>
      <c r="L19" s="2" t="n">
        <v>233037</v>
      </c>
      <c r="M19" s="2" t="n">
        <v>233285</v>
      </c>
      <c r="N19" s="2" t="n">
        <v>228365.9</v>
      </c>
      <c r="O19" s="2">
        <f>AVERAGE(L19:N19)</f>
        <v/>
      </c>
      <c r="P19" t="n">
        <v>3</v>
      </c>
      <c r="Q19" t="n">
        <v>1</v>
      </c>
      <c r="R19" s="2">
        <f>G19*1000000</f>
        <v/>
      </c>
      <c r="S19" s="2">
        <f>365*P19*O19*Q19</f>
        <v/>
      </c>
      <c r="T19" s="7">
        <f>R19/S19</f>
        <v/>
      </c>
      <c r="U19">
        <f>IF(ISNUMBER(T19),RANK(T19,$T$2:$T$127,0),"")</f>
        <v/>
      </c>
    </row>
    <row r="20">
      <c r="A20" t="inlineStr">
        <is>
          <t>zone_519</t>
        </is>
      </c>
      <c r="B20" t="inlineStr">
        <is>
          <t>บางพลี-สุขสวัสดิ์</t>
        </is>
      </c>
      <c r="C20" t="inlineStr">
        <is>
          <t>สมุทรปราการ</t>
        </is>
      </c>
      <c r="D20" t="inlineStr">
        <is>
          <t>E007S013|I</t>
        </is>
      </c>
      <c r="E20" t="inlineStr">
        <is>
          <t>7.5–7.6</t>
        </is>
      </c>
      <c r="F20" t="inlineStr">
        <is>
          <t>ทางพิเศษกาญจนาภิเษก(บางพลี-สุขสวัสดิ์)</t>
        </is>
      </c>
      <c r="G20" t="n">
        <v>5</v>
      </c>
      <c r="H20" t="n">
        <v>0</v>
      </c>
      <c r="I20" t="n">
        <v>6</v>
      </c>
      <c r="J20" t="n">
        <v>1.2</v>
      </c>
      <c r="K20" t="inlineStr">
        <is>
          <t>medium</t>
        </is>
      </c>
      <c r="L20" s="2" t="n">
        <v>233037</v>
      </c>
      <c r="M20" s="2" t="n">
        <v>233285</v>
      </c>
      <c r="N20" s="2" t="n">
        <v>228365.9</v>
      </c>
      <c r="O20" s="2">
        <f>AVERAGE(L20:N20)</f>
        <v/>
      </c>
      <c r="P20" t="n">
        <v>3</v>
      </c>
      <c r="Q20" t="n">
        <v>1</v>
      </c>
      <c r="R20" s="2">
        <f>G20*1000000</f>
        <v/>
      </c>
      <c r="S20" s="2">
        <f>365*P20*O20*Q20</f>
        <v/>
      </c>
      <c r="T20" s="7">
        <f>R20/S20</f>
        <v/>
      </c>
      <c r="U20">
        <f>IF(ISNUMBER(T20),RANK(T20,$T$2:$T$127,0),"")</f>
        <v/>
      </c>
    </row>
    <row r="21">
      <c r="A21" t="inlineStr">
        <is>
          <t>zone_521</t>
        </is>
      </c>
      <c r="B21" t="inlineStr">
        <is>
          <t>บางพลี-สุขสวัสดิ์</t>
        </is>
      </c>
      <c r="C21" t="inlineStr">
        <is>
          <t>สมุทรปราการ</t>
        </is>
      </c>
      <c r="D21" t="inlineStr">
        <is>
          <t>E007S013|U</t>
        </is>
      </c>
      <c r="E21" t="inlineStr">
        <is>
          <t>5.6–7</t>
        </is>
      </c>
      <c r="F21" t="inlineStr">
        <is>
          <t>ทางพิเศษกาญจนาภิเษก(บางพลี-สุขสวัสดิ์)</t>
        </is>
      </c>
      <c r="G21" t="n">
        <v>18</v>
      </c>
      <c r="H21" t="n">
        <v>0</v>
      </c>
      <c r="I21" t="n">
        <v>11</v>
      </c>
      <c r="J21" t="n">
        <v>0.6111</v>
      </c>
      <c r="K21" t="inlineStr">
        <is>
          <t>low</t>
        </is>
      </c>
      <c r="L21" s="2" t="n">
        <v>233037</v>
      </c>
      <c r="M21" s="2" t="n">
        <v>233285</v>
      </c>
      <c r="N21" s="2" t="n">
        <v>228365.9</v>
      </c>
      <c r="O21" s="2">
        <f>AVERAGE(L21:N21)</f>
        <v/>
      </c>
      <c r="P21" t="n">
        <v>3</v>
      </c>
      <c r="Q21" t="n">
        <v>1</v>
      </c>
      <c r="R21" s="2">
        <f>G21*1000000</f>
        <v/>
      </c>
      <c r="S21" s="2">
        <f>365*P21*O21*Q21</f>
        <v/>
      </c>
      <c r="T21" s="7">
        <f>R21/S21</f>
        <v/>
      </c>
      <c r="U21">
        <f>IF(ISNUMBER(T21),RANK(T21,$T$2:$T$127,0),"")</f>
        <v/>
      </c>
    </row>
    <row r="22">
      <c r="A22" t="inlineStr">
        <is>
          <t>zone_525</t>
        </is>
      </c>
      <c r="B22" t="inlineStr">
        <is>
          <t>บางพลี-สุขสวัสดิ์</t>
        </is>
      </c>
      <c r="C22" t="inlineStr">
        <is>
          <t>สมุทรปราการ</t>
        </is>
      </c>
      <c r="D22" t="inlineStr">
        <is>
          <t>E007S013|U</t>
        </is>
      </c>
      <c r="E22" t="inlineStr">
        <is>
          <t>10.8–11</t>
        </is>
      </c>
      <c r="F22" t="inlineStr">
        <is>
          <t>ทางพิเศษกาญจนาภิเษก(บางพลี-สุขสวัสดิ์)</t>
        </is>
      </c>
      <c r="G22" t="n">
        <v>6</v>
      </c>
      <c r="H22" t="n">
        <v>0</v>
      </c>
      <c r="I22" t="n">
        <v>9</v>
      </c>
      <c r="J22" t="n">
        <v>1.5</v>
      </c>
      <c r="K22" t="inlineStr">
        <is>
          <t>medium</t>
        </is>
      </c>
      <c r="L22" s="2" t="n">
        <v>233037</v>
      </c>
      <c r="M22" s="2" t="n">
        <v>233285</v>
      </c>
      <c r="N22" s="2" t="n">
        <v>228365.9</v>
      </c>
      <c r="O22" s="2">
        <f>AVERAGE(L22:N22)</f>
        <v/>
      </c>
      <c r="P22" t="n">
        <v>3</v>
      </c>
      <c r="Q22" t="n">
        <v>1</v>
      </c>
      <c r="R22" s="2">
        <f>G22*1000000</f>
        <v/>
      </c>
      <c r="S22" s="2">
        <f>365*P22*O22*Q22</f>
        <v/>
      </c>
      <c r="T22" s="7">
        <f>R22/S22</f>
        <v/>
      </c>
      <c r="U22">
        <f>IF(ISNUMBER(T22),RANK(T22,$T$2:$T$127,0),"")</f>
        <v/>
      </c>
    </row>
    <row r="23">
      <c r="A23" t="inlineStr">
        <is>
          <t>zone_526</t>
        </is>
      </c>
      <c r="B23" t="inlineStr">
        <is>
          <t>บางพลี-สุขสวัสดิ์</t>
        </is>
      </c>
      <c r="C23" t="inlineStr">
        <is>
          <t>สมุทรปราการ</t>
        </is>
      </c>
      <c r="D23" t="inlineStr">
        <is>
          <t>E007S013|U</t>
        </is>
      </c>
      <c r="E23" t="inlineStr">
        <is>
          <t>12–12</t>
        </is>
      </c>
      <c r="F23" t="inlineStr">
        <is>
          <t>ทางพิเศษกาญจนาภิเษก(บางพลี-สุขสวัสดิ์)</t>
        </is>
      </c>
      <c r="G23" t="n">
        <v>3</v>
      </c>
      <c r="H23" t="n">
        <v>0</v>
      </c>
      <c r="I23" t="n">
        <v>5</v>
      </c>
      <c r="J23" t="n">
        <v>1.6667</v>
      </c>
      <c r="K23" t="inlineStr">
        <is>
          <t>medium</t>
        </is>
      </c>
      <c r="L23" s="2" t="n">
        <v>233037</v>
      </c>
      <c r="M23" s="2" t="n">
        <v>233285</v>
      </c>
      <c r="N23" s="2" t="n">
        <v>228365.9</v>
      </c>
      <c r="O23" s="2">
        <f>AVERAGE(L23:N23)</f>
        <v/>
      </c>
      <c r="P23" t="n">
        <v>3</v>
      </c>
      <c r="Q23" t="n">
        <v>1</v>
      </c>
      <c r="R23" s="2">
        <f>G23*1000000</f>
        <v/>
      </c>
      <c r="S23" s="2">
        <f>365*P23*O23*Q23</f>
        <v/>
      </c>
      <c r="T23" s="7">
        <f>R23/S23</f>
        <v/>
      </c>
      <c r="U23">
        <f>IF(ISNUMBER(T23),RANK(T23,$T$2:$T$127,0),"")</f>
        <v/>
      </c>
    </row>
    <row r="24">
      <c r="A24" t="inlineStr">
        <is>
          <t>zone_529</t>
        </is>
      </c>
      <c r="B24" t="inlineStr">
        <is>
          <t>บางพลี-สุขสวัสดิ์</t>
        </is>
      </c>
      <c r="C24" t="inlineStr">
        <is>
          <t>สมุทรปราการ</t>
        </is>
      </c>
      <c r="D24" t="inlineStr">
        <is>
          <t>E007S013|U</t>
        </is>
      </c>
      <c r="E24" t="inlineStr">
        <is>
          <t>2.9–3</t>
        </is>
      </c>
      <c r="F24" t="inlineStr">
        <is>
          <t>ทางพิเศษกาญจนาภิเษก(บางพลี-สุขสวัสดิ์)</t>
        </is>
      </c>
      <c r="G24" t="n">
        <v>4</v>
      </c>
      <c r="H24" t="n">
        <v>0</v>
      </c>
      <c r="I24" t="n">
        <v>21</v>
      </c>
      <c r="J24" t="n">
        <v>5.25</v>
      </c>
      <c r="K24" t="inlineStr">
        <is>
          <t>high</t>
        </is>
      </c>
      <c r="L24" s="2" t="n">
        <v>233037</v>
      </c>
      <c r="M24" s="2" t="n">
        <v>233285</v>
      </c>
      <c r="N24" s="2" t="n">
        <v>228365.9</v>
      </c>
      <c r="O24" s="2">
        <f>AVERAGE(L24:N24)</f>
        <v/>
      </c>
      <c r="P24" t="n">
        <v>3</v>
      </c>
      <c r="Q24" t="n">
        <v>1</v>
      </c>
      <c r="R24" s="2">
        <f>G24*1000000</f>
        <v/>
      </c>
      <c r="S24" s="2">
        <f>365*P24*O24*Q24</f>
        <v/>
      </c>
      <c r="T24" s="7">
        <f>R24/S24</f>
        <v/>
      </c>
      <c r="U24">
        <f>IF(ISNUMBER(T24),RANK(T24,$T$2:$T$127,0),"")</f>
        <v/>
      </c>
    </row>
    <row r="25">
      <c r="A25" t="inlineStr">
        <is>
          <t>zone_532</t>
        </is>
      </c>
      <c r="B25" t="inlineStr">
        <is>
          <t>บางพลี-สุขสวัสดิ์</t>
        </is>
      </c>
      <c r="C25" t="inlineStr">
        <is>
          <t>สมุทรปราการ</t>
        </is>
      </c>
      <c r="D25" t="inlineStr">
        <is>
          <t>E007S013|I</t>
        </is>
      </c>
      <c r="E25" t="inlineStr">
        <is>
          <t>4.2–4.5</t>
        </is>
      </c>
      <c r="F25" t="inlineStr">
        <is>
          <t>ทางพิเศษกาญจนาภิเษก(บางพลี-สุขสวัสดิ์)</t>
        </is>
      </c>
      <c r="G25" t="n">
        <v>5</v>
      </c>
      <c r="H25" t="n">
        <v>0</v>
      </c>
      <c r="I25" t="n">
        <v>1</v>
      </c>
      <c r="J25" t="n">
        <v>0.2</v>
      </c>
      <c r="K25" t="inlineStr">
        <is>
          <t>low</t>
        </is>
      </c>
      <c r="L25" s="2" t="n">
        <v>233037</v>
      </c>
      <c r="M25" s="2" t="n">
        <v>233285</v>
      </c>
      <c r="N25" s="2" t="n">
        <v>228365.9</v>
      </c>
      <c r="O25" s="2">
        <f>AVERAGE(L25:N25)</f>
        <v/>
      </c>
      <c r="P25" t="n">
        <v>3</v>
      </c>
      <c r="Q25" t="n">
        <v>1</v>
      </c>
      <c r="R25" s="2">
        <f>G25*1000000</f>
        <v/>
      </c>
      <c r="S25" s="2">
        <f>365*P25*O25*Q25</f>
        <v/>
      </c>
      <c r="T25" s="7">
        <f>R25/S25</f>
        <v/>
      </c>
      <c r="U25">
        <f>IF(ISNUMBER(T25),RANK(T25,$T$2:$T$127,0),"")</f>
        <v/>
      </c>
    </row>
    <row r="26">
      <c r="A26" t="inlineStr">
        <is>
          <t>zone_535</t>
        </is>
      </c>
      <c r="B26" t="inlineStr">
        <is>
          <t>บางพลี-สุขสวัสดิ์</t>
        </is>
      </c>
      <c r="C26" t="inlineStr">
        <is>
          <t>สมุทรปราการ</t>
        </is>
      </c>
      <c r="D26" t="inlineStr">
        <is>
          <t>E007S013|I</t>
        </is>
      </c>
      <c r="E26" t="inlineStr">
        <is>
          <t>12.6–13.1</t>
        </is>
      </c>
      <c r="F26" t="inlineStr">
        <is>
          <t>ทางพิเศษกาญจนาภิเษก(บางพลี-สุขสวัสดิ์)</t>
        </is>
      </c>
      <c r="G26" t="n">
        <v>7</v>
      </c>
      <c r="H26" t="n">
        <v>2</v>
      </c>
      <c r="I26" t="n">
        <v>2</v>
      </c>
      <c r="J26" t="n">
        <v>0.5714</v>
      </c>
      <c r="K26" t="inlineStr">
        <is>
          <t>low</t>
        </is>
      </c>
      <c r="L26" s="2" t="n">
        <v>233037</v>
      </c>
      <c r="M26" s="2" t="n">
        <v>233285</v>
      </c>
      <c r="N26" s="2" t="n">
        <v>228365.9</v>
      </c>
      <c r="O26" s="2">
        <f>AVERAGE(L26:N26)</f>
        <v/>
      </c>
      <c r="P26" t="n">
        <v>3</v>
      </c>
      <c r="Q26" t="n">
        <v>1</v>
      </c>
      <c r="R26" s="2">
        <f>G26*1000000</f>
        <v/>
      </c>
      <c r="S26" s="2">
        <f>365*P26*O26*Q26</f>
        <v/>
      </c>
      <c r="T26" s="7">
        <f>R26/S26</f>
        <v/>
      </c>
      <c r="U26">
        <f>IF(ISNUMBER(T26),RANK(T26,$T$2:$T$127,0),"")</f>
        <v/>
      </c>
    </row>
    <row r="27">
      <c r="A27" t="inlineStr">
        <is>
          <t>zone_539</t>
        </is>
      </c>
      <c r="B27" t="inlineStr">
        <is>
          <t>บางพลี-สุขสวัสดิ์</t>
        </is>
      </c>
      <c r="C27" t="inlineStr">
        <is>
          <t>สมุทรปราการ</t>
        </is>
      </c>
      <c r="D27" t="inlineStr">
        <is>
          <t>E007S013|U</t>
        </is>
      </c>
      <c r="E27" t="inlineStr">
        <is>
          <t>13.6–14.1</t>
        </is>
      </c>
      <c r="F27" t="inlineStr">
        <is>
          <t>ทางพิเศษกาญจนาภิเษก(บางพลี-สุขสวัสดิ์)</t>
        </is>
      </c>
      <c r="G27" t="n">
        <v>13</v>
      </c>
      <c r="H27" t="n">
        <v>1</v>
      </c>
      <c r="I27" t="n">
        <v>12</v>
      </c>
      <c r="J27" t="n">
        <v>1</v>
      </c>
      <c r="K27" t="inlineStr">
        <is>
          <t>medium</t>
        </is>
      </c>
      <c r="L27" s="2" t="n">
        <v>233037</v>
      </c>
      <c r="M27" s="2" t="n">
        <v>233285</v>
      </c>
      <c r="N27" s="2" t="n">
        <v>228365.9</v>
      </c>
      <c r="O27" s="2">
        <f>AVERAGE(L27:N27)</f>
        <v/>
      </c>
      <c r="P27" t="n">
        <v>3</v>
      </c>
      <c r="Q27" t="n">
        <v>1</v>
      </c>
      <c r="R27" s="2">
        <f>G27*1000000</f>
        <v/>
      </c>
      <c r="S27" s="2">
        <f>365*P27*O27*Q27</f>
        <v/>
      </c>
      <c r="T27" s="7">
        <f>R27/S27</f>
        <v/>
      </c>
      <c r="U27">
        <f>IF(ISNUMBER(T27),RANK(T27,$T$2:$T$127,0),"")</f>
        <v/>
      </c>
    </row>
    <row r="28">
      <c r="A28" t="inlineStr">
        <is>
          <t>zone_540</t>
        </is>
      </c>
      <c r="B28" t="inlineStr">
        <is>
          <t>บางพลี-สุขสวัสดิ์</t>
        </is>
      </c>
      <c r="C28" t="inlineStr">
        <is>
          <t>สมุทรปราการ</t>
        </is>
      </c>
      <c r="D28" t="inlineStr">
        <is>
          <t>E007S013|U</t>
        </is>
      </c>
      <c r="E28" t="inlineStr">
        <is>
          <t>8.2–8.5</t>
        </is>
      </c>
      <c r="F28" t="inlineStr">
        <is>
          <t>ทางพิเศษกาญจนาภิเษก(บางพลี-สุขสวัสดิ์)</t>
        </is>
      </c>
      <c r="G28" t="n">
        <v>7</v>
      </c>
      <c r="H28" t="n">
        <v>0</v>
      </c>
      <c r="I28" t="n">
        <v>6</v>
      </c>
      <c r="J28" t="n">
        <v>0.8571</v>
      </c>
      <c r="K28" t="inlineStr">
        <is>
          <t>low</t>
        </is>
      </c>
      <c r="L28" s="2" t="n">
        <v>233037</v>
      </c>
      <c r="M28" s="2" t="n">
        <v>233285</v>
      </c>
      <c r="N28" s="2" t="n">
        <v>228365.9</v>
      </c>
      <c r="O28" s="2">
        <f>AVERAGE(L28:N28)</f>
        <v/>
      </c>
      <c r="P28" t="n">
        <v>3</v>
      </c>
      <c r="Q28" t="n">
        <v>1</v>
      </c>
      <c r="R28" s="2">
        <f>G28*1000000</f>
        <v/>
      </c>
      <c r="S28" s="2">
        <f>365*P28*O28*Q28</f>
        <v/>
      </c>
      <c r="T28" s="7">
        <f>R28/S28</f>
        <v/>
      </c>
      <c r="U28">
        <f>IF(ISNUMBER(T28),RANK(T28,$T$2:$T$127,0),"")</f>
        <v/>
      </c>
    </row>
    <row r="29">
      <c r="A29" t="inlineStr">
        <is>
          <t>zone_544</t>
        </is>
      </c>
      <c r="B29" t="inlineStr">
        <is>
          <t>บางพลี-สุขสวัสดิ์</t>
        </is>
      </c>
      <c r="C29" t="inlineStr">
        <is>
          <t>สมุทรปราการ</t>
        </is>
      </c>
      <c r="D29" t="inlineStr">
        <is>
          <t>E007S013|U</t>
        </is>
      </c>
      <c r="E29" t="inlineStr">
        <is>
          <t>15.2–15.5</t>
        </is>
      </c>
      <c r="F29" t="inlineStr">
        <is>
          <t>ทางพิเศษกาญจนาภิเษก(บางพลี-สุขสวัสดิ์)</t>
        </is>
      </c>
      <c r="G29" t="n">
        <v>5</v>
      </c>
      <c r="H29" t="n">
        <v>0</v>
      </c>
      <c r="I29" t="n">
        <v>0</v>
      </c>
      <c r="J29" t="n">
        <v>0</v>
      </c>
      <c r="K29" t="inlineStr">
        <is>
          <t>low</t>
        </is>
      </c>
      <c r="L29" s="2" t="n">
        <v>233037</v>
      </c>
      <c r="M29" s="2" t="n">
        <v>233285</v>
      </c>
      <c r="N29" s="2" t="n">
        <v>228365.9</v>
      </c>
      <c r="O29" s="2">
        <f>AVERAGE(L29:N29)</f>
        <v/>
      </c>
      <c r="P29" t="n">
        <v>3</v>
      </c>
      <c r="Q29" t="n">
        <v>1</v>
      </c>
      <c r="R29" s="2">
        <f>G29*1000000</f>
        <v/>
      </c>
      <c r="S29" s="2">
        <f>365*P29*O29*Q29</f>
        <v/>
      </c>
      <c r="T29" s="7">
        <f>R29/S29</f>
        <v/>
      </c>
      <c r="U29">
        <f>IF(ISNUMBER(T29),RANK(T29,$T$2:$T$127,0),"")</f>
        <v/>
      </c>
    </row>
    <row r="30">
      <c r="A30" t="inlineStr">
        <is>
          <t>zone_545</t>
        </is>
      </c>
      <c r="B30" t="inlineStr">
        <is>
          <t>บางพลี-สุขสวัสดิ์</t>
        </is>
      </c>
      <c r="C30" t="inlineStr">
        <is>
          <t>สมุทรปราการ</t>
        </is>
      </c>
      <c r="D30" t="inlineStr">
        <is>
          <t>E007S013|U</t>
        </is>
      </c>
      <c r="E30" t="inlineStr">
        <is>
          <t>21.2–21.8</t>
        </is>
      </c>
      <c r="F30" t="inlineStr">
        <is>
          <t>ทางพิเศษกาญจนาภิเษก(บางพลี-สุขสวัสดิ์)</t>
        </is>
      </c>
      <c r="G30" t="n">
        <v>9</v>
      </c>
      <c r="H30" t="n">
        <v>0</v>
      </c>
      <c r="I30" t="n">
        <v>8</v>
      </c>
      <c r="J30" t="n">
        <v>0.8889</v>
      </c>
      <c r="K30" t="inlineStr">
        <is>
          <t>low</t>
        </is>
      </c>
      <c r="L30" s="2" t="n">
        <v>233037</v>
      </c>
      <c r="M30" s="2" t="n">
        <v>233285</v>
      </c>
      <c r="N30" s="2" t="n">
        <v>228365.9</v>
      </c>
      <c r="O30" s="2">
        <f>AVERAGE(L30:N30)</f>
        <v/>
      </c>
      <c r="P30" t="n">
        <v>3</v>
      </c>
      <c r="Q30" t="n">
        <v>1</v>
      </c>
      <c r="R30" s="2">
        <f>G30*1000000</f>
        <v/>
      </c>
      <c r="S30" s="2">
        <f>365*P30*O30*Q30</f>
        <v/>
      </c>
      <c r="T30" s="7">
        <f>R30/S30</f>
        <v/>
      </c>
      <c r="U30">
        <f>IF(ISNUMBER(T30),RANK(T30,$T$2:$T$127,0),"")</f>
        <v/>
      </c>
    </row>
    <row r="31">
      <c r="A31" t="inlineStr">
        <is>
          <t>zone_546</t>
        </is>
      </c>
      <c r="B31" t="inlineStr">
        <is>
          <t>บางพลี-สุขสวัสดิ์</t>
        </is>
      </c>
      <c r="C31" t="inlineStr">
        <is>
          <t>สมุทรปราการ</t>
        </is>
      </c>
      <c r="D31" t="inlineStr">
        <is>
          <t>E007S013|I</t>
        </is>
      </c>
      <c r="E31" t="inlineStr">
        <is>
          <t>20.1–21</t>
        </is>
      </c>
      <c r="F31" t="inlineStr">
        <is>
          <t>ทางพิเศษกาญจนาภิเษก(บางพลี-สุขสวัสดิ์)</t>
        </is>
      </c>
      <c r="G31" t="n">
        <v>20</v>
      </c>
      <c r="H31" t="n">
        <v>0</v>
      </c>
      <c r="I31" t="n">
        <v>4</v>
      </c>
      <c r="J31" t="n">
        <v>0.2</v>
      </c>
      <c r="K31" t="inlineStr">
        <is>
          <t>low</t>
        </is>
      </c>
      <c r="L31" s="2" t="n">
        <v>233037</v>
      </c>
      <c r="M31" s="2" t="n">
        <v>233285</v>
      </c>
      <c r="N31" s="2" t="n">
        <v>228365.9</v>
      </c>
      <c r="O31" s="2">
        <f>AVERAGE(L31:N31)</f>
        <v/>
      </c>
      <c r="P31" t="n">
        <v>3</v>
      </c>
      <c r="Q31" t="n">
        <v>1</v>
      </c>
      <c r="R31" s="2">
        <f>G31*1000000</f>
        <v/>
      </c>
      <c r="S31" s="2">
        <f>365*P31*O31*Q31</f>
        <v/>
      </c>
      <c r="T31" s="7">
        <f>R31/S31</f>
        <v/>
      </c>
      <c r="U31">
        <f>IF(ISNUMBER(T31),RANK(T31,$T$2:$T$127,0),"")</f>
        <v/>
      </c>
    </row>
    <row r="32">
      <c r="A32" t="inlineStr">
        <is>
          <t>zone_549</t>
        </is>
      </c>
      <c r="B32" t="inlineStr">
        <is>
          <t>บางพลี-สุขสวัสดิ์</t>
        </is>
      </c>
      <c r="C32" t="inlineStr">
        <is>
          <t>สมุทรปราการ</t>
        </is>
      </c>
      <c r="D32" t="inlineStr">
        <is>
          <t>E007S013|I</t>
        </is>
      </c>
      <c r="E32" t="inlineStr">
        <is>
          <t>10–10.2</t>
        </is>
      </c>
      <c r="F32" t="inlineStr">
        <is>
          <t>ทางพิเศษกาญจนาภิเษก(บางพลี-สุขสวัสดิ์)</t>
        </is>
      </c>
      <c r="G32" t="n">
        <v>4</v>
      </c>
      <c r="H32" t="n">
        <v>0</v>
      </c>
      <c r="I32" t="n">
        <v>0</v>
      </c>
      <c r="J32" t="n">
        <v>0</v>
      </c>
      <c r="K32" t="inlineStr">
        <is>
          <t>low</t>
        </is>
      </c>
      <c r="L32" s="2" t="n">
        <v>233037</v>
      </c>
      <c r="M32" s="2" t="n">
        <v>233285</v>
      </c>
      <c r="N32" s="2" t="n">
        <v>228365.9</v>
      </c>
      <c r="O32" s="2">
        <f>AVERAGE(L32:N32)</f>
        <v/>
      </c>
      <c r="P32" t="n">
        <v>3</v>
      </c>
      <c r="Q32" t="n">
        <v>1</v>
      </c>
      <c r="R32" s="2">
        <f>G32*1000000</f>
        <v/>
      </c>
      <c r="S32" s="2">
        <f>365*P32*O32*Q32</f>
        <v/>
      </c>
      <c r="T32" s="7">
        <f>R32/S32</f>
        <v/>
      </c>
      <c r="U32">
        <f>IF(ISNUMBER(T32),RANK(T32,$T$2:$T$127,0),"")</f>
        <v/>
      </c>
    </row>
    <row r="33">
      <c r="A33" t="inlineStr">
        <is>
          <t>zone_550</t>
        </is>
      </c>
      <c r="B33" t="inlineStr">
        <is>
          <t>บางพลี-สุขสวัสดิ์</t>
        </is>
      </c>
      <c r="C33" t="inlineStr">
        <is>
          <t>สมุทรปราการ</t>
        </is>
      </c>
      <c r="D33" t="inlineStr">
        <is>
          <t>E007S013|I</t>
        </is>
      </c>
      <c r="E33" t="inlineStr">
        <is>
          <t>5–5</t>
        </is>
      </c>
      <c r="F33" t="inlineStr">
        <is>
          <t>ทางพิเศษกาญจนาภิเษก(บางพลี-สุขสวัสดิ์)</t>
        </is>
      </c>
      <c r="G33" t="n">
        <v>3</v>
      </c>
      <c r="H33" t="n">
        <v>0</v>
      </c>
      <c r="I33" t="n">
        <v>4</v>
      </c>
      <c r="J33" t="n">
        <v>1.3333</v>
      </c>
      <c r="K33" t="inlineStr">
        <is>
          <t>medium</t>
        </is>
      </c>
      <c r="L33" s="2" t="n">
        <v>233037</v>
      </c>
      <c r="M33" s="2" t="n">
        <v>233285</v>
      </c>
      <c r="N33" s="2" t="n">
        <v>228365.9</v>
      </c>
      <c r="O33" s="2">
        <f>AVERAGE(L33:N33)</f>
        <v/>
      </c>
      <c r="P33" t="n">
        <v>3</v>
      </c>
      <c r="Q33" t="n">
        <v>1</v>
      </c>
      <c r="R33" s="2">
        <f>G33*1000000</f>
        <v/>
      </c>
      <c r="S33" s="2">
        <f>365*P33*O33*Q33</f>
        <v/>
      </c>
      <c r="T33" s="7">
        <f>R33/S33</f>
        <v/>
      </c>
      <c r="U33">
        <f>IF(ISNUMBER(T33),RANK(T33,$T$2:$T$127,0),"")</f>
        <v/>
      </c>
    </row>
    <row r="34">
      <c r="A34" t="inlineStr">
        <is>
          <t>zone_551</t>
        </is>
      </c>
      <c r="B34" t="inlineStr">
        <is>
          <t>บางพลี-สุขสวัสดิ์</t>
        </is>
      </c>
      <c r="C34" t="inlineStr">
        <is>
          <t>สมุทรปราการ</t>
        </is>
      </c>
      <c r="D34" t="inlineStr">
        <is>
          <t>E007S013|I</t>
        </is>
      </c>
      <c r="E34" t="inlineStr">
        <is>
          <t>1.8–2</t>
        </is>
      </c>
      <c r="F34" t="inlineStr">
        <is>
          <t>ทางพิเศษกาญจนาภิเษก(บางพลี-สุขสวัสดิ์)</t>
        </is>
      </c>
      <c r="G34" t="n">
        <v>3</v>
      </c>
      <c r="H34" t="n">
        <v>0</v>
      </c>
      <c r="I34" t="n">
        <v>0</v>
      </c>
      <c r="J34" t="n">
        <v>0</v>
      </c>
      <c r="K34" t="inlineStr">
        <is>
          <t>low</t>
        </is>
      </c>
      <c r="L34" s="2" t="n">
        <v>233037</v>
      </c>
      <c r="M34" s="2" t="n">
        <v>233285</v>
      </c>
      <c r="N34" s="2" t="n">
        <v>228365.9</v>
      </c>
      <c r="O34" s="2">
        <f>AVERAGE(L34:N34)</f>
        <v/>
      </c>
      <c r="P34" t="n">
        <v>3</v>
      </c>
      <c r="Q34" t="n">
        <v>1</v>
      </c>
      <c r="R34" s="2">
        <f>G34*1000000</f>
        <v/>
      </c>
      <c r="S34" s="2">
        <f>365*P34*O34*Q34</f>
        <v/>
      </c>
      <c r="T34" s="7">
        <f>R34/S34</f>
        <v/>
      </c>
      <c r="U34">
        <f>IF(ISNUMBER(T34),RANK(T34,$T$2:$T$127,0),"")</f>
        <v/>
      </c>
    </row>
    <row r="35">
      <c r="A35" t="inlineStr">
        <is>
          <t>zone_552</t>
        </is>
      </c>
      <c r="B35" t="inlineStr">
        <is>
          <t>บางพลี-สุขสวัสดิ์</t>
        </is>
      </c>
      <c r="C35" t="inlineStr">
        <is>
          <t>สมุทรปราการ</t>
        </is>
      </c>
      <c r="D35" t="inlineStr">
        <is>
          <t>E007S013|U</t>
        </is>
      </c>
      <c r="E35" t="inlineStr">
        <is>
          <t>15.8–16.1</t>
        </is>
      </c>
      <c r="F35" t="inlineStr">
        <is>
          <t>ทางพิเศษกาญจนาภิเษก(บางพลี-สุขสวัสดิ์)</t>
        </is>
      </c>
      <c r="G35" t="n">
        <v>9</v>
      </c>
      <c r="H35" t="n">
        <v>0</v>
      </c>
      <c r="I35" t="n">
        <v>5</v>
      </c>
      <c r="J35" t="n">
        <v>0.5556</v>
      </c>
      <c r="K35" t="inlineStr">
        <is>
          <t>low</t>
        </is>
      </c>
      <c r="L35" s="2" t="n">
        <v>233037</v>
      </c>
      <c r="M35" s="2" t="n">
        <v>233285</v>
      </c>
      <c r="N35" s="2" t="n">
        <v>228365.9</v>
      </c>
      <c r="O35" s="2">
        <f>AVERAGE(L35:N35)</f>
        <v/>
      </c>
      <c r="P35" t="n">
        <v>3</v>
      </c>
      <c r="Q35" t="n">
        <v>1</v>
      </c>
      <c r="R35" s="2">
        <f>G35*1000000</f>
        <v/>
      </c>
      <c r="S35" s="2">
        <f>365*P35*O35*Q35</f>
        <v/>
      </c>
      <c r="T35" s="7">
        <f>R35/S35</f>
        <v/>
      </c>
      <c r="U35">
        <f>IF(ISNUMBER(T35),RANK(T35,$T$2:$T$127,0),"")</f>
        <v/>
      </c>
    </row>
    <row r="36">
      <c r="A36" t="inlineStr">
        <is>
          <t>zone_553</t>
        </is>
      </c>
      <c r="B36" t="inlineStr">
        <is>
          <t>บางพลี-สุขสวัสดิ์</t>
        </is>
      </c>
      <c r="C36" t="inlineStr">
        <is>
          <t>สมุทรปราการ</t>
        </is>
      </c>
      <c r="D36" t="inlineStr">
        <is>
          <t>E007S013|U</t>
        </is>
      </c>
      <c r="E36" t="inlineStr">
        <is>
          <t>1.5–1.6</t>
        </is>
      </c>
      <c r="F36" t="inlineStr">
        <is>
          <t>ทางพิเศษกาญจนาภิเษก(บางพลี-สุขสวัสดิ์)</t>
        </is>
      </c>
      <c r="G36" t="n">
        <v>7</v>
      </c>
      <c r="H36" t="n">
        <v>0</v>
      </c>
      <c r="I36" t="n">
        <v>8</v>
      </c>
      <c r="J36" t="n">
        <v>1.1429</v>
      </c>
      <c r="K36" t="inlineStr">
        <is>
          <t>medium</t>
        </is>
      </c>
      <c r="L36" s="2" t="n">
        <v>233037</v>
      </c>
      <c r="M36" s="2" t="n">
        <v>233285</v>
      </c>
      <c r="N36" s="2" t="n">
        <v>228365.9</v>
      </c>
      <c r="O36" s="2">
        <f>AVERAGE(L36:N36)</f>
        <v/>
      </c>
      <c r="P36" t="n">
        <v>3</v>
      </c>
      <c r="Q36" t="n">
        <v>1</v>
      </c>
      <c r="R36" s="2">
        <f>G36*1000000</f>
        <v/>
      </c>
      <c r="S36" s="2">
        <f>365*P36*O36*Q36</f>
        <v/>
      </c>
      <c r="T36" s="7">
        <f>R36/S36</f>
        <v/>
      </c>
      <c r="U36">
        <f>IF(ISNUMBER(T36),RANK(T36,$T$2:$T$127,0),"")</f>
        <v/>
      </c>
    </row>
    <row r="37">
      <c r="A37" t="inlineStr">
        <is>
          <t>zone_557</t>
        </is>
      </c>
      <c r="B37" t="inlineStr">
        <is>
          <t>บางพลี-สุขสวัสดิ์</t>
        </is>
      </c>
      <c r="C37" t="inlineStr">
        <is>
          <t>สมุทรปราการ</t>
        </is>
      </c>
      <c r="D37" t="inlineStr">
        <is>
          <t>E007S013|I</t>
        </is>
      </c>
      <c r="E37" t="inlineStr">
        <is>
          <t>22.2–22.3</t>
        </is>
      </c>
      <c r="F37" t="inlineStr">
        <is>
          <t>ทางพิเศษกาญจนาภิเษก(บางพลี-สุขสวัสดิ์)</t>
        </is>
      </c>
      <c r="G37" t="n">
        <v>3</v>
      </c>
      <c r="H37" t="n">
        <v>0</v>
      </c>
      <c r="I37" t="n">
        <v>1</v>
      </c>
      <c r="J37" t="n">
        <v>0.3333</v>
      </c>
      <c r="K37" t="inlineStr">
        <is>
          <t>low</t>
        </is>
      </c>
      <c r="L37" s="2" t="n">
        <v>233037</v>
      </c>
      <c r="M37" s="2" t="n">
        <v>233285</v>
      </c>
      <c r="N37" s="2" t="n">
        <v>228365.9</v>
      </c>
      <c r="O37" s="2">
        <f>AVERAGE(L37:N37)</f>
        <v/>
      </c>
      <c r="P37" t="n">
        <v>3</v>
      </c>
      <c r="Q37" t="n">
        <v>1</v>
      </c>
      <c r="R37" s="2">
        <f>G37*1000000</f>
        <v/>
      </c>
      <c r="S37" s="2">
        <f>365*P37*O37*Q37</f>
        <v/>
      </c>
      <c r="T37" s="7">
        <f>R37/S37</f>
        <v/>
      </c>
      <c r="U37">
        <f>IF(ISNUMBER(T37),RANK(T37,$T$2:$T$127,0),"")</f>
        <v/>
      </c>
    </row>
    <row r="38">
      <c r="A38" t="inlineStr">
        <is>
          <t>zone_559</t>
        </is>
      </c>
      <c r="B38" t="inlineStr">
        <is>
          <t>บางพลี-สุขสวัสดิ์</t>
        </is>
      </c>
      <c r="C38" t="inlineStr">
        <is>
          <t>สมุทรปราการ</t>
        </is>
      </c>
      <c r="D38" t="inlineStr">
        <is>
          <t>E007S013|I</t>
        </is>
      </c>
      <c r="E38" t="inlineStr">
        <is>
          <t>11.5–11.8</t>
        </is>
      </c>
      <c r="F38" t="inlineStr">
        <is>
          <t>ทางพิเศษกาญจนาภิเษก(บางพลี-สุขสวัสดิ์)</t>
        </is>
      </c>
      <c r="G38" t="n">
        <v>4</v>
      </c>
      <c r="H38" t="n">
        <v>0</v>
      </c>
      <c r="I38" t="n">
        <v>1</v>
      </c>
      <c r="J38" t="n">
        <v>0.25</v>
      </c>
      <c r="K38" t="inlineStr">
        <is>
          <t>low</t>
        </is>
      </c>
      <c r="L38" s="2" t="n">
        <v>233037</v>
      </c>
      <c r="M38" s="2" t="n">
        <v>233285</v>
      </c>
      <c r="N38" s="2" t="n">
        <v>228365.9</v>
      </c>
      <c r="O38" s="2">
        <f>AVERAGE(L38:N38)</f>
        <v/>
      </c>
      <c r="P38" t="n">
        <v>3</v>
      </c>
      <c r="Q38" t="n">
        <v>1</v>
      </c>
      <c r="R38" s="2">
        <f>G38*1000000</f>
        <v/>
      </c>
      <c r="S38" s="2">
        <f>365*P38*O38*Q38</f>
        <v/>
      </c>
      <c r="T38" s="7">
        <f>R38/S38</f>
        <v/>
      </c>
      <c r="U38">
        <f>IF(ISNUMBER(T38),RANK(T38,$T$2:$T$127,0),"")</f>
        <v/>
      </c>
    </row>
    <row r="39">
      <c r="A39" t="inlineStr">
        <is>
          <t>zone_563</t>
        </is>
      </c>
      <c r="B39" t="inlineStr">
        <is>
          <t>บางพลี-สุขสวัสดิ์</t>
        </is>
      </c>
      <c r="C39" t="inlineStr">
        <is>
          <t>สมุทรปราการ</t>
        </is>
      </c>
      <c r="D39" t="inlineStr">
        <is>
          <t>E007S013|I</t>
        </is>
      </c>
      <c r="E39" t="inlineStr">
        <is>
          <t>17.5–18</t>
        </is>
      </c>
      <c r="F39" t="inlineStr">
        <is>
          <t>ทางพิเศษกาญจนาภิเษก(บางพลี-สุขสวัสดิ์)</t>
        </is>
      </c>
      <c r="G39" t="n">
        <v>5</v>
      </c>
      <c r="H39" t="n">
        <v>0</v>
      </c>
      <c r="I39" t="n">
        <v>1</v>
      </c>
      <c r="J39" t="n">
        <v>0.2</v>
      </c>
      <c r="K39" t="inlineStr">
        <is>
          <t>low</t>
        </is>
      </c>
      <c r="L39" s="2" t="n">
        <v>233037</v>
      </c>
      <c r="M39" s="2" t="n">
        <v>233285</v>
      </c>
      <c r="N39" s="2" t="n">
        <v>228365.9</v>
      </c>
      <c r="O39" s="2">
        <f>AVERAGE(L39:N39)</f>
        <v/>
      </c>
      <c r="P39" t="n">
        <v>3</v>
      </c>
      <c r="Q39" t="n">
        <v>1</v>
      </c>
      <c r="R39" s="2">
        <f>G39*1000000</f>
        <v/>
      </c>
      <c r="S39" s="2">
        <f>365*P39*O39*Q39</f>
        <v/>
      </c>
      <c r="T39" s="7">
        <f>R39/S39</f>
        <v/>
      </c>
      <c r="U39">
        <f>IF(ISNUMBER(T39),RANK(T39,$T$2:$T$127,0),"")</f>
        <v/>
      </c>
    </row>
    <row r="40">
      <c r="A40" t="inlineStr">
        <is>
          <t>zone_564</t>
        </is>
      </c>
      <c r="B40" t="inlineStr">
        <is>
          <t>บางพลี-สุขสวัสดิ์</t>
        </is>
      </c>
      <c r="C40" t="inlineStr">
        <is>
          <t>สมุทรปราการ</t>
        </is>
      </c>
      <c r="D40" t="inlineStr">
        <is>
          <t>E007S013|U</t>
        </is>
      </c>
      <c r="E40" t="inlineStr">
        <is>
          <t>16.8–16.9</t>
        </is>
      </c>
      <c r="F40" t="inlineStr">
        <is>
          <t>ทางพิเศษกาญจนาภิเษก(บางพลี-สุขสวัสดิ์)</t>
        </is>
      </c>
      <c r="G40" t="n">
        <v>5</v>
      </c>
      <c r="H40" t="n">
        <v>0</v>
      </c>
      <c r="I40" t="n">
        <v>0</v>
      </c>
      <c r="J40" t="n">
        <v>0</v>
      </c>
      <c r="K40" t="inlineStr">
        <is>
          <t>low</t>
        </is>
      </c>
      <c r="L40" s="2" t="n">
        <v>233037</v>
      </c>
      <c r="M40" s="2" t="n">
        <v>233285</v>
      </c>
      <c r="N40" s="2" t="n">
        <v>228365.9</v>
      </c>
      <c r="O40" s="2">
        <f>AVERAGE(L40:N40)</f>
        <v/>
      </c>
      <c r="P40" t="n">
        <v>3</v>
      </c>
      <c r="Q40" t="n">
        <v>1</v>
      </c>
      <c r="R40" s="2">
        <f>G40*1000000</f>
        <v/>
      </c>
      <c r="S40" s="2">
        <f>365*P40*O40*Q40</f>
        <v/>
      </c>
      <c r="T40" s="7">
        <f>R40/S40</f>
        <v/>
      </c>
      <c r="U40">
        <f>IF(ISNUMBER(T40),RANK(T40,$T$2:$T$127,0),"")</f>
        <v/>
      </c>
    </row>
    <row r="41">
      <c r="A41" t="inlineStr">
        <is>
          <t>zone_278</t>
        </is>
      </c>
      <c r="B41" t="inlineStr">
        <is>
          <t>บางนา-ชลบุรี</t>
        </is>
      </c>
      <c r="C41" t="inlineStr">
        <is>
          <t>กรุงเทพมหานคร</t>
        </is>
      </c>
      <c r="D41" t="inlineStr">
        <is>
          <t>E004S009|U</t>
        </is>
      </c>
      <c r="E41" t="inlineStr">
        <is>
          <t>4.5–4.6</t>
        </is>
      </c>
      <c r="F41" t="inlineStr">
        <is>
          <t>บูรพาวิถี</t>
        </is>
      </c>
      <c r="G41" t="n">
        <v>6</v>
      </c>
      <c r="H41" t="n">
        <v>0</v>
      </c>
      <c r="I41" t="n">
        <v>6</v>
      </c>
      <c r="J41" t="n">
        <v>1</v>
      </c>
      <c r="K41" t="inlineStr">
        <is>
          <t>medium</t>
        </is>
      </c>
      <c r="L41" s="2" t="n">
        <v>143309.3</v>
      </c>
      <c r="M41" s="2" t="n">
        <v>145474.2</v>
      </c>
      <c r="N41" s="2" t="n">
        <v>147094.4</v>
      </c>
      <c r="O41" s="2">
        <f>AVERAGE(L41:N41)</f>
        <v/>
      </c>
      <c r="P41" t="n">
        <v>3</v>
      </c>
      <c r="Q41" t="n">
        <v>1</v>
      </c>
      <c r="R41" s="2">
        <f>G41*1000000</f>
        <v/>
      </c>
      <c r="S41" s="2">
        <f>365*P41*O41*Q41</f>
        <v/>
      </c>
      <c r="T41" s="7">
        <f>R41/S41</f>
        <v/>
      </c>
      <c r="U41">
        <f>IF(ISNUMBER(T41),RANK(T41,$T$2:$T$127,0),"")</f>
        <v/>
      </c>
    </row>
    <row r="42">
      <c r="A42" t="inlineStr">
        <is>
          <t>zone_458</t>
        </is>
      </c>
      <c r="B42" t="inlineStr">
        <is>
          <t>บางนา-ชลบุรี</t>
        </is>
      </c>
      <c r="C42" t="inlineStr">
        <is>
          <t>สมุทรปราการ</t>
        </is>
      </c>
      <c r="D42" t="inlineStr">
        <is>
          <t>E004S009|U</t>
        </is>
      </c>
      <c r="E42" t="inlineStr">
        <is>
          <t>13–13.1</t>
        </is>
      </c>
      <c r="F42" t="inlineStr">
        <is>
          <t>บูรพาวิถี</t>
        </is>
      </c>
      <c r="G42" t="n">
        <v>4</v>
      </c>
      <c r="H42" t="n">
        <v>0</v>
      </c>
      <c r="I42" t="n">
        <v>2</v>
      </c>
      <c r="J42" t="n">
        <v>0.5</v>
      </c>
      <c r="K42" t="inlineStr">
        <is>
          <t>low</t>
        </is>
      </c>
      <c r="L42" s="2" t="n">
        <v>143309.3</v>
      </c>
      <c r="M42" s="2" t="n">
        <v>145474.2</v>
      </c>
      <c r="N42" s="2" t="n">
        <v>147094.4</v>
      </c>
      <c r="O42" s="2">
        <f>AVERAGE(L42:N42)</f>
        <v/>
      </c>
      <c r="P42" t="n">
        <v>3</v>
      </c>
      <c r="Q42" t="n">
        <v>1</v>
      </c>
      <c r="R42" s="2">
        <f>G42*1000000</f>
        <v/>
      </c>
      <c r="S42" s="2">
        <f>365*P42*O42*Q42</f>
        <v/>
      </c>
      <c r="T42" s="7">
        <f>R42/S42</f>
        <v/>
      </c>
      <c r="U42">
        <f>IF(ISNUMBER(T42),RANK(T42,$T$2:$T$127,0),"")</f>
        <v/>
      </c>
    </row>
    <row r="43">
      <c r="A43" t="inlineStr">
        <is>
          <t>zone_475</t>
        </is>
      </c>
      <c r="B43" t="inlineStr">
        <is>
          <t>บางนา-ชลบุรี</t>
        </is>
      </c>
      <c r="C43" t="inlineStr">
        <is>
          <t>สมุทรปราการ</t>
        </is>
      </c>
      <c r="D43" t="inlineStr">
        <is>
          <t>E004S009|U</t>
        </is>
      </c>
      <c r="E43" t="inlineStr">
        <is>
          <t>31.4–31.6</t>
        </is>
      </c>
      <c r="F43" t="inlineStr">
        <is>
          <t>บูรพาวิถี</t>
        </is>
      </c>
      <c r="G43" t="n">
        <v>3</v>
      </c>
      <c r="H43" t="n">
        <v>0</v>
      </c>
      <c r="I43" t="n">
        <v>2</v>
      </c>
      <c r="J43" t="n">
        <v>0.6667</v>
      </c>
      <c r="K43" t="inlineStr">
        <is>
          <t>low</t>
        </is>
      </c>
      <c r="L43" s="2" t="n">
        <v>143309.3</v>
      </c>
      <c r="M43" s="2" t="n">
        <v>145474.2</v>
      </c>
      <c r="N43" s="2" t="n">
        <v>147094.4</v>
      </c>
      <c r="O43" s="2">
        <f>AVERAGE(L43:N43)</f>
        <v/>
      </c>
      <c r="P43" t="n">
        <v>3</v>
      </c>
      <c r="Q43" t="n">
        <v>1</v>
      </c>
      <c r="R43" s="2">
        <f>G43*1000000</f>
        <v/>
      </c>
      <c r="S43" s="2">
        <f>365*P43*O43*Q43</f>
        <v/>
      </c>
      <c r="T43" s="7">
        <f>R43/S43</f>
        <v/>
      </c>
      <c r="U43">
        <f>IF(ISNUMBER(T43),RANK(T43,$T$2:$T$127,0),"")</f>
        <v/>
      </c>
    </row>
    <row r="44">
      <c r="A44" t="inlineStr">
        <is>
          <t>zone_476</t>
        </is>
      </c>
      <c r="B44" t="inlineStr">
        <is>
          <t>บางนา-ชลบุรี</t>
        </is>
      </c>
      <c r="C44" t="inlineStr">
        <is>
          <t>สมุทรปราการ</t>
        </is>
      </c>
      <c r="D44" t="inlineStr">
        <is>
          <t>E004S009|U</t>
        </is>
      </c>
      <c r="E44" t="inlineStr">
        <is>
          <t>32.3–32.5</t>
        </is>
      </c>
      <c r="F44" t="inlineStr">
        <is>
          <t>บูรพาวิถี</t>
        </is>
      </c>
      <c r="G44" t="n">
        <v>3</v>
      </c>
      <c r="H44" t="n">
        <v>0</v>
      </c>
      <c r="I44" t="n">
        <v>8</v>
      </c>
      <c r="J44" t="n">
        <v>2.6667</v>
      </c>
      <c r="K44" t="inlineStr">
        <is>
          <t>high</t>
        </is>
      </c>
      <c r="L44" s="2" t="n">
        <v>143309.3</v>
      </c>
      <c r="M44" s="2" t="n">
        <v>145474.2</v>
      </c>
      <c r="N44" s="2" t="n">
        <v>147094.4</v>
      </c>
      <c r="O44" s="2">
        <f>AVERAGE(L44:N44)</f>
        <v/>
      </c>
      <c r="P44" t="n">
        <v>3</v>
      </c>
      <c r="Q44" t="n">
        <v>1</v>
      </c>
      <c r="R44" s="2">
        <f>G44*1000000</f>
        <v/>
      </c>
      <c r="S44" s="2">
        <f>365*P44*O44*Q44</f>
        <v/>
      </c>
      <c r="T44" s="7">
        <f>R44/S44</f>
        <v/>
      </c>
      <c r="U44">
        <f>IF(ISNUMBER(T44),RANK(T44,$T$2:$T$127,0),"")</f>
        <v/>
      </c>
    </row>
    <row r="45">
      <c r="A45" t="inlineStr">
        <is>
          <t>zone_482</t>
        </is>
      </c>
      <c r="B45" t="inlineStr">
        <is>
          <t>บางนา-ชลบุรี</t>
        </is>
      </c>
      <c r="C45" t="inlineStr">
        <is>
          <t>สมุทรปราการ</t>
        </is>
      </c>
      <c r="D45" t="inlineStr">
        <is>
          <t>E004S009|I</t>
        </is>
      </c>
      <c r="E45" t="inlineStr">
        <is>
          <t>16–16.1</t>
        </is>
      </c>
      <c r="F45" t="inlineStr">
        <is>
          <t>บูรพาวิถี</t>
        </is>
      </c>
      <c r="G45" t="n">
        <v>4</v>
      </c>
      <c r="H45" t="n">
        <v>0</v>
      </c>
      <c r="I45" t="n">
        <v>2</v>
      </c>
      <c r="J45" t="n">
        <v>0.5</v>
      </c>
      <c r="K45" t="inlineStr">
        <is>
          <t>low</t>
        </is>
      </c>
      <c r="L45" s="2" t="n">
        <v>143309.3</v>
      </c>
      <c r="M45" s="2" t="n">
        <v>145474.2</v>
      </c>
      <c r="N45" s="2" t="n">
        <v>147094.4</v>
      </c>
      <c r="O45" s="2">
        <f>AVERAGE(L45:N45)</f>
        <v/>
      </c>
      <c r="P45" t="n">
        <v>3</v>
      </c>
      <c r="Q45" t="n">
        <v>1</v>
      </c>
      <c r="R45" s="2">
        <f>G45*1000000</f>
        <v/>
      </c>
      <c r="S45" s="2">
        <f>365*P45*O45*Q45</f>
        <v/>
      </c>
      <c r="T45" s="7">
        <f>R45/S45</f>
        <v/>
      </c>
      <c r="U45">
        <f>IF(ISNUMBER(T45),RANK(T45,$T$2:$T$127,0),"")</f>
        <v/>
      </c>
    </row>
    <row r="46">
      <c r="A46" t="inlineStr">
        <is>
          <t>zone_483</t>
        </is>
      </c>
      <c r="B46" t="inlineStr">
        <is>
          <t>บางนา-ชลบุรี</t>
        </is>
      </c>
      <c r="C46" t="inlineStr">
        <is>
          <t>สมุทรปราการ</t>
        </is>
      </c>
      <c r="D46" t="inlineStr">
        <is>
          <t>E004S009|I</t>
        </is>
      </c>
      <c r="E46" t="inlineStr">
        <is>
          <t>18–18.6</t>
        </is>
      </c>
      <c r="F46" t="inlineStr">
        <is>
          <t>บูรพาวิถี</t>
        </is>
      </c>
      <c r="G46" t="n">
        <v>9</v>
      </c>
      <c r="H46" t="n">
        <v>0</v>
      </c>
      <c r="I46" t="n">
        <v>3</v>
      </c>
      <c r="J46" t="n">
        <v>0.3333</v>
      </c>
      <c r="K46" t="inlineStr">
        <is>
          <t>low</t>
        </is>
      </c>
      <c r="L46" s="2" t="n">
        <v>143309.3</v>
      </c>
      <c r="M46" s="2" t="n">
        <v>145474.2</v>
      </c>
      <c r="N46" s="2" t="n">
        <v>147094.4</v>
      </c>
      <c r="O46" s="2">
        <f>AVERAGE(L46:N46)</f>
        <v/>
      </c>
      <c r="P46" t="n">
        <v>3</v>
      </c>
      <c r="Q46" t="n">
        <v>1</v>
      </c>
      <c r="R46" s="2">
        <f>G46*1000000</f>
        <v/>
      </c>
      <c r="S46" s="2">
        <f>365*P46*O46*Q46</f>
        <v/>
      </c>
      <c r="T46" s="7">
        <f>R46/S46</f>
        <v/>
      </c>
      <c r="U46">
        <f>IF(ISNUMBER(T46),RANK(T46,$T$2:$T$127,0),"")</f>
        <v/>
      </c>
    </row>
    <row r="47">
      <c r="A47" t="inlineStr">
        <is>
          <t>zone_486</t>
        </is>
      </c>
      <c r="B47" t="inlineStr">
        <is>
          <t>บางนา-ชลบุรี</t>
        </is>
      </c>
      <c r="C47" t="inlineStr">
        <is>
          <t>สมุทรปราการ</t>
        </is>
      </c>
      <c r="D47" t="inlineStr">
        <is>
          <t>E004S009|I</t>
        </is>
      </c>
      <c r="E47" t="inlineStr">
        <is>
          <t>8.8–9.1</t>
        </is>
      </c>
      <c r="F47" t="inlineStr">
        <is>
          <t>บูรพาวิถี</t>
        </is>
      </c>
      <c r="G47" t="n">
        <v>5</v>
      </c>
      <c r="H47" t="n">
        <v>0</v>
      </c>
      <c r="I47" t="n">
        <v>3</v>
      </c>
      <c r="J47" t="n">
        <v>0.6</v>
      </c>
      <c r="K47" t="inlineStr">
        <is>
          <t>low</t>
        </is>
      </c>
      <c r="L47" s="2" t="n">
        <v>143309.3</v>
      </c>
      <c r="M47" s="2" t="n">
        <v>145474.2</v>
      </c>
      <c r="N47" s="2" t="n">
        <v>147094.4</v>
      </c>
      <c r="O47" s="2">
        <f>AVERAGE(L47:N47)</f>
        <v/>
      </c>
      <c r="P47" t="n">
        <v>3</v>
      </c>
      <c r="Q47" t="n">
        <v>1</v>
      </c>
      <c r="R47" s="2">
        <f>G47*1000000</f>
        <v/>
      </c>
      <c r="S47" s="2">
        <f>365*P47*O47*Q47</f>
        <v/>
      </c>
      <c r="T47" s="7">
        <f>R47/S47</f>
        <v/>
      </c>
      <c r="U47">
        <f>IF(ISNUMBER(T47),RANK(T47,$T$2:$T$127,0),"")</f>
        <v/>
      </c>
    </row>
    <row r="48">
      <c r="A48" t="inlineStr">
        <is>
          <t>zone_492</t>
        </is>
      </c>
      <c r="B48" t="inlineStr">
        <is>
          <t>บางนา-ชลบุรี</t>
        </is>
      </c>
      <c r="C48" t="inlineStr">
        <is>
          <t>สมุทรปราการ</t>
        </is>
      </c>
      <c r="D48" t="inlineStr">
        <is>
          <t>E004S009|U</t>
        </is>
      </c>
      <c r="E48" t="inlineStr">
        <is>
          <t>29.3–29.3</t>
        </is>
      </c>
      <c r="F48" t="inlineStr">
        <is>
          <t>บูรพาวิถี</t>
        </is>
      </c>
      <c r="G48" t="n">
        <v>3</v>
      </c>
      <c r="H48" t="n">
        <v>0</v>
      </c>
      <c r="I48" t="n">
        <v>3</v>
      </c>
      <c r="J48" t="n">
        <v>1</v>
      </c>
      <c r="K48" t="inlineStr">
        <is>
          <t>medium</t>
        </is>
      </c>
      <c r="L48" s="2" t="n">
        <v>143309.3</v>
      </c>
      <c r="M48" s="2" t="n">
        <v>145474.2</v>
      </c>
      <c r="N48" s="2" t="n">
        <v>147094.4</v>
      </c>
      <c r="O48" s="2">
        <f>AVERAGE(L48:N48)</f>
        <v/>
      </c>
      <c r="P48" t="n">
        <v>3</v>
      </c>
      <c r="Q48" t="n">
        <v>1</v>
      </c>
      <c r="R48" s="2">
        <f>G48*1000000</f>
        <v/>
      </c>
      <c r="S48" s="2">
        <f>365*P48*O48*Q48</f>
        <v/>
      </c>
      <c r="T48" s="7">
        <f>R48/S48</f>
        <v/>
      </c>
      <c r="U48">
        <f>IF(ISNUMBER(T48),RANK(T48,$T$2:$T$127,0),"")</f>
        <v/>
      </c>
    </row>
    <row r="49">
      <c r="A49" t="inlineStr">
        <is>
          <t>zone_494</t>
        </is>
      </c>
      <c r="B49" t="inlineStr">
        <is>
          <t>บางนา-ชลบุรี</t>
        </is>
      </c>
      <c r="C49" t="inlineStr">
        <is>
          <t>สมุทรปราการ</t>
        </is>
      </c>
      <c r="D49" t="inlineStr">
        <is>
          <t>E004S009|I</t>
        </is>
      </c>
      <c r="E49" t="inlineStr">
        <is>
          <t>5.6–5.7</t>
        </is>
      </c>
      <c r="F49" t="inlineStr">
        <is>
          <t>บูรพาวิถี</t>
        </is>
      </c>
      <c r="G49" t="n">
        <v>3</v>
      </c>
      <c r="H49" t="n">
        <v>0</v>
      </c>
      <c r="I49" t="n">
        <v>4</v>
      </c>
      <c r="J49" t="n">
        <v>1.3333</v>
      </c>
      <c r="K49" t="inlineStr">
        <is>
          <t>medium</t>
        </is>
      </c>
      <c r="L49" s="2" t="n">
        <v>143309.3</v>
      </c>
      <c r="M49" s="2" t="n">
        <v>145474.2</v>
      </c>
      <c r="N49" s="2" t="n">
        <v>147094.4</v>
      </c>
      <c r="O49" s="2">
        <f>AVERAGE(L49:N49)</f>
        <v/>
      </c>
      <c r="P49" t="n">
        <v>3</v>
      </c>
      <c r="Q49" t="n">
        <v>1</v>
      </c>
      <c r="R49" s="2">
        <f>G49*1000000</f>
        <v/>
      </c>
      <c r="S49" s="2">
        <f>365*P49*O49*Q49</f>
        <v/>
      </c>
      <c r="T49" s="7">
        <f>R49/S49</f>
        <v/>
      </c>
      <c r="U49">
        <f>IF(ISNUMBER(T49),RANK(T49,$T$2:$T$127,0),"")</f>
        <v/>
      </c>
    </row>
    <row r="50">
      <c r="A50" t="inlineStr">
        <is>
          <t>zone_502</t>
        </is>
      </c>
      <c r="B50" t="inlineStr">
        <is>
          <t>บางนา-ชลบุรี</t>
        </is>
      </c>
      <c r="C50" t="inlineStr">
        <is>
          <t>สมุทรปราการ</t>
        </is>
      </c>
      <c r="D50" t="inlineStr">
        <is>
          <t>E004S009|I</t>
        </is>
      </c>
      <c r="E50" t="inlineStr">
        <is>
          <t>22.9–23.1</t>
        </is>
      </c>
      <c r="F50" t="inlineStr">
        <is>
          <t>บูรพาวิถี</t>
        </is>
      </c>
      <c r="G50" t="n">
        <v>3</v>
      </c>
      <c r="H50" t="n">
        <v>0</v>
      </c>
      <c r="I50" t="n">
        <v>2</v>
      </c>
      <c r="J50" t="n">
        <v>0.6667</v>
      </c>
      <c r="K50" t="inlineStr">
        <is>
          <t>low</t>
        </is>
      </c>
      <c r="L50" s="2" t="n">
        <v>143309.3</v>
      </c>
      <c r="M50" s="2" t="n">
        <v>145474.2</v>
      </c>
      <c r="N50" s="2" t="n">
        <v>147094.4</v>
      </c>
      <c r="O50" s="2">
        <f>AVERAGE(L50:N50)</f>
        <v/>
      </c>
      <c r="P50" t="n">
        <v>3</v>
      </c>
      <c r="Q50" t="n">
        <v>1</v>
      </c>
      <c r="R50" s="2">
        <f>G50*1000000</f>
        <v/>
      </c>
      <c r="S50" s="2">
        <f>365*P50*O50*Q50</f>
        <v/>
      </c>
      <c r="T50" s="7">
        <f>R50/S50</f>
        <v/>
      </c>
      <c r="U50">
        <f>IF(ISNUMBER(T50),RANK(T50,$T$2:$T$127,0),"")</f>
        <v/>
      </c>
    </row>
    <row r="51">
      <c r="A51" t="inlineStr">
        <is>
          <t>zone_513</t>
        </is>
      </c>
      <c r="B51" t="inlineStr">
        <is>
          <t>บางนา-ชลบุรี</t>
        </is>
      </c>
      <c r="C51" t="inlineStr">
        <is>
          <t>สมุทรปราการ</t>
        </is>
      </c>
      <c r="D51" t="inlineStr">
        <is>
          <t>E004S009|U</t>
        </is>
      </c>
      <c r="E51" t="inlineStr">
        <is>
          <t>10.2–10.5</t>
        </is>
      </c>
      <c r="F51" t="inlineStr">
        <is>
          <t>บูรพาวิถี</t>
        </is>
      </c>
      <c r="G51" t="n">
        <v>9</v>
      </c>
      <c r="H51" t="n">
        <v>0</v>
      </c>
      <c r="I51" t="n">
        <v>0</v>
      </c>
      <c r="J51" t="n">
        <v>0</v>
      </c>
      <c r="K51" t="inlineStr">
        <is>
          <t>low</t>
        </is>
      </c>
      <c r="L51" s="2" t="n">
        <v>143309.3</v>
      </c>
      <c r="M51" s="2" t="n">
        <v>145474.2</v>
      </c>
      <c r="N51" s="2" t="n">
        <v>147094.4</v>
      </c>
      <c r="O51" s="2">
        <f>AVERAGE(L51:N51)</f>
        <v/>
      </c>
      <c r="P51" t="n">
        <v>3</v>
      </c>
      <c r="Q51" t="n">
        <v>1</v>
      </c>
      <c r="R51" s="2">
        <f>G51*1000000</f>
        <v/>
      </c>
      <c r="S51" s="2">
        <f>365*P51*O51*Q51</f>
        <v/>
      </c>
      <c r="T51" s="7">
        <f>R51/S51</f>
        <v/>
      </c>
      <c r="U51">
        <f>IF(ISNUMBER(T51),RANK(T51,$T$2:$T$127,0),"")</f>
        <v/>
      </c>
    </row>
    <row r="52">
      <c r="A52" t="inlineStr">
        <is>
          <t>zone_516</t>
        </is>
      </c>
      <c r="B52" t="inlineStr">
        <is>
          <t>บางนา-ชลบุรี</t>
        </is>
      </c>
      <c r="C52" t="inlineStr">
        <is>
          <t>สมุทรปราการ</t>
        </is>
      </c>
      <c r="D52" t="inlineStr">
        <is>
          <t>E004S009|I</t>
        </is>
      </c>
      <c r="E52" t="inlineStr">
        <is>
          <t>35–35.1</t>
        </is>
      </c>
      <c r="F52" t="inlineStr">
        <is>
          <t>บูรพาวิถี</t>
        </is>
      </c>
      <c r="G52" t="n">
        <v>4</v>
      </c>
      <c r="H52" t="n">
        <v>0</v>
      </c>
      <c r="I52" t="n">
        <v>10</v>
      </c>
      <c r="J52" t="n">
        <v>2.5</v>
      </c>
      <c r="K52" t="inlineStr">
        <is>
          <t>high</t>
        </is>
      </c>
      <c r="L52" s="2" t="n">
        <v>143309.3</v>
      </c>
      <c r="M52" s="2" t="n">
        <v>145474.2</v>
      </c>
      <c r="N52" s="2" t="n">
        <v>147094.4</v>
      </c>
      <c r="O52" s="2">
        <f>AVERAGE(L52:N52)</f>
        <v/>
      </c>
      <c r="P52" t="n">
        <v>3</v>
      </c>
      <c r="Q52" t="n">
        <v>1</v>
      </c>
      <c r="R52" s="2">
        <f>G52*1000000</f>
        <v/>
      </c>
      <c r="S52" s="2">
        <f>365*P52*O52*Q52</f>
        <v/>
      </c>
      <c r="T52" s="7">
        <f>R52/S52</f>
        <v/>
      </c>
      <c r="U52">
        <f>IF(ISNUMBER(T52),RANK(T52,$T$2:$T$127,0),"")</f>
        <v/>
      </c>
    </row>
    <row r="53">
      <c r="A53" t="inlineStr">
        <is>
          <t>zone_518</t>
        </is>
      </c>
      <c r="B53" t="inlineStr">
        <is>
          <t>บางนา-ชลบุรี</t>
        </is>
      </c>
      <c r="C53" t="inlineStr">
        <is>
          <t>สมุทรปราการ</t>
        </is>
      </c>
      <c r="D53" t="inlineStr">
        <is>
          <t>E004S009|U</t>
        </is>
      </c>
      <c r="E53" t="inlineStr">
        <is>
          <t>7–7</t>
        </is>
      </c>
      <c r="F53" t="inlineStr">
        <is>
          <t>บูรพาวิถี</t>
        </is>
      </c>
      <c r="G53" t="n">
        <v>4</v>
      </c>
      <c r="H53" t="n">
        <v>0</v>
      </c>
      <c r="I53" t="n">
        <v>1</v>
      </c>
      <c r="J53" t="n">
        <v>0.25</v>
      </c>
      <c r="K53" t="inlineStr">
        <is>
          <t>low</t>
        </is>
      </c>
      <c r="L53" s="2" t="n">
        <v>143309.3</v>
      </c>
      <c r="M53" s="2" t="n">
        <v>145474.2</v>
      </c>
      <c r="N53" s="2" t="n">
        <v>147094.4</v>
      </c>
      <c r="O53" s="2">
        <f>AVERAGE(L53:N53)</f>
        <v/>
      </c>
      <c r="P53" t="n">
        <v>3</v>
      </c>
      <c r="Q53" t="n">
        <v>1</v>
      </c>
      <c r="R53" s="2">
        <f>G53*1000000</f>
        <v/>
      </c>
      <c r="S53" s="2">
        <f>365*P53*O53*Q53</f>
        <v/>
      </c>
      <c r="T53" s="7">
        <f>R53/S53</f>
        <v/>
      </c>
      <c r="U53">
        <f>IF(ISNUMBER(T53),RANK(T53,$T$2:$T$127,0),"")</f>
        <v/>
      </c>
    </row>
    <row r="54">
      <c r="A54" t="inlineStr">
        <is>
          <t>zone_524</t>
        </is>
      </c>
      <c r="B54" t="inlineStr">
        <is>
          <t>บางนา-ชลบุรี</t>
        </is>
      </c>
      <c r="C54" t="inlineStr">
        <is>
          <t>สมุทรปราการ</t>
        </is>
      </c>
      <c r="D54" t="inlineStr">
        <is>
          <t>E004S009|U</t>
        </is>
      </c>
      <c r="E54" t="inlineStr">
        <is>
          <t>11.5–12</t>
        </is>
      </c>
      <c r="F54" t="inlineStr">
        <is>
          <t>บูรพาวิถี</t>
        </is>
      </c>
      <c r="G54" t="n">
        <v>9</v>
      </c>
      <c r="H54" t="n">
        <v>0</v>
      </c>
      <c r="I54" t="n">
        <v>0</v>
      </c>
      <c r="J54" t="n">
        <v>0</v>
      </c>
      <c r="K54" t="inlineStr">
        <is>
          <t>low</t>
        </is>
      </c>
      <c r="L54" s="2" t="n">
        <v>143309.3</v>
      </c>
      <c r="M54" s="2" t="n">
        <v>145474.2</v>
      </c>
      <c r="N54" s="2" t="n">
        <v>147094.4</v>
      </c>
      <c r="O54" s="2">
        <f>AVERAGE(L54:N54)</f>
        <v/>
      </c>
      <c r="P54" t="n">
        <v>3</v>
      </c>
      <c r="Q54" t="n">
        <v>1</v>
      </c>
      <c r="R54" s="2">
        <f>G54*1000000</f>
        <v/>
      </c>
      <c r="S54" s="2">
        <f>365*P54*O54*Q54</f>
        <v/>
      </c>
      <c r="T54" s="7">
        <f>R54/S54</f>
        <v/>
      </c>
      <c r="U54">
        <f>IF(ISNUMBER(T54),RANK(T54,$T$2:$T$127,0),"")</f>
        <v/>
      </c>
    </row>
    <row r="55">
      <c r="A55" t="inlineStr">
        <is>
          <t>zone_528</t>
        </is>
      </c>
      <c r="B55" t="inlineStr">
        <is>
          <t>บางนา-ชลบุรี</t>
        </is>
      </c>
      <c r="C55" t="inlineStr">
        <is>
          <t>สมุทรปราการ</t>
        </is>
      </c>
      <c r="D55" t="inlineStr">
        <is>
          <t>E004S009|U</t>
        </is>
      </c>
      <c r="E55" t="inlineStr">
        <is>
          <t>28.2–28.3</t>
        </is>
      </c>
      <c r="F55" t="inlineStr">
        <is>
          <t>บูรพาวิถี</t>
        </is>
      </c>
      <c r="G55" t="n">
        <v>7</v>
      </c>
      <c r="H55" t="n">
        <v>0</v>
      </c>
      <c r="I55" t="n">
        <v>0</v>
      </c>
      <c r="J55" t="n">
        <v>0</v>
      </c>
      <c r="K55" t="inlineStr">
        <is>
          <t>low</t>
        </is>
      </c>
      <c r="L55" s="2" t="n">
        <v>143309.3</v>
      </c>
      <c r="M55" s="2" t="n">
        <v>145474.2</v>
      </c>
      <c r="N55" s="2" t="n">
        <v>147094.4</v>
      </c>
      <c r="O55" s="2">
        <f>AVERAGE(L55:N55)</f>
        <v/>
      </c>
      <c r="P55" t="n">
        <v>3</v>
      </c>
      <c r="Q55" t="n">
        <v>1</v>
      </c>
      <c r="R55" s="2">
        <f>G55*1000000</f>
        <v/>
      </c>
      <c r="S55" s="2">
        <f>365*P55*O55*Q55</f>
        <v/>
      </c>
      <c r="T55" s="7">
        <f>R55/S55</f>
        <v/>
      </c>
      <c r="U55">
        <f>IF(ISNUMBER(T55),RANK(T55,$T$2:$T$127,0),"")</f>
        <v/>
      </c>
    </row>
    <row r="56">
      <c r="A56" t="inlineStr">
        <is>
          <t>zone_533</t>
        </is>
      </c>
      <c r="B56" t="inlineStr">
        <is>
          <t>บางนา-ชลบุรี</t>
        </is>
      </c>
      <c r="C56" t="inlineStr">
        <is>
          <t>สมุทรปราการ</t>
        </is>
      </c>
      <c r="D56" t="inlineStr">
        <is>
          <t>E004S009|I</t>
        </is>
      </c>
      <c r="E56" t="inlineStr">
        <is>
          <t>11–11</t>
        </is>
      </c>
      <c r="F56" t="inlineStr">
        <is>
          <t>บูรพาวิถี</t>
        </is>
      </c>
      <c r="G56" t="n">
        <v>3</v>
      </c>
      <c r="H56" t="n">
        <v>0</v>
      </c>
      <c r="I56" t="n">
        <v>0</v>
      </c>
      <c r="J56" t="n">
        <v>0</v>
      </c>
      <c r="K56" t="inlineStr">
        <is>
          <t>low</t>
        </is>
      </c>
      <c r="L56" s="2" t="n">
        <v>143309.3</v>
      </c>
      <c r="M56" s="2" t="n">
        <v>145474.2</v>
      </c>
      <c r="N56" s="2" t="n">
        <v>147094.4</v>
      </c>
      <c r="O56" s="2">
        <f>AVERAGE(L56:N56)</f>
        <v/>
      </c>
      <c r="P56" t="n">
        <v>3</v>
      </c>
      <c r="Q56" t="n">
        <v>1</v>
      </c>
      <c r="R56" s="2">
        <f>G56*1000000</f>
        <v/>
      </c>
      <c r="S56" s="2">
        <f>365*P56*O56*Q56</f>
        <v/>
      </c>
      <c r="T56" s="7">
        <f>R56/S56</f>
        <v/>
      </c>
      <c r="U56">
        <f>IF(ISNUMBER(T56),RANK(T56,$T$2:$T$127,0),"")</f>
        <v/>
      </c>
    </row>
    <row r="57">
      <c r="A57" t="inlineStr">
        <is>
          <t>zone_537</t>
        </is>
      </c>
      <c r="B57" t="inlineStr">
        <is>
          <t>บางนา-ชลบุรี</t>
        </is>
      </c>
      <c r="C57" t="inlineStr">
        <is>
          <t>สมุทรปราการ</t>
        </is>
      </c>
      <c r="D57" t="inlineStr">
        <is>
          <t>E004S009|U</t>
        </is>
      </c>
      <c r="E57" t="inlineStr">
        <is>
          <t>14.3–14.6</t>
        </is>
      </c>
      <c r="F57" t="inlineStr">
        <is>
          <t>บูรพาวิถี</t>
        </is>
      </c>
      <c r="G57" t="n">
        <v>6</v>
      </c>
      <c r="H57" t="n">
        <v>0</v>
      </c>
      <c r="I57" t="n">
        <v>2</v>
      </c>
      <c r="J57" t="n">
        <v>0.3333</v>
      </c>
      <c r="K57" t="inlineStr">
        <is>
          <t>low</t>
        </is>
      </c>
      <c r="L57" s="2" t="n">
        <v>143309.3</v>
      </c>
      <c r="M57" s="2" t="n">
        <v>145474.2</v>
      </c>
      <c r="N57" s="2" t="n">
        <v>147094.4</v>
      </c>
      <c r="O57" s="2">
        <f>AVERAGE(L57:N57)</f>
        <v/>
      </c>
      <c r="P57" t="n">
        <v>3</v>
      </c>
      <c r="Q57" t="n">
        <v>1</v>
      </c>
      <c r="R57" s="2">
        <f>G57*1000000</f>
        <v/>
      </c>
      <c r="S57" s="2">
        <f>365*P57*O57*Q57</f>
        <v/>
      </c>
      <c r="T57" s="7">
        <f>R57/S57</f>
        <v/>
      </c>
      <c r="U57">
        <f>IF(ISNUMBER(T57),RANK(T57,$T$2:$T$127,0),"")</f>
        <v/>
      </c>
    </row>
    <row r="58">
      <c r="A58" t="inlineStr">
        <is>
          <t>zone_543</t>
        </is>
      </c>
      <c r="B58" t="inlineStr">
        <is>
          <t>บางนา-ชลบุรี</t>
        </is>
      </c>
      <c r="C58" t="inlineStr">
        <is>
          <t>สมุทรปราการ</t>
        </is>
      </c>
      <c r="D58" t="inlineStr">
        <is>
          <t>E004S009|U</t>
        </is>
      </c>
      <c r="E58" t="inlineStr">
        <is>
          <t>12.4–12.4</t>
        </is>
      </c>
      <c r="F58" t="inlineStr">
        <is>
          <t>บูรพาวิถี</t>
        </is>
      </c>
      <c r="G58" t="n">
        <v>3</v>
      </c>
      <c r="H58" t="n">
        <v>0</v>
      </c>
      <c r="I58" t="n">
        <v>4</v>
      </c>
      <c r="J58" t="n">
        <v>1.3333</v>
      </c>
      <c r="K58" t="inlineStr">
        <is>
          <t>medium</t>
        </is>
      </c>
      <c r="L58" s="2" t="n">
        <v>143309.3</v>
      </c>
      <c r="M58" s="2" t="n">
        <v>145474.2</v>
      </c>
      <c r="N58" s="2" t="n">
        <v>147094.4</v>
      </c>
      <c r="O58" s="2">
        <f>AVERAGE(L58:N58)</f>
        <v/>
      </c>
      <c r="P58" t="n">
        <v>3</v>
      </c>
      <c r="Q58" t="n">
        <v>1</v>
      </c>
      <c r="R58" s="2">
        <f>G58*1000000</f>
        <v/>
      </c>
      <c r="S58" s="2">
        <f>365*P58*O58*Q58</f>
        <v/>
      </c>
      <c r="T58" s="7">
        <f>R58/S58</f>
        <v/>
      </c>
      <c r="U58">
        <f>IF(ISNUMBER(T58),RANK(T58,$T$2:$T$127,0),"")</f>
        <v/>
      </c>
    </row>
    <row r="59">
      <c r="A59" t="inlineStr">
        <is>
          <t>zone_547</t>
        </is>
      </c>
      <c r="B59" t="inlineStr">
        <is>
          <t>บางนา-ชลบุรี</t>
        </is>
      </c>
      <c r="C59" t="inlineStr">
        <is>
          <t>สมุทรปราการ</t>
        </is>
      </c>
      <c r="D59" t="inlineStr">
        <is>
          <t>E004S009|U</t>
        </is>
      </c>
      <c r="E59" t="inlineStr">
        <is>
          <t>30.4–30.5</t>
        </is>
      </c>
      <c r="F59" t="inlineStr">
        <is>
          <t>บูรพาวิถี</t>
        </is>
      </c>
      <c r="G59" t="n">
        <v>7</v>
      </c>
      <c r="H59" t="n">
        <v>0</v>
      </c>
      <c r="I59" t="n">
        <v>3</v>
      </c>
      <c r="J59" t="n">
        <v>0.4286</v>
      </c>
      <c r="K59" t="inlineStr">
        <is>
          <t>low</t>
        </is>
      </c>
      <c r="L59" s="2" t="n">
        <v>143309.3</v>
      </c>
      <c r="M59" s="2" t="n">
        <v>145474.2</v>
      </c>
      <c r="N59" s="2" t="n">
        <v>147094.4</v>
      </c>
      <c r="O59" s="2">
        <f>AVERAGE(L59:N59)</f>
        <v/>
      </c>
      <c r="P59" t="n">
        <v>3</v>
      </c>
      <c r="Q59" t="n">
        <v>1</v>
      </c>
      <c r="R59" s="2">
        <f>G59*1000000</f>
        <v/>
      </c>
      <c r="S59" s="2">
        <f>365*P59*O59*Q59</f>
        <v/>
      </c>
      <c r="T59" s="7">
        <f>R59/S59</f>
        <v/>
      </c>
      <c r="U59">
        <f>IF(ISNUMBER(T59),RANK(T59,$T$2:$T$127,0),"")</f>
        <v/>
      </c>
    </row>
    <row r="60">
      <c r="A60" t="inlineStr">
        <is>
          <t>zone_132</t>
        </is>
      </c>
      <c r="B60" t="inlineStr">
        <is>
          <t>พญาไท-ศรีนครินทร์</t>
        </is>
      </c>
      <c r="C60" t="inlineStr">
        <is>
          <t>กรุงเทพมหานคร</t>
        </is>
      </c>
      <c r="D60" t="inlineStr">
        <is>
          <t>E002S016|I</t>
        </is>
      </c>
      <c r="E60" t="inlineStr">
        <is>
          <t>1.7–2.8</t>
        </is>
      </c>
      <c r="F60" t="inlineStr">
        <is>
          <t>ศรีรัช</t>
        </is>
      </c>
      <c r="G60" t="n">
        <v>33</v>
      </c>
      <c r="H60" t="n">
        <v>0</v>
      </c>
      <c r="I60" t="n">
        <v>6</v>
      </c>
      <c r="J60" t="n">
        <v>0.1818</v>
      </c>
      <c r="K60" t="inlineStr">
        <is>
          <t>low</t>
        </is>
      </c>
      <c r="L60" s="2" t="n">
        <v>613083.2</v>
      </c>
      <c r="M60" s="2" t="n">
        <v>601127.7</v>
      </c>
      <c r="N60" s="2" t="n">
        <v>607857.5</v>
      </c>
      <c r="O60" s="2">
        <f>AVERAGE(L60:N60)</f>
        <v/>
      </c>
      <c r="P60" t="n">
        <v>3</v>
      </c>
      <c r="Q60" t="n">
        <v>1</v>
      </c>
      <c r="R60" s="2">
        <f>G60*1000000</f>
        <v/>
      </c>
      <c r="S60" s="2">
        <f>365*P60*O60*Q60</f>
        <v/>
      </c>
      <c r="T60" s="7">
        <f>R60/S60</f>
        <v/>
      </c>
      <c r="U60">
        <f>IF(ISNUMBER(T60),RANK(T60,$T$2:$T$127,0),"")</f>
        <v/>
      </c>
    </row>
    <row r="61">
      <c r="A61" t="inlineStr">
        <is>
          <t>zone_139</t>
        </is>
      </c>
      <c r="B61" t="inlineStr">
        <is>
          <t>พญาไท-บางโคล่</t>
        </is>
      </c>
      <c r="C61" t="inlineStr">
        <is>
          <t>กรุงเทพมหานคร</t>
        </is>
      </c>
      <c r="D61" t="inlineStr">
        <is>
          <t>E002S007|U</t>
        </is>
      </c>
      <c r="E61" t="inlineStr">
        <is>
          <t>9.1–9.4</t>
        </is>
      </c>
      <c r="F61" t="inlineStr">
        <is>
          <t>ศรีรัช</t>
        </is>
      </c>
      <c r="G61" t="n">
        <v>7</v>
      </c>
      <c r="H61" t="n">
        <v>0</v>
      </c>
      <c r="I61" t="n">
        <v>4</v>
      </c>
      <c r="J61" t="n">
        <v>0.5714</v>
      </c>
      <c r="K61" t="inlineStr">
        <is>
          <t>low</t>
        </is>
      </c>
      <c r="L61" s="2" t="n">
        <v>613083.2</v>
      </c>
      <c r="M61" s="2" t="n">
        <v>601127.7</v>
      </c>
      <c r="N61" s="2" t="n">
        <v>607857.5</v>
      </c>
      <c r="O61" s="2">
        <f>AVERAGE(L61:N61)</f>
        <v/>
      </c>
      <c r="P61" t="n">
        <v>3</v>
      </c>
      <c r="Q61" t="n">
        <v>1</v>
      </c>
      <c r="R61" s="2">
        <f>G61*1000000</f>
        <v/>
      </c>
      <c r="S61" s="2">
        <f>365*P61*O61*Q61</f>
        <v/>
      </c>
      <c r="T61" s="7">
        <f>R61/S61</f>
        <v/>
      </c>
      <c r="U61">
        <f>IF(ISNUMBER(T61),RANK(T61,$T$2:$T$127,0),"")</f>
        <v/>
      </c>
    </row>
    <row r="62">
      <c r="A62" t="inlineStr">
        <is>
          <t>zone_156</t>
        </is>
      </c>
      <c r="B62" t="inlineStr">
        <is>
          <t>พญาไท-บางโคล่</t>
        </is>
      </c>
      <c r="C62" t="inlineStr">
        <is>
          <t>กรุงเทพมหานคร</t>
        </is>
      </c>
      <c r="D62" t="inlineStr">
        <is>
          <t>E002S007|U</t>
        </is>
      </c>
      <c r="E62" t="inlineStr">
        <is>
          <t>6.6–6.7</t>
        </is>
      </c>
      <c r="F62" t="inlineStr">
        <is>
          <t>ศรีรัช</t>
        </is>
      </c>
      <c r="G62" t="n">
        <v>5</v>
      </c>
      <c r="H62" t="n">
        <v>0</v>
      </c>
      <c r="I62" t="n">
        <v>8</v>
      </c>
      <c r="J62" t="n">
        <v>1.6</v>
      </c>
      <c r="K62" t="inlineStr">
        <is>
          <t>medium</t>
        </is>
      </c>
      <c r="L62" s="2" t="n">
        <v>613083.2</v>
      </c>
      <c r="M62" s="2" t="n">
        <v>601127.7</v>
      </c>
      <c r="N62" s="2" t="n">
        <v>607857.5</v>
      </c>
      <c r="O62" s="2">
        <f>AVERAGE(L62:N62)</f>
        <v/>
      </c>
      <c r="P62" t="n">
        <v>3</v>
      </c>
      <c r="Q62" t="n">
        <v>1</v>
      </c>
      <c r="R62" s="2">
        <f>G62*1000000</f>
        <v/>
      </c>
      <c r="S62" s="2">
        <f>365*P62*O62*Q62</f>
        <v/>
      </c>
      <c r="T62" s="7">
        <f>R62/S62</f>
        <v/>
      </c>
      <c r="U62">
        <f>IF(ISNUMBER(T62),RANK(T62,$T$2:$T$127,0),"")</f>
        <v/>
      </c>
    </row>
    <row r="63">
      <c r="A63" t="inlineStr">
        <is>
          <t>zone_160</t>
        </is>
      </c>
      <c r="B63" t="inlineStr">
        <is>
          <t>พญาไท-ศรีนครินทร์</t>
        </is>
      </c>
      <c r="C63" t="inlineStr">
        <is>
          <t>กรุงเทพมหานคร</t>
        </is>
      </c>
      <c r="D63" t="inlineStr">
        <is>
          <t>E002S016|U</t>
        </is>
      </c>
      <c r="E63" t="inlineStr">
        <is>
          <t>10–10.3</t>
        </is>
      </c>
      <c r="F63" t="inlineStr">
        <is>
          <t>ศรีรัช</t>
        </is>
      </c>
      <c r="G63" t="n">
        <v>8</v>
      </c>
      <c r="H63" t="n">
        <v>0</v>
      </c>
      <c r="I63" t="n">
        <v>0</v>
      </c>
      <c r="J63" t="n">
        <v>0</v>
      </c>
      <c r="K63" t="inlineStr">
        <is>
          <t>low</t>
        </is>
      </c>
      <c r="L63" s="2" t="n">
        <v>613083.2</v>
      </c>
      <c r="M63" s="2" t="n">
        <v>601127.7</v>
      </c>
      <c r="N63" s="2" t="n">
        <v>607857.5</v>
      </c>
      <c r="O63" s="2">
        <f>AVERAGE(L63:N63)</f>
        <v/>
      </c>
      <c r="P63" t="n">
        <v>3</v>
      </c>
      <c r="Q63" t="n">
        <v>1</v>
      </c>
      <c r="R63" s="2">
        <f>G63*1000000</f>
        <v/>
      </c>
      <c r="S63" s="2">
        <f>365*P63*O63*Q63</f>
        <v/>
      </c>
      <c r="T63" s="7">
        <f>R63/S63</f>
        <v/>
      </c>
      <c r="U63">
        <f>IF(ISNUMBER(T63),RANK(T63,$T$2:$T$127,0),"")</f>
        <v/>
      </c>
    </row>
    <row r="64">
      <c r="A64" t="inlineStr">
        <is>
          <t>zone_201</t>
        </is>
      </c>
      <c r="B64" t="inlineStr">
        <is>
          <t>พญาไท-ศรีนครินทร์</t>
        </is>
      </c>
      <c r="C64" t="inlineStr">
        <is>
          <t>กรุงเทพมหานคร</t>
        </is>
      </c>
      <c r="D64" t="inlineStr">
        <is>
          <t>E002S016|I</t>
        </is>
      </c>
      <c r="E64" t="inlineStr">
        <is>
          <t>7.1–7.3</t>
        </is>
      </c>
      <c r="F64" t="inlineStr">
        <is>
          <t>ศรีรัช</t>
        </is>
      </c>
      <c r="G64" t="n">
        <v>9</v>
      </c>
      <c r="H64" t="n">
        <v>0</v>
      </c>
      <c r="I64" t="n">
        <v>0</v>
      </c>
      <c r="J64" t="n">
        <v>0</v>
      </c>
      <c r="K64" t="inlineStr">
        <is>
          <t>low</t>
        </is>
      </c>
      <c r="L64" s="2" t="n">
        <v>613083.2</v>
      </c>
      <c r="M64" s="2" t="n">
        <v>601127.7</v>
      </c>
      <c r="N64" s="2" t="n">
        <v>607857.5</v>
      </c>
      <c r="O64" s="2">
        <f>AVERAGE(L64:N64)</f>
        <v/>
      </c>
      <c r="P64" t="n">
        <v>3</v>
      </c>
      <c r="Q64" t="n">
        <v>1</v>
      </c>
      <c r="R64" s="2">
        <f>G64*1000000</f>
        <v/>
      </c>
      <c r="S64" s="2">
        <f>365*P64*O64*Q64</f>
        <v/>
      </c>
      <c r="T64" s="7">
        <f>R64/S64</f>
        <v/>
      </c>
      <c r="U64">
        <f>IF(ISNUMBER(T64),RANK(T64,$T$2:$T$127,0),"")</f>
        <v/>
      </c>
    </row>
    <row r="65">
      <c r="A65" t="inlineStr">
        <is>
          <t>zone_202</t>
        </is>
      </c>
      <c r="B65" t="inlineStr">
        <is>
          <t>พญาไท-ศรีนครินทร์</t>
        </is>
      </c>
      <c r="C65" t="inlineStr">
        <is>
          <t>กรุงเทพมหานคร</t>
        </is>
      </c>
      <c r="D65" t="inlineStr">
        <is>
          <t>E002S016|I</t>
        </is>
      </c>
      <c r="E65" t="inlineStr">
        <is>
          <t>12.1–12.5</t>
        </is>
      </c>
      <c r="F65" t="inlineStr">
        <is>
          <t>ศรีรัช</t>
        </is>
      </c>
      <c r="G65" t="n">
        <v>11</v>
      </c>
      <c r="H65" t="n">
        <v>0</v>
      </c>
      <c r="I65" t="n">
        <v>6</v>
      </c>
      <c r="J65" t="n">
        <v>0.5455</v>
      </c>
      <c r="K65" t="inlineStr">
        <is>
          <t>low</t>
        </is>
      </c>
      <c r="L65" s="2" t="n">
        <v>613083.2</v>
      </c>
      <c r="M65" s="2" t="n">
        <v>601127.7</v>
      </c>
      <c r="N65" s="2" t="n">
        <v>607857.5</v>
      </c>
      <c r="O65" s="2">
        <f>AVERAGE(L65:N65)</f>
        <v/>
      </c>
      <c r="P65" t="n">
        <v>3</v>
      </c>
      <c r="Q65" t="n">
        <v>1</v>
      </c>
      <c r="R65" s="2">
        <f>G65*1000000</f>
        <v/>
      </c>
      <c r="S65" s="2">
        <f>365*P65*O65*Q65</f>
        <v/>
      </c>
      <c r="T65" s="7">
        <f>R65/S65</f>
        <v/>
      </c>
      <c r="U65">
        <f>IF(ISNUMBER(T65),RANK(T65,$T$2:$T$127,0),"")</f>
        <v/>
      </c>
    </row>
    <row r="66">
      <c r="A66" t="inlineStr">
        <is>
          <t>zone_215</t>
        </is>
      </c>
      <c r="B66" t="inlineStr">
        <is>
          <t>แจ้งวัฒนะ-พญาไท</t>
        </is>
      </c>
      <c r="C66" t="inlineStr">
        <is>
          <t>กรุงเทพมหานคร</t>
        </is>
      </c>
      <c r="D66" t="inlineStr">
        <is>
          <t>E002S014|U</t>
        </is>
      </c>
      <c r="E66" t="inlineStr">
        <is>
          <t>16.3–17.1</t>
        </is>
      </c>
      <c r="F66" t="inlineStr">
        <is>
          <t>ศรีรัช</t>
        </is>
      </c>
      <c r="G66" t="n">
        <v>21</v>
      </c>
      <c r="H66" t="n">
        <v>1</v>
      </c>
      <c r="I66" t="n">
        <v>0</v>
      </c>
      <c r="J66" t="n">
        <v>0.0476</v>
      </c>
      <c r="K66" t="inlineStr">
        <is>
          <t>low</t>
        </is>
      </c>
      <c r="L66" s="2" t="n">
        <v>613083.2</v>
      </c>
      <c r="M66" s="2" t="n">
        <v>601127.7</v>
      </c>
      <c r="N66" s="2" t="n">
        <v>607857.5</v>
      </c>
      <c r="O66" s="2">
        <f>AVERAGE(L66:N66)</f>
        <v/>
      </c>
      <c r="P66" t="n">
        <v>3</v>
      </c>
      <c r="Q66" t="n">
        <v>1</v>
      </c>
      <c r="R66" s="2">
        <f>G66*1000000</f>
        <v/>
      </c>
      <c r="S66" s="2">
        <f>365*P66*O66*Q66</f>
        <v/>
      </c>
      <c r="T66" s="7">
        <f>R66/S66</f>
        <v/>
      </c>
      <c r="U66">
        <f>IF(ISNUMBER(T66),RANK(T66,$T$2:$T$127,0),"")</f>
        <v/>
      </c>
    </row>
    <row r="67">
      <c r="A67" t="inlineStr">
        <is>
          <t>zone_217</t>
        </is>
      </c>
      <c r="B67" t="inlineStr">
        <is>
          <t>พญาไท-บางโคล่</t>
        </is>
      </c>
      <c r="C67" t="inlineStr">
        <is>
          <t>กรุงเทพมหานคร</t>
        </is>
      </c>
      <c r="D67" t="inlineStr">
        <is>
          <t>E002S007|I</t>
        </is>
      </c>
      <c r="E67" t="inlineStr">
        <is>
          <t>5.6–6.2</t>
        </is>
      </c>
      <c r="F67" t="inlineStr">
        <is>
          <t>ศรีรัช</t>
        </is>
      </c>
      <c r="G67" t="n">
        <v>18</v>
      </c>
      <c r="H67" t="n">
        <v>0</v>
      </c>
      <c r="I67" t="n">
        <v>6</v>
      </c>
      <c r="J67" t="n">
        <v>0.3333</v>
      </c>
      <c r="K67" t="inlineStr">
        <is>
          <t>low</t>
        </is>
      </c>
      <c r="L67" s="2" t="n">
        <v>613083.2</v>
      </c>
      <c r="M67" s="2" t="n">
        <v>601127.7</v>
      </c>
      <c r="N67" s="2" t="n">
        <v>607857.5</v>
      </c>
      <c r="O67" s="2">
        <f>AVERAGE(L67:N67)</f>
        <v/>
      </c>
      <c r="P67" t="n">
        <v>3</v>
      </c>
      <c r="Q67" t="n">
        <v>1</v>
      </c>
      <c r="R67" s="2">
        <f>G67*1000000</f>
        <v/>
      </c>
      <c r="S67" s="2">
        <f>365*P67*O67*Q67</f>
        <v/>
      </c>
      <c r="T67" s="7">
        <f>R67/S67</f>
        <v/>
      </c>
      <c r="U67">
        <f>IF(ISNUMBER(T67),RANK(T67,$T$2:$T$127,0),"")</f>
        <v/>
      </c>
    </row>
    <row r="68">
      <c r="A68" t="inlineStr">
        <is>
          <t>zone_218</t>
        </is>
      </c>
      <c r="B68" t="inlineStr">
        <is>
          <t>แจ้งวัฒนะ-พญาไท</t>
        </is>
      </c>
      <c r="C68" t="inlineStr">
        <is>
          <t>กรุงเทพมหานคร</t>
        </is>
      </c>
      <c r="D68" t="inlineStr">
        <is>
          <t>E002S014|I</t>
        </is>
      </c>
      <c r="E68" t="inlineStr">
        <is>
          <t>13.2–14.2</t>
        </is>
      </c>
      <c r="F68" t="inlineStr">
        <is>
          <t>ศรีรัช</t>
        </is>
      </c>
      <c r="G68" t="n">
        <v>16</v>
      </c>
      <c r="H68" t="n">
        <v>0</v>
      </c>
      <c r="I68" t="n">
        <v>3</v>
      </c>
      <c r="J68" t="n">
        <v>0.1875</v>
      </c>
      <c r="K68" t="inlineStr">
        <is>
          <t>low</t>
        </is>
      </c>
      <c r="L68" s="2" t="n">
        <v>613083.2</v>
      </c>
      <c r="M68" s="2" t="n">
        <v>601127.7</v>
      </c>
      <c r="N68" s="2" t="n">
        <v>607857.5</v>
      </c>
      <c r="O68" s="2">
        <f>AVERAGE(L68:N68)</f>
        <v/>
      </c>
      <c r="P68" t="n">
        <v>3</v>
      </c>
      <c r="Q68" t="n">
        <v>1</v>
      </c>
      <c r="R68" s="2">
        <f>G68*1000000</f>
        <v/>
      </c>
      <c r="S68" s="2">
        <f>365*P68*O68*Q68</f>
        <v/>
      </c>
      <c r="T68" s="7">
        <f>R68/S68</f>
        <v/>
      </c>
      <c r="U68">
        <f>IF(ISNUMBER(T68),RANK(T68,$T$2:$T$127,0),"")</f>
        <v/>
      </c>
    </row>
    <row r="69">
      <c r="A69" t="inlineStr">
        <is>
          <t>zone_222</t>
        </is>
      </c>
      <c r="B69" t="inlineStr">
        <is>
          <t>พญาไท-ศรีนครินทร์</t>
        </is>
      </c>
      <c r="C69" t="inlineStr">
        <is>
          <t>กรุงเทพมหานคร</t>
        </is>
      </c>
      <c r="D69" t="inlineStr">
        <is>
          <t>E002S016|I</t>
        </is>
      </c>
      <c r="E69" t="inlineStr">
        <is>
          <t>11.1–11.2</t>
        </is>
      </c>
      <c r="F69" t="inlineStr">
        <is>
          <t>ศรีรัช</t>
        </is>
      </c>
      <c r="G69" t="n">
        <v>5</v>
      </c>
      <c r="H69" t="n">
        <v>0</v>
      </c>
      <c r="I69" t="n">
        <v>1</v>
      </c>
      <c r="J69" t="n">
        <v>0.2</v>
      </c>
      <c r="K69" t="inlineStr">
        <is>
          <t>low</t>
        </is>
      </c>
      <c r="L69" s="2" t="n">
        <v>613083.2</v>
      </c>
      <c r="M69" s="2" t="n">
        <v>601127.7</v>
      </c>
      <c r="N69" s="2" t="n">
        <v>607857.5</v>
      </c>
      <c r="O69" s="2">
        <f>AVERAGE(L69:N69)</f>
        <v/>
      </c>
      <c r="P69" t="n">
        <v>3</v>
      </c>
      <c r="Q69" t="n">
        <v>1</v>
      </c>
      <c r="R69" s="2">
        <f>G69*1000000</f>
        <v/>
      </c>
      <c r="S69" s="2">
        <f>365*P69*O69*Q69</f>
        <v/>
      </c>
      <c r="T69" s="7">
        <f>R69/S69</f>
        <v/>
      </c>
      <c r="U69">
        <f>IF(ISNUMBER(T69),RANK(T69,$T$2:$T$127,0),"")</f>
        <v/>
      </c>
    </row>
    <row r="70">
      <c r="A70" t="inlineStr">
        <is>
          <t>zone_223</t>
        </is>
      </c>
      <c r="B70" t="inlineStr">
        <is>
          <t>พญาไท-ศรีนครินทร์</t>
        </is>
      </c>
      <c r="C70" t="inlineStr">
        <is>
          <t>กรุงเทพมหานคร</t>
        </is>
      </c>
      <c r="D70" t="inlineStr">
        <is>
          <t>E002S016|I</t>
        </is>
      </c>
      <c r="E70" t="inlineStr">
        <is>
          <t>4.7–5</t>
        </is>
      </c>
      <c r="F70" t="inlineStr">
        <is>
          <t>ศรีรัช</t>
        </is>
      </c>
      <c r="G70" t="n">
        <v>6</v>
      </c>
      <c r="H70" t="n">
        <v>0</v>
      </c>
      <c r="I70" t="n">
        <v>0</v>
      </c>
      <c r="J70" t="n">
        <v>0</v>
      </c>
      <c r="K70" t="inlineStr">
        <is>
          <t>low</t>
        </is>
      </c>
      <c r="L70" s="2" t="n">
        <v>613083.2</v>
      </c>
      <c r="M70" s="2" t="n">
        <v>601127.7</v>
      </c>
      <c r="N70" s="2" t="n">
        <v>607857.5</v>
      </c>
      <c r="O70" s="2">
        <f>AVERAGE(L70:N70)</f>
        <v/>
      </c>
      <c r="P70" t="n">
        <v>3</v>
      </c>
      <c r="Q70" t="n">
        <v>1</v>
      </c>
      <c r="R70" s="2">
        <f>G70*1000000</f>
        <v/>
      </c>
      <c r="S70" s="2">
        <f>365*P70*O70*Q70</f>
        <v/>
      </c>
      <c r="T70" s="7">
        <f>R70/S70</f>
        <v/>
      </c>
      <c r="U70">
        <f>IF(ISNUMBER(T70),RANK(T70,$T$2:$T$127,0),"")</f>
        <v/>
      </c>
    </row>
    <row r="71">
      <c r="A71" t="inlineStr">
        <is>
          <t>zone_224</t>
        </is>
      </c>
      <c r="B71" t="inlineStr">
        <is>
          <t>พญาไท-บางโคล่</t>
        </is>
      </c>
      <c r="C71" t="inlineStr">
        <is>
          <t>กรุงเทพมหานคร</t>
        </is>
      </c>
      <c r="D71" t="inlineStr">
        <is>
          <t>E002S007|U</t>
        </is>
      </c>
      <c r="E71" t="inlineStr">
        <is>
          <t>8.3–8.9</t>
        </is>
      </c>
      <c r="F71" t="inlineStr">
        <is>
          <t>ศรีรัช</t>
        </is>
      </c>
      <c r="G71" t="n">
        <v>25</v>
      </c>
      <c r="H71" t="n">
        <v>0</v>
      </c>
      <c r="I71" t="n">
        <v>24</v>
      </c>
      <c r="J71" t="n">
        <v>0.96</v>
      </c>
      <c r="K71" t="inlineStr">
        <is>
          <t>low</t>
        </is>
      </c>
      <c r="L71" s="2" t="n">
        <v>613083.2</v>
      </c>
      <c r="M71" s="2" t="n">
        <v>601127.7</v>
      </c>
      <c r="N71" s="2" t="n">
        <v>607857.5</v>
      </c>
      <c r="O71" s="2">
        <f>AVERAGE(L71:N71)</f>
        <v/>
      </c>
      <c r="P71" t="n">
        <v>3</v>
      </c>
      <c r="Q71" t="n">
        <v>1</v>
      </c>
      <c r="R71" s="2">
        <f>G71*1000000</f>
        <v/>
      </c>
      <c r="S71" s="2">
        <f>365*P71*O71*Q71</f>
        <v/>
      </c>
      <c r="T71" s="7">
        <f>R71/S71</f>
        <v/>
      </c>
      <c r="U71">
        <f>IF(ISNUMBER(T71),RANK(T71,$T$2:$T$127,0),"")</f>
        <v/>
      </c>
    </row>
    <row r="72">
      <c r="A72" t="inlineStr">
        <is>
          <t>zone_225</t>
        </is>
      </c>
      <c r="B72" t="inlineStr">
        <is>
          <t>แจ้งวัฒนะ-พญาไท</t>
        </is>
      </c>
      <c r="C72" t="inlineStr">
        <is>
          <t>กรุงเทพมหานคร</t>
        </is>
      </c>
      <c r="D72" t="inlineStr">
        <is>
          <t>E002S014|U</t>
        </is>
      </c>
      <c r="E72" t="inlineStr">
        <is>
          <t>12.4–12.9</t>
        </is>
      </c>
      <c r="F72" t="inlineStr">
        <is>
          <t>ศรีรัช</t>
        </is>
      </c>
      <c r="G72" t="n">
        <v>15</v>
      </c>
      <c r="H72" t="n">
        <v>0</v>
      </c>
      <c r="I72" t="n">
        <v>2</v>
      </c>
      <c r="J72" t="n">
        <v>0.1333</v>
      </c>
      <c r="K72" t="inlineStr">
        <is>
          <t>low</t>
        </is>
      </c>
      <c r="L72" s="2" t="n">
        <v>613083.2</v>
      </c>
      <c r="M72" s="2" t="n">
        <v>601127.7</v>
      </c>
      <c r="N72" s="2" t="n">
        <v>607857.5</v>
      </c>
      <c r="O72" s="2">
        <f>AVERAGE(L72:N72)</f>
        <v/>
      </c>
      <c r="P72" t="n">
        <v>3</v>
      </c>
      <c r="Q72" t="n">
        <v>1</v>
      </c>
      <c r="R72" s="2">
        <f>G72*1000000</f>
        <v/>
      </c>
      <c r="S72" s="2">
        <f>365*P72*O72*Q72</f>
        <v/>
      </c>
      <c r="T72" s="7">
        <f>R72/S72</f>
        <v/>
      </c>
      <c r="U72">
        <f>IF(ISNUMBER(T72),RANK(T72,$T$2:$T$127,0),"")</f>
        <v/>
      </c>
    </row>
    <row r="73">
      <c r="A73" t="inlineStr">
        <is>
          <t>zone_226</t>
        </is>
      </c>
      <c r="B73" t="inlineStr">
        <is>
          <t>พญาไท-บางโคล่</t>
        </is>
      </c>
      <c r="C73" t="inlineStr">
        <is>
          <t>กรุงเทพมหานคร</t>
        </is>
      </c>
      <c r="D73" t="inlineStr">
        <is>
          <t>E002S007|U</t>
        </is>
      </c>
      <c r="E73" t="inlineStr">
        <is>
          <t>7.7–7.8</t>
        </is>
      </c>
      <c r="F73" t="inlineStr">
        <is>
          <t>ศรีรัช</t>
        </is>
      </c>
      <c r="G73" t="n">
        <v>4</v>
      </c>
      <c r="H73" t="n">
        <v>0</v>
      </c>
      <c r="I73" t="n">
        <v>0</v>
      </c>
      <c r="J73" t="n">
        <v>0</v>
      </c>
      <c r="K73" t="inlineStr">
        <is>
          <t>low</t>
        </is>
      </c>
      <c r="L73" s="2" t="n">
        <v>613083.2</v>
      </c>
      <c r="M73" s="2" t="n">
        <v>601127.7</v>
      </c>
      <c r="N73" s="2" t="n">
        <v>607857.5</v>
      </c>
      <c r="O73" s="2">
        <f>AVERAGE(L73:N73)</f>
        <v/>
      </c>
      <c r="P73" t="n">
        <v>3</v>
      </c>
      <c r="Q73" t="n">
        <v>1</v>
      </c>
      <c r="R73" s="2">
        <f>G73*1000000</f>
        <v/>
      </c>
      <c r="S73" s="2">
        <f>365*P73*O73*Q73</f>
        <v/>
      </c>
      <c r="T73" s="7">
        <f>R73/S73</f>
        <v/>
      </c>
      <c r="U73">
        <f>IF(ISNUMBER(T73),RANK(T73,$T$2:$T$127,0),"")</f>
        <v/>
      </c>
    </row>
    <row r="74">
      <c r="A74" t="inlineStr">
        <is>
          <t>zone_230</t>
        </is>
      </c>
      <c r="B74" t="inlineStr">
        <is>
          <t>แจ้งวัฒนะ-พญาไท</t>
        </is>
      </c>
      <c r="C74" t="inlineStr">
        <is>
          <t>กรุงเทพมหานคร</t>
        </is>
      </c>
      <c r="D74" t="inlineStr">
        <is>
          <t>E002S014|I</t>
        </is>
      </c>
      <c r="E74" t="inlineStr">
        <is>
          <t>10–10.5</t>
        </is>
      </c>
      <c r="F74" t="inlineStr">
        <is>
          <t>ศรีรัช</t>
        </is>
      </c>
      <c r="G74" t="n">
        <v>16</v>
      </c>
      <c r="H74" t="n">
        <v>0</v>
      </c>
      <c r="I74" t="n">
        <v>4</v>
      </c>
      <c r="J74" t="n">
        <v>0.25</v>
      </c>
      <c r="K74" t="inlineStr">
        <is>
          <t>low</t>
        </is>
      </c>
      <c r="L74" s="2" t="n">
        <v>613083.2</v>
      </c>
      <c r="M74" s="2" t="n">
        <v>601127.7</v>
      </c>
      <c r="N74" s="2" t="n">
        <v>607857.5</v>
      </c>
      <c r="O74" s="2">
        <f>AVERAGE(L74:N74)</f>
        <v/>
      </c>
      <c r="P74" t="n">
        <v>3</v>
      </c>
      <c r="Q74" t="n">
        <v>1</v>
      </c>
      <c r="R74" s="2">
        <f>G74*1000000</f>
        <v/>
      </c>
      <c r="S74" s="2">
        <f>365*P74*O74*Q74</f>
        <v/>
      </c>
      <c r="T74" s="7">
        <f>R74/S74</f>
        <v/>
      </c>
      <c r="U74">
        <f>IF(ISNUMBER(T74),RANK(T74,$T$2:$T$127,0),"")</f>
        <v/>
      </c>
    </row>
    <row r="75">
      <c r="A75" t="inlineStr">
        <is>
          <t>zone_236</t>
        </is>
      </c>
      <c r="B75" t="inlineStr">
        <is>
          <t>พญาไท-ศรีนครินทร์</t>
        </is>
      </c>
      <c r="C75" t="inlineStr">
        <is>
          <t>กรุงเทพมหานคร</t>
        </is>
      </c>
      <c r="D75" t="inlineStr">
        <is>
          <t>E002S016|U</t>
        </is>
      </c>
      <c r="E75" t="inlineStr">
        <is>
          <t>6–6.3</t>
        </is>
      </c>
      <c r="F75" t="inlineStr">
        <is>
          <t>ศรีรัช</t>
        </is>
      </c>
      <c r="G75" t="n">
        <v>7</v>
      </c>
      <c r="H75" t="n">
        <v>0</v>
      </c>
      <c r="I75" t="n">
        <v>4</v>
      </c>
      <c r="J75" t="n">
        <v>0.5714</v>
      </c>
      <c r="K75" t="inlineStr">
        <is>
          <t>low</t>
        </is>
      </c>
      <c r="L75" s="2" t="n">
        <v>613083.2</v>
      </c>
      <c r="M75" s="2" t="n">
        <v>601127.7</v>
      </c>
      <c r="N75" s="2" t="n">
        <v>607857.5</v>
      </c>
      <c r="O75" s="2">
        <f>AVERAGE(L75:N75)</f>
        <v/>
      </c>
      <c r="P75" t="n">
        <v>3</v>
      </c>
      <c r="Q75" t="n">
        <v>1</v>
      </c>
      <c r="R75" s="2">
        <f>G75*1000000</f>
        <v/>
      </c>
      <c r="S75" s="2">
        <f>365*P75*O75*Q75</f>
        <v/>
      </c>
      <c r="T75" s="7">
        <f>R75/S75</f>
        <v/>
      </c>
      <c r="U75">
        <f>IF(ISNUMBER(T75),RANK(T75,$T$2:$T$127,0),"")</f>
        <v/>
      </c>
    </row>
    <row r="76">
      <c r="A76" t="inlineStr">
        <is>
          <t>zone_249</t>
        </is>
      </c>
      <c r="B76" t="inlineStr">
        <is>
          <t>พญาไท-ศรีนครินทร์</t>
        </is>
      </c>
      <c r="C76" t="inlineStr">
        <is>
          <t>กรุงเทพมหานคร</t>
        </is>
      </c>
      <c r="D76" t="inlineStr">
        <is>
          <t>E002S016|U</t>
        </is>
      </c>
      <c r="E76" t="inlineStr">
        <is>
          <t>0.9–1.1</t>
        </is>
      </c>
      <c r="F76" t="inlineStr">
        <is>
          <t>ศรีรัช</t>
        </is>
      </c>
      <c r="G76" t="n">
        <v>12</v>
      </c>
      <c r="H76" t="n">
        <v>0</v>
      </c>
      <c r="I76" t="n">
        <v>6</v>
      </c>
      <c r="J76" t="n">
        <v>0.5</v>
      </c>
      <c r="K76" t="inlineStr">
        <is>
          <t>low</t>
        </is>
      </c>
      <c r="L76" s="2" t="n">
        <v>613083.2</v>
      </c>
      <c r="M76" s="2" t="n">
        <v>601127.7</v>
      </c>
      <c r="N76" s="2" t="n">
        <v>607857.5</v>
      </c>
      <c r="O76" s="2">
        <f>AVERAGE(L76:N76)</f>
        <v/>
      </c>
      <c r="P76" t="n">
        <v>3</v>
      </c>
      <c r="Q76" t="n">
        <v>1</v>
      </c>
      <c r="R76" s="2">
        <f>G76*1000000</f>
        <v/>
      </c>
      <c r="S76" s="2">
        <f>365*P76*O76*Q76</f>
        <v/>
      </c>
      <c r="T76" s="7">
        <f>R76/S76</f>
        <v/>
      </c>
      <c r="U76">
        <f>IF(ISNUMBER(T76),RANK(T76,$T$2:$T$127,0),"")</f>
        <v/>
      </c>
    </row>
    <row r="77">
      <c r="A77" t="inlineStr">
        <is>
          <t>zone_250</t>
        </is>
      </c>
      <c r="B77" t="inlineStr">
        <is>
          <t>พญาไท-บางโคล่</t>
        </is>
      </c>
      <c r="C77" t="inlineStr">
        <is>
          <t>กรุงเทพมหานคร</t>
        </is>
      </c>
      <c r="D77" t="inlineStr">
        <is>
          <t>E002S007|I</t>
        </is>
      </c>
      <c r="E77" t="inlineStr">
        <is>
          <t>1.2–1.4</t>
        </is>
      </c>
      <c r="F77" t="inlineStr">
        <is>
          <t>ศรีรัช</t>
        </is>
      </c>
      <c r="G77" t="n">
        <v>6</v>
      </c>
      <c r="H77" t="n">
        <v>0</v>
      </c>
      <c r="I77" t="n">
        <v>3</v>
      </c>
      <c r="J77" t="n">
        <v>0.5</v>
      </c>
      <c r="K77" t="inlineStr">
        <is>
          <t>low</t>
        </is>
      </c>
      <c r="L77" s="2" t="n">
        <v>613083.2</v>
      </c>
      <c r="M77" s="2" t="n">
        <v>601127.7</v>
      </c>
      <c r="N77" s="2" t="n">
        <v>607857.5</v>
      </c>
      <c r="O77" s="2">
        <f>AVERAGE(L77:N77)</f>
        <v/>
      </c>
      <c r="P77" t="n">
        <v>3</v>
      </c>
      <c r="Q77" t="n">
        <v>1</v>
      </c>
      <c r="R77" s="2">
        <f>G77*1000000</f>
        <v/>
      </c>
      <c r="S77" s="2">
        <f>365*P77*O77*Q77</f>
        <v/>
      </c>
      <c r="T77" s="7">
        <f>R77/S77</f>
        <v/>
      </c>
      <c r="U77">
        <f>IF(ISNUMBER(T77),RANK(T77,$T$2:$T$127,0),"")</f>
        <v/>
      </c>
    </row>
    <row r="78">
      <c r="A78" t="inlineStr">
        <is>
          <t>zone_254</t>
        </is>
      </c>
      <c r="B78" t="inlineStr">
        <is>
          <t>พญาไท-ศรีนครินทร์</t>
        </is>
      </c>
      <c r="C78" t="inlineStr">
        <is>
          <t>กรุงเทพมหานคร</t>
        </is>
      </c>
      <c r="D78" t="inlineStr">
        <is>
          <t>E002S016|I</t>
        </is>
      </c>
      <c r="E78" t="inlineStr">
        <is>
          <t>10.5–10.7</t>
        </is>
      </c>
      <c r="F78" t="inlineStr">
        <is>
          <t>ศรีรัช</t>
        </is>
      </c>
      <c r="G78" t="n">
        <v>4</v>
      </c>
      <c r="H78" t="n">
        <v>0</v>
      </c>
      <c r="I78" t="n">
        <v>9</v>
      </c>
      <c r="J78" t="n">
        <v>2.25</v>
      </c>
      <c r="K78" t="inlineStr">
        <is>
          <t>high</t>
        </is>
      </c>
      <c r="L78" s="2" t="n">
        <v>613083.2</v>
      </c>
      <c r="M78" s="2" t="n">
        <v>601127.7</v>
      </c>
      <c r="N78" s="2" t="n">
        <v>607857.5</v>
      </c>
      <c r="O78" s="2">
        <f>AVERAGE(L78:N78)</f>
        <v/>
      </c>
      <c r="P78" t="n">
        <v>3</v>
      </c>
      <c r="Q78" t="n">
        <v>1</v>
      </c>
      <c r="R78" s="2">
        <f>G78*1000000</f>
        <v/>
      </c>
      <c r="S78" s="2">
        <f>365*P78*O78*Q78</f>
        <v/>
      </c>
      <c r="T78" s="7">
        <f>R78/S78</f>
        <v/>
      </c>
      <c r="U78">
        <f>IF(ISNUMBER(T78),RANK(T78,$T$2:$T$127,0),"")</f>
        <v/>
      </c>
    </row>
    <row r="79">
      <c r="A79" t="inlineStr">
        <is>
          <t>zone_258</t>
        </is>
      </c>
      <c r="B79" t="inlineStr">
        <is>
          <t>พญาไท-บางโคล่</t>
        </is>
      </c>
      <c r="C79" t="inlineStr">
        <is>
          <t>กรุงเทพมหานคร</t>
        </is>
      </c>
      <c r="D79" t="inlineStr">
        <is>
          <t>E002S007|U</t>
        </is>
      </c>
      <c r="E79" t="inlineStr">
        <is>
          <t>2.5–2.7</t>
        </is>
      </c>
      <c r="F79" t="inlineStr">
        <is>
          <t>ศรีรัช</t>
        </is>
      </c>
      <c r="G79" t="n">
        <v>6</v>
      </c>
      <c r="H79" t="n">
        <v>0</v>
      </c>
      <c r="I79" t="n">
        <v>7</v>
      </c>
      <c r="J79" t="n">
        <v>1.1667</v>
      </c>
      <c r="K79" t="inlineStr">
        <is>
          <t>medium</t>
        </is>
      </c>
      <c r="L79" s="2" t="n">
        <v>613083.2</v>
      </c>
      <c r="M79" s="2" t="n">
        <v>601127.7</v>
      </c>
      <c r="N79" s="2" t="n">
        <v>607857.5</v>
      </c>
      <c r="O79" s="2">
        <f>AVERAGE(L79:N79)</f>
        <v/>
      </c>
      <c r="P79" t="n">
        <v>3</v>
      </c>
      <c r="Q79" t="n">
        <v>1</v>
      </c>
      <c r="R79" s="2">
        <f>G79*1000000</f>
        <v/>
      </c>
      <c r="S79" s="2">
        <f>365*P79*O79*Q79</f>
        <v/>
      </c>
      <c r="T79" s="7">
        <f>R79/S79</f>
        <v/>
      </c>
      <c r="U79">
        <f>IF(ISNUMBER(T79),RANK(T79,$T$2:$T$127,0),"")</f>
        <v/>
      </c>
    </row>
    <row r="80">
      <c r="A80" t="inlineStr">
        <is>
          <t>zone_259</t>
        </is>
      </c>
      <c r="B80" t="inlineStr">
        <is>
          <t>แจ้งวัฒนะ-พญาไท</t>
        </is>
      </c>
      <c r="C80" t="inlineStr">
        <is>
          <t>กรุงเทพมหานคร</t>
        </is>
      </c>
      <c r="D80" t="inlineStr">
        <is>
          <t>E002S014|U</t>
        </is>
      </c>
      <c r="E80" t="inlineStr">
        <is>
          <t>18.5–18.7</t>
        </is>
      </c>
      <c r="F80" t="inlineStr">
        <is>
          <t>ศรีรัช</t>
        </is>
      </c>
      <c r="G80" t="n">
        <v>5</v>
      </c>
      <c r="H80" t="n">
        <v>0</v>
      </c>
      <c r="I80" t="n">
        <v>0</v>
      </c>
      <c r="J80" t="n">
        <v>0</v>
      </c>
      <c r="K80" t="inlineStr">
        <is>
          <t>low</t>
        </is>
      </c>
      <c r="L80" s="2" t="n">
        <v>613083.2</v>
      </c>
      <c r="M80" s="2" t="n">
        <v>601127.7</v>
      </c>
      <c r="N80" s="2" t="n">
        <v>607857.5</v>
      </c>
      <c r="O80" s="2">
        <f>AVERAGE(L80:N80)</f>
        <v/>
      </c>
      <c r="P80" t="n">
        <v>3</v>
      </c>
      <c r="Q80" t="n">
        <v>1</v>
      </c>
      <c r="R80" s="2">
        <f>G80*1000000</f>
        <v/>
      </c>
      <c r="S80" s="2">
        <f>365*P80*O80*Q80</f>
        <v/>
      </c>
      <c r="T80" s="7">
        <f>R80/S80</f>
        <v/>
      </c>
      <c r="U80">
        <f>IF(ISNUMBER(T80),RANK(T80,$T$2:$T$127,0),"")</f>
        <v/>
      </c>
    </row>
    <row r="81">
      <c r="A81" t="inlineStr">
        <is>
          <t>zone_261</t>
        </is>
      </c>
      <c r="B81" t="inlineStr">
        <is>
          <t>พญาไท-บางโคล่</t>
        </is>
      </c>
      <c r="C81" t="inlineStr">
        <is>
          <t>กรุงเทพมหานคร</t>
        </is>
      </c>
      <c r="D81" t="inlineStr">
        <is>
          <t>E002S007|I</t>
        </is>
      </c>
      <c r="E81" t="inlineStr">
        <is>
          <t>0.7–0.9</t>
        </is>
      </c>
      <c r="F81" t="inlineStr">
        <is>
          <t>ศรีรัช</t>
        </is>
      </c>
      <c r="G81" t="n">
        <v>7</v>
      </c>
      <c r="H81" t="n">
        <v>0</v>
      </c>
      <c r="I81" t="n">
        <v>5</v>
      </c>
      <c r="J81" t="n">
        <v>0.7143</v>
      </c>
      <c r="K81" t="inlineStr">
        <is>
          <t>low</t>
        </is>
      </c>
      <c r="L81" s="2" t="n">
        <v>613083.2</v>
      </c>
      <c r="M81" s="2" t="n">
        <v>601127.7</v>
      </c>
      <c r="N81" s="2" t="n">
        <v>607857.5</v>
      </c>
      <c r="O81" s="2">
        <f>AVERAGE(L81:N81)</f>
        <v/>
      </c>
      <c r="P81" t="n">
        <v>3</v>
      </c>
      <c r="Q81" t="n">
        <v>1</v>
      </c>
      <c r="R81" s="2">
        <f>G81*1000000</f>
        <v/>
      </c>
      <c r="S81" s="2">
        <f>365*P81*O81*Q81</f>
        <v/>
      </c>
      <c r="T81" s="7">
        <f>R81/S81</f>
        <v/>
      </c>
      <c r="U81">
        <f>IF(ISNUMBER(T81),RANK(T81,$T$2:$T$127,0),"")</f>
        <v/>
      </c>
    </row>
    <row r="82">
      <c r="A82" t="inlineStr">
        <is>
          <t>zone_262</t>
        </is>
      </c>
      <c r="B82" t="inlineStr">
        <is>
          <t>พญาไท-ศรีนครินทร์</t>
        </is>
      </c>
      <c r="C82" t="inlineStr">
        <is>
          <t>กรุงเทพมหานคร</t>
        </is>
      </c>
      <c r="D82" t="inlineStr">
        <is>
          <t>E002S016|U</t>
        </is>
      </c>
      <c r="E82" t="inlineStr">
        <is>
          <t>3.2–3.7</t>
        </is>
      </c>
      <c r="F82" t="inlineStr">
        <is>
          <t>ศรีรัช</t>
        </is>
      </c>
      <c r="G82" t="n">
        <v>6</v>
      </c>
      <c r="H82" t="n">
        <v>0</v>
      </c>
      <c r="I82" t="n">
        <v>0</v>
      </c>
      <c r="J82" t="n">
        <v>0</v>
      </c>
      <c r="K82" t="inlineStr">
        <is>
          <t>low</t>
        </is>
      </c>
      <c r="L82" s="2" t="n">
        <v>613083.2</v>
      </c>
      <c r="M82" s="2" t="n">
        <v>601127.7</v>
      </c>
      <c r="N82" s="2" t="n">
        <v>607857.5</v>
      </c>
      <c r="O82" s="2">
        <f>AVERAGE(L82:N82)</f>
        <v/>
      </c>
      <c r="P82" t="n">
        <v>3</v>
      </c>
      <c r="Q82" t="n">
        <v>1</v>
      </c>
      <c r="R82" s="2">
        <f>G82*1000000</f>
        <v/>
      </c>
      <c r="S82" s="2">
        <f>365*P82*O82*Q82</f>
        <v/>
      </c>
      <c r="T82" s="7">
        <f>R82/S82</f>
        <v/>
      </c>
      <c r="U82">
        <f>IF(ISNUMBER(T82),RANK(T82,$T$2:$T$127,0),"")</f>
        <v/>
      </c>
    </row>
    <row r="83">
      <c r="A83" t="inlineStr">
        <is>
          <t>zone_264</t>
        </is>
      </c>
      <c r="B83" t="inlineStr">
        <is>
          <t>พญาไท-ศรีนครินทร์</t>
        </is>
      </c>
      <c r="C83" t="inlineStr">
        <is>
          <t>กรุงเทพมหานคร</t>
        </is>
      </c>
      <c r="D83" t="inlineStr">
        <is>
          <t>E002S016|I</t>
        </is>
      </c>
      <c r="E83" t="inlineStr">
        <is>
          <t>8–8.4</t>
        </is>
      </c>
      <c r="F83" t="inlineStr">
        <is>
          <t>ศรีรัช</t>
        </is>
      </c>
      <c r="G83" t="n">
        <v>9</v>
      </c>
      <c r="H83" t="n">
        <v>0</v>
      </c>
      <c r="I83" t="n">
        <v>9</v>
      </c>
      <c r="J83" t="n">
        <v>1</v>
      </c>
      <c r="K83" t="inlineStr">
        <is>
          <t>medium</t>
        </is>
      </c>
      <c r="L83" s="2" t="n">
        <v>613083.2</v>
      </c>
      <c r="M83" s="2" t="n">
        <v>601127.7</v>
      </c>
      <c r="N83" s="2" t="n">
        <v>607857.5</v>
      </c>
      <c r="O83" s="2">
        <f>AVERAGE(L83:N83)</f>
        <v/>
      </c>
      <c r="P83" t="n">
        <v>3</v>
      </c>
      <c r="Q83" t="n">
        <v>1</v>
      </c>
      <c r="R83" s="2">
        <f>G83*1000000</f>
        <v/>
      </c>
      <c r="S83" s="2">
        <f>365*P83*O83*Q83</f>
        <v/>
      </c>
      <c r="T83" s="7">
        <f>R83/S83</f>
        <v/>
      </c>
      <c r="U83">
        <f>IF(ISNUMBER(T83),RANK(T83,$T$2:$T$127,0),"")</f>
        <v/>
      </c>
    </row>
    <row r="84">
      <c r="A84" t="inlineStr">
        <is>
          <t>zone_265</t>
        </is>
      </c>
      <c r="B84" t="inlineStr">
        <is>
          <t>พญาไท-ศรีนครินทร์</t>
        </is>
      </c>
      <c r="C84" t="inlineStr">
        <is>
          <t>กรุงเทพมหานคร</t>
        </is>
      </c>
      <c r="D84" t="inlineStr">
        <is>
          <t>E002S016|U</t>
        </is>
      </c>
      <c r="E84" t="inlineStr">
        <is>
          <t>11.5–11.6</t>
        </is>
      </c>
      <c r="F84" t="inlineStr">
        <is>
          <t>ศรีรัช</t>
        </is>
      </c>
      <c r="G84" t="n">
        <v>5</v>
      </c>
      <c r="H84" t="n">
        <v>0</v>
      </c>
      <c r="I84" t="n">
        <v>1</v>
      </c>
      <c r="J84" t="n">
        <v>0.2</v>
      </c>
      <c r="K84" t="inlineStr">
        <is>
          <t>low</t>
        </is>
      </c>
      <c r="L84" s="2" t="n">
        <v>613083.2</v>
      </c>
      <c r="M84" s="2" t="n">
        <v>601127.7</v>
      </c>
      <c r="N84" s="2" t="n">
        <v>607857.5</v>
      </c>
      <c r="O84" s="2">
        <f>AVERAGE(L84:N84)</f>
        <v/>
      </c>
      <c r="P84" t="n">
        <v>3</v>
      </c>
      <c r="Q84" t="n">
        <v>1</v>
      </c>
      <c r="R84" s="2">
        <f>G84*1000000</f>
        <v/>
      </c>
      <c r="S84" s="2">
        <f>365*P84*O84*Q84</f>
        <v/>
      </c>
      <c r="T84" s="7">
        <f>R84/S84</f>
        <v/>
      </c>
      <c r="U84">
        <f>IF(ISNUMBER(T84),RANK(T84,$T$2:$T$127,0),"")</f>
        <v/>
      </c>
    </row>
    <row r="85">
      <c r="A85" t="inlineStr">
        <is>
          <t>zone_266</t>
        </is>
      </c>
      <c r="B85" t="inlineStr">
        <is>
          <t>แจ้งวัฒนะ-พญาไท</t>
        </is>
      </c>
      <c r="C85" t="inlineStr">
        <is>
          <t>กรุงเทพมหานคร</t>
        </is>
      </c>
      <c r="D85" t="inlineStr">
        <is>
          <t>E002S014|I</t>
        </is>
      </c>
      <c r="E85" t="inlineStr">
        <is>
          <t>14.6–14.9</t>
        </is>
      </c>
      <c r="F85" t="inlineStr">
        <is>
          <t>ศรีรัช</t>
        </is>
      </c>
      <c r="G85" t="n">
        <v>9</v>
      </c>
      <c r="H85" t="n">
        <v>0</v>
      </c>
      <c r="I85" t="n">
        <v>6</v>
      </c>
      <c r="J85" t="n">
        <v>0.6667</v>
      </c>
      <c r="K85" t="inlineStr">
        <is>
          <t>low</t>
        </is>
      </c>
      <c r="L85" s="2" t="n">
        <v>613083.2</v>
      </c>
      <c r="M85" s="2" t="n">
        <v>601127.7</v>
      </c>
      <c r="N85" s="2" t="n">
        <v>607857.5</v>
      </c>
      <c r="O85" s="2">
        <f>AVERAGE(L85:N85)</f>
        <v/>
      </c>
      <c r="P85" t="n">
        <v>3</v>
      </c>
      <c r="Q85" t="n">
        <v>1</v>
      </c>
      <c r="R85" s="2">
        <f>G85*1000000</f>
        <v/>
      </c>
      <c r="S85" s="2">
        <f>365*P85*O85*Q85</f>
        <v/>
      </c>
      <c r="T85" s="7">
        <f>R85/S85</f>
        <v/>
      </c>
      <c r="U85">
        <f>IF(ISNUMBER(T85),RANK(T85,$T$2:$T$127,0),"")</f>
        <v/>
      </c>
    </row>
    <row r="86">
      <c r="A86" t="inlineStr">
        <is>
          <t>zone_270</t>
        </is>
      </c>
      <c r="B86" t="inlineStr">
        <is>
          <t>พญาไท-บางโคล่</t>
        </is>
      </c>
      <c r="C86" t="inlineStr">
        <is>
          <t>กรุงเทพมหานคร</t>
        </is>
      </c>
      <c r="D86" t="inlineStr">
        <is>
          <t>E002S007|U</t>
        </is>
      </c>
      <c r="E86" t="inlineStr">
        <is>
          <t>4.7–4.8</t>
        </is>
      </c>
      <c r="F86" t="inlineStr">
        <is>
          <t>ศรีรัช</t>
        </is>
      </c>
      <c r="G86" t="n">
        <v>4</v>
      </c>
      <c r="H86" t="n">
        <v>0</v>
      </c>
      <c r="I86" t="n">
        <v>0</v>
      </c>
      <c r="J86" t="n">
        <v>0</v>
      </c>
      <c r="K86" t="inlineStr">
        <is>
          <t>low</t>
        </is>
      </c>
      <c r="L86" s="2" t="n">
        <v>613083.2</v>
      </c>
      <c r="M86" s="2" t="n">
        <v>601127.7</v>
      </c>
      <c r="N86" s="2" t="n">
        <v>607857.5</v>
      </c>
      <c r="O86" s="2">
        <f>AVERAGE(L86:N86)</f>
        <v/>
      </c>
      <c r="P86" t="n">
        <v>3</v>
      </c>
      <c r="Q86" t="n">
        <v>1</v>
      </c>
      <c r="R86" s="2">
        <f>G86*1000000</f>
        <v/>
      </c>
      <c r="S86" s="2">
        <f>365*P86*O86*Q86</f>
        <v/>
      </c>
      <c r="T86" s="7">
        <f>R86/S86</f>
        <v/>
      </c>
      <c r="U86">
        <f>IF(ISNUMBER(T86),RANK(T86,$T$2:$T$127,0),"")</f>
        <v/>
      </c>
    </row>
    <row r="87">
      <c r="A87" t="inlineStr">
        <is>
          <t>zone_271</t>
        </is>
      </c>
      <c r="B87" t="inlineStr">
        <is>
          <t>พญาไท-บางโคล่</t>
        </is>
      </c>
      <c r="C87" t="inlineStr">
        <is>
          <t>กรุงเทพมหานคร</t>
        </is>
      </c>
      <c r="D87" t="inlineStr">
        <is>
          <t>E002S007|U</t>
        </is>
      </c>
      <c r="E87" t="inlineStr">
        <is>
          <t>6.9–7.5</t>
        </is>
      </c>
      <c r="F87" t="inlineStr">
        <is>
          <t>ศรีรัช</t>
        </is>
      </c>
      <c r="G87" t="n">
        <v>10</v>
      </c>
      <c r="H87" t="n">
        <v>0</v>
      </c>
      <c r="I87" t="n">
        <v>4</v>
      </c>
      <c r="J87" t="n">
        <v>0.4</v>
      </c>
      <c r="K87" t="inlineStr">
        <is>
          <t>low</t>
        </is>
      </c>
      <c r="L87" s="2" t="n">
        <v>613083.2</v>
      </c>
      <c r="M87" s="2" t="n">
        <v>601127.7</v>
      </c>
      <c r="N87" s="2" t="n">
        <v>607857.5</v>
      </c>
      <c r="O87" s="2">
        <f>AVERAGE(L87:N87)</f>
        <v/>
      </c>
      <c r="P87" t="n">
        <v>3</v>
      </c>
      <c r="Q87" t="n">
        <v>1</v>
      </c>
      <c r="R87" s="2">
        <f>G87*1000000</f>
        <v/>
      </c>
      <c r="S87" s="2">
        <f>365*P87*O87*Q87</f>
        <v/>
      </c>
      <c r="T87" s="7">
        <f>R87/S87</f>
        <v/>
      </c>
      <c r="U87">
        <f>IF(ISNUMBER(T87),RANK(T87,$T$2:$T$127,0),"")</f>
        <v/>
      </c>
    </row>
    <row r="88">
      <c r="A88" t="inlineStr">
        <is>
          <t>zone_280</t>
        </is>
      </c>
      <c r="B88" t="inlineStr">
        <is>
          <t>แจ้งวัฒนะ-พญาไท</t>
        </is>
      </c>
      <c r="C88" t="inlineStr">
        <is>
          <t>กรุงเทพมหานคร</t>
        </is>
      </c>
      <c r="D88" t="inlineStr">
        <is>
          <t>E002S014|U</t>
        </is>
      </c>
      <c r="E88" t="inlineStr">
        <is>
          <t>15.2–15.7</t>
        </is>
      </c>
      <c r="F88" t="inlineStr">
        <is>
          <t>ศรีรัช</t>
        </is>
      </c>
      <c r="G88" t="n">
        <v>9</v>
      </c>
      <c r="H88" t="n">
        <v>0</v>
      </c>
      <c r="I88" t="n">
        <v>4</v>
      </c>
      <c r="J88" t="n">
        <v>0.4444</v>
      </c>
      <c r="K88" t="inlineStr">
        <is>
          <t>low</t>
        </is>
      </c>
      <c r="L88" s="2" t="n">
        <v>613083.2</v>
      </c>
      <c r="M88" s="2" t="n">
        <v>601127.7</v>
      </c>
      <c r="N88" s="2" t="n">
        <v>607857.5</v>
      </c>
      <c r="O88" s="2">
        <f>AVERAGE(L88:N88)</f>
        <v/>
      </c>
      <c r="P88" t="n">
        <v>3</v>
      </c>
      <c r="Q88" t="n">
        <v>1</v>
      </c>
      <c r="R88" s="2">
        <f>G88*1000000</f>
        <v/>
      </c>
      <c r="S88" s="2">
        <f>365*P88*O88*Q88</f>
        <v/>
      </c>
      <c r="T88" s="7">
        <f>R88/S88</f>
        <v/>
      </c>
      <c r="U88">
        <f>IF(ISNUMBER(T88),RANK(T88,$T$2:$T$127,0),"")</f>
        <v/>
      </c>
    </row>
    <row r="89">
      <c r="A89" t="inlineStr">
        <is>
          <t>zone_282</t>
        </is>
      </c>
      <c r="B89" t="inlineStr">
        <is>
          <t>พญาไท-บางโคล่</t>
        </is>
      </c>
      <c r="C89" t="inlineStr">
        <is>
          <t>กรุงเทพมหานคร</t>
        </is>
      </c>
      <c r="D89" t="inlineStr">
        <is>
          <t>E002S007|U</t>
        </is>
      </c>
      <c r="E89" t="inlineStr">
        <is>
          <t>5.1–5.2</t>
        </is>
      </c>
      <c r="F89" t="inlineStr">
        <is>
          <t>ศรีรัช</t>
        </is>
      </c>
      <c r="G89" t="n">
        <v>4</v>
      </c>
      <c r="H89" t="n">
        <v>0</v>
      </c>
      <c r="I89" t="n">
        <v>5</v>
      </c>
      <c r="J89" t="n">
        <v>1.25</v>
      </c>
      <c r="K89" t="inlineStr">
        <is>
          <t>medium</t>
        </is>
      </c>
      <c r="L89" s="2" t="n">
        <v>613083.2</v>
      </c>
      <c r="M89" s="2" t="n">
        <v>601127.7</v>
      </c>
      <c r="N89" s="2" t="n">
        <v>607857.5</v>
      </c>
      <c r="O89" s="2">
        <f>AVERAGE(L89:N89)</f>
        <v/>
      </c>
      <c r="P89" t="n">
        <v>3</v>
      </c>
      <c r="Q89" t="n">
        <v>1</v>
      </c>
      <c r="R89" s="2">
        <f>G89*1000000</f>
        <v/>
      </c>
      <c r="S89" s="2">
        <f>365*P89*O89*Q89</f>
        <v/>
      </c>
      <c r="T89" s="7">
        <f>R89/S89</f>
        <v/>
      </c>
      <c r="U89">
        <f>IF(ISNUMBER(T89),RANK(T89,$T$2:$T$127,0),"")</f>
        <v/>
      </c>
    </row>
    <row r="90">
      <c r="A90" t="inlineStr">
        <is>
          <t>zone_286</t>
        </is>
      </c>
      <c r="B90" t="inlineStr">
        <is>
          <t>พญาไท-ศรีนครินทร์</t>
        </is>
      </c>
      <c r="C90" t="inlineStr">
        <is>
          <t>กรุงเทพมหานคร</t>
        </is>
      </c>
      <c r="D90" t="inlineStr">
        <is>
          <t>E002S016|I</t>
        </is>
      </c>
      <c r="E90" t="inlineStr">
        <is>
          <t>4.3–4.5</t>
        </is>
      </c>
      <c r="F90" t="inlineStr">
        <is>
          <t>ศรีรัช</t>
        </is>
      </c>
      <c r="G90" t="n">
        <v>4</v>
      </c>
      <c r="H90" t="n">
        <v>0</v>
      </c>
      <c r="I90" t="n">
        <v>5</v>
      </c>
      <c r="J90" t="n">
        <v>1.25</v>
      </c>
      <c r="K90" t="inlineStr">
        <is>
          <t>medium</t>
        </is>
      </c>
      <c r="L90" s="2" t="n">
        <v>613083.2</v>
      </c>
      <c r="M90" s="2" t="n">
        <v>601127.7</v>
      </c>
      <c r="N90" s="2" t="n">
        <v>607857.5</v>
      </c>
      <c r="O90" s="2">
        <f>AVERAGE(L90:N90)</f>
        <v/>
      </c>
      <c r="P90" t="n">
        <v>3</v>
      </c>
      <c r="Q90" t="n">
        <v>1</v>
      </c>
      <c r="R90" s="2">
        <f>G90*1000000</f>
        <v/>
      </c>
      <c r="S90" s="2">
        <f>365*P90*O90*Q90</f>
        <v/>
      </c>
      <c r="T90" s="7">
        <f>R90/S90</f>
        <v/>
      </c>
      <c r="U90">
        <f>IF(ISNUMBER(T90),RANK(T90,$T$2:$T$127,0),"")</f>
        <v/>
      </c>
    </row>
    <row r="91">
      <c r="A91" t="inlineStr">
        <is>
          <t>zone_291</t>
        </is>
      </c>
      <c r="B91" t="inlineStr">
        <is>
          <t>พญาไท-บางโคล่</t>
        </is>
      </c>
      <c r="C91" t="inlineStr">
        <is>
          <t>กรุงเทพมหานคร</t>
        </is>
      </c>
      <c r="D91" t="inlineStr">
        <is>
          <t>E002S007|I</t>
        </is>
      </c>
      <c r="E91" t="inlineStr">
        <is>
          <t>3.9–4.1</t>
        </is>
      </c>
      <c r="F91" t="inlineStr">
        <is>
          <t>ศรีรัช</t>
        </is>
      </c>
      <c r="G91" t="n">
        <v>6</v>
      </c>
      <c r="H91" t="n">
        <v>0</v>
      </c>
      <c r="I91" t="n">
        <v>2</v>
      </c>
      <c r="J91" t="n">
        <v>0.3333</v>
      </c>
      <c r="K91" t="inlineStr">
        <is>
          <t>low</t>
        </is>
      </c>
      <c r="L91" s="2" t="n">
        <v>613083.2</v>
      </c>
      <c r="M91" s="2" t="n">
        <v>601127.7</v>
      </c>
      <c r="N91" s="2" t="n">
        <v>607857.5</v>
      </c>
      <c r="O91" s="2">
        <f>AVERAGE(L91:N91)</f>
        <v/>
      </c>
      <c r="P91" t="n">
        <v>3</v>
      </c>
      <c r="Q91" t="n">
        <v>1</v>
      </c>
      <c r="R91" s="2">
        <f>G91*1000000</f>
        <v/>
      </c>
      <c r="S91" s="2">
        <f>365*P91*O91*Q91</f>
        <v/>
      </c>
      <c r="T91" s="7">
        <f>R91/S91</f>
        <v/>
      </c>
      <c r="U91">
        <f>IF(ISNUMBER(T91),RANK(T91,$T$2:$T$127,0),"")</f>
        <v/>
      </c>
    </row>
    <row r="92">
      <c r="A92" t="inlineStr">
        <is>
          <t>zone_304</t>
        </is>
      </c>
      <c r="B92" t="inlineStr">
        <is>
          <t>แจ้งวัฒนะ-พญาไท</t>
        </is>
      </c>
      <c r="C92" t="inlineStr">
        <is>
          <t>กรุงเทพมหานคร</t>
        </is>
      </c>
      <c r="D92" t="inlineStr">
        <is>
          <t>E002S014|I</t>
        </is>
      </c>
      <c r="E92" t="inlineStr">
        <is>
          <t>11.5–12</t>
        </is>
      </c>
      <c r="F92" t="inlineStr">
        <is>
          <t>ศรีรัช</t>
        </is>
      </c>
      <c r="G92" t="n">
        <v>11</v>
      </c>
      <c r="H92" t="n">
        <v>0</v>
      </c>
      <c r="I92" t="n">
        <v>3</v>
      </c>
      <c r="J92" t="n">
        <v>0.2727</v>
      </c>
      <c r="K92" t="inlineStr">
        <is>
          <t>low</t>
        </is>
      </c>
      <c r="L92" s="2" t="n">
        <v>613083.2</v>
      </c>
      <c r="M92" s="2" t="n">
        <v>601127.7</v>
      </c>
      <c r="N92" s="2" t="n">
        <v>607857.5</v>
      </c>
      <c r="O92" s="2">
        <f>AVERAGE(L92:N92)</f>
        <v/>
      </c>
      <c r="P92" t="n">
        <v>3</v>
      </c>
      <c r="Q92" t="n">
        <v>1</v>
      </c>
      <c r="R92" s="2">
        <f>G92*1000000</f>
        <v/>
      </c>
      <c r="S92" s="2">
        <f>365*P92*O92*Q92</f>
        <v/>
      </c>
      <c r="T92" s="7">
        <f>R92/S92</f>
        <v/>
      </c>
      <c r="U92">
        <f>IF(ISNUMBER(T92),RANK(T92,$T$2:$T$127,0),"")</f>
        <v/>
      </c>
    </row>
    <row r="93">
      <c r="A93" t="inlineStr">
        <is>
          <t>zone_310</t>
        </is>
      </c>
      <c r="B93" t="inlineStr">
        <is>
          <t>พญาไท-ศรีนครินทร์</t>
        </is>
      </c>
      <c r="C93" t="inlineStr">
        <is>
          <t>กรุงเทพมหานคร</t>
        </is>
      </c>
      <c r="D93" t="inlineStr">
        <is>
          <t>E002S016|I</t>
        </is>
      </c>
      <c r="E93" t="inlineStr">
        <is>
          <t>9–9.3</t>
        </is>
      </c>
      <c r="F93" t="inlineStr">
        <is>
          <t>ศรีรัช</t>
        </is>
      </c>
      <c r="G93" t="n">
        <v>3</v>
      </c>
      <c r="H93" t="n">
        <v>0</v>
      </c>
      <c r="I93" t="n">
        <v>1</v>
      </c>
      <c r="J93" t="n">
        <v>0.3333</v>
      </c>
      <c r="K93" t="inlineStr">
        <is>
          <t>low</t>
        </is>
      </c>
      <c r="L93" s="2" t="n">
        <v>613083.2</v>
      </c>
      <c r="M93" s="2" t="n">
        <v>601127.7</v>
      </c>
      <c r="N93" s="2" t="n">
        <v>607857.5</v>
      </c>
      <c r="O93" s="2">
        <f>AVERAGE(L93:N93)</f>
        <v/>
      </c>
      <c r="P93" t="n">
        <v>3</v>
      </c>
      <c r="Q93" t="n">
        <v>1</v>
      </c>
      <c r="R93" s="2">
        <f>G93*1000000</f>
        <v/>
      </c>
      <c r="S93" s="2">
        <f>365*P93*O93*Q93</f>
        <v/>
      </c>
      <c r="T93" s="7">
        <f>R93/S93</f>
        <v/>
      </c>
      <c r="U93">
        <f>IF(ISNUMBER(T93),RANK(T93,$T$2:$T$127,0),"")</f>
        <v/>
      </c>
    </row>
    <row r="94">
      <c r="A94" t="inlineStr">
        <is>
          <t>zone_331</t>
        </is>
      </c>
      <c r="B94" t="inlineStr">
        <is>
          <t>แจ้งวัฒนะ-พญาไท</t>
        </is>
      </c>
      <c r="C94" t="inlineStr">
        <is>
          <t>นนทบุรี</t>
        </is>
      </c>
      <c r="D94" t="inlineStr">
        <is>
          <t>E002S014|I</t>
        </is>
      </c>
      <c r="E94" t="inlineStr">
        <is>
          <t>21–21.3</t>
        </is>
      </c>
      <c r="F94" t="inlineStr">
        <is>
          <t>ศรีรัช</t>
        </is>
      </c>
      <c r="G94" t="n">
        <v>5</v>
      </c>
      <c r="H94" t="n">
        <v>0</v>
      </c>
      <c r="I94" t="n">
        <v>0</v>
      </c>
      <c r="J94" t="n">
        <v>0</v>
      </c>
      <c r="K94" t="inlineStr">
        <is>
          <t>low</t>
        </is>
      </c>
      <c r="L94" s="2" t="n">
        <v>613083.2</v>
      </c>
      <c r="M94" s="2" t="n">
        <v>601127.7</v>
      </c>
      <c r="N94" s="2" t="n">
        <v>607857.5</v>
      </c>
      <c r="O94" s="2">
        <f>AVERAGE(L94:N94)</f>
        <v/>
      </c>
      <c r="P94" t="n">
        <v>3</v>
      </c>
      <c r="Q94" t="n">
        <v>1</v>
      </c>
      <c r="R94" s="2">
        <f>G94*1000000</f>
        <v/>
      </c>
      <c r="S94" s="2">
        <f>365*P94*O94*Q94</f>
        <v/>
      </c>
      <c r="T94" s="7">
        <f>R94/S94</f>
        <v/>
      </c>
      <c r="U94">
        <f>IF(ISNUMBER(T94),RANK(T94,$T$2:$T$127,0),"")</f>
        <v/>
      </c>
    </row>
    <row r="95">
      <c r="A95" t="inlineStr">
        <is>
          <t>zone_335</t>
        </is>
      </c>
      <c r="B95" t="inlineStr">
        <is>
          <t>แจ้งวัฒนะ-พญาไท</t>
        </is>
      </c>
      <c r="C95" t="inlineStr">
        <is>
          <t>นนทบุรี</t>
        </is>
      </c>
      <c r="D95" t="inlineStr">
        <is>
          <t>E002S014|U</t>
        </is>
      </c>
      <c r="E95" t="inlineStr">
        <is>
          <t>20–20.1</t>
        </is>
      </c>
      <c r="F95" t="inlineStr">
        <is>
          <t>ศรีรัช</t>
        </is>
      </c>
      <c r="G95" t="n">
        <v>3</v>
      </c>
      <c r="H95" t="n">
        <v>0</v>
      </c>
      <c r="I95" t="n">
        <v>4</v>
      </c>
      <c r="J95" t="n">
        <v>1.3333</v>
      </c>
      <c r="K95" t="inlineStr">
        <is>
          <t>medium</t>
        </is>
      </c>
      <c r="L95" s="2" t="n">
        <v>613083.2</v>
      </c>
      <c r="M95" s="2" t="n">
        <v>601127.7</v>
      </c>
      <c r="N95" s="2" t="n">
        <v>607857.5</v>
      </c>
      <c r="O95" s="2">
        <f>AVERAGE(L95:N95)</f>
        <v/>
      </c>
      <c r="P95" t="n">
        <v>3</v>
      </c>
      <c r="Q95" t="n">
        <v>1</v>
      </c>
      <c r="R95" s="2">
        <f>G95*1000000</f>
        <v/>
      </c>
      <c r="S95" s="2">
        <f>365*P95*O95*Q95</f>
        <v/>
      </c>
      <c r="T95" s="7">
        <f>R95/S95</f>
        <v/>
      </c>
      <c r="U95">
        <f>IF(ISNUMBER(T95),RANK(T95,$T$2:$T$127,0),"")</f>
        <v/>
      </c>
    </row>
    <row r="96">
      <c r="A96" t="inlineStr">
        <is>
          <t>zone_345</t>
        </is>
      </c>
      <c r="B96" t="inlineStr">
        <is>
          <t>แจ้งวัฒนะ-พญาไท</t>
        </is>
      </c>
      <c r="C96" t="inlineStr">
        <is>
          <t>นนทบุรี</t>
        </is>
      </c>
      <c r="D96" t="inlineStr">
        <is>
          <t>E002S014|U</t>
        </is>
      </c>
      <c r="E96" t="inlineStr">
        <is>
          <t>22.2–22.4</t>
        </is>
      </c>
      <c r="F96" t="inlineStr">
        <is>
          <t>ศรีรัช</t>
        </is>
      </c>
      <c r="G96" t="n">
        <v>6</v>
      </c>
      <c r="H96" t="n">
        <v>0</v>
      </c>
      <c r="I96" t="n">
        <v>0</v>
      </c>
      <c r="J96" t="n">
        <v>0</v>
      </c>
      <c r="K96" t="inlineStr">
        <is>
          <t>low</t>
        </is>
      </c>
      <c r="L96" s="2" t="n">
        <v>613083.2</v>
      </c>
      <c r="M96" s="2" t="n">
        <v>601127.7</v>
      </c>
      <c r="N96" s="2" t="n">
        <v>607857.5</v>
      </c>
      <c r="O96" s="2">
        <f>AVERAGE(L96:N96)</f>
        <v/>
      </c>
      <c r="P96" t="n">
        <v>3</v>
      </c>
      <c r="Q96" t="n">
        <v>1</v>
      </c>
      <c r="R96" s="2">
        <f>G96*1000000</f>
        <v/>
      </c>
      <c r="S96" s="2">
        <f>365*P96*O96*Q96</f>
        <v/>
      </c>
      <c r="T96" s="7">
        <f>R96/S96</f>
        <v/>
      </c>
      <c r="U96">
        <f>IF(ISNUMBER(T96),RANK(T96,$T$2:$T$127,0),"")</f>
        <v/>
      </c>
    </row>
    <row r="97">
      <c r="A97" t="inlineStr">
        <is>
          <t>zone_346</t>
        </is>
      </c>
      <c r="B97" t="inlineStr">
        <is>
          <t>แจ้งวัฒนะ-พญาไท</t>
        </is>
      </c>
      <c r="C97" t="inlineStr">
        <is>
          <t>นนทบุรี</t>
        </is>
      </c>
      <c r="D97" t="inlineStr">
        <is>
          <t>E002S014|I</t>
        </is>
      </c>
      <c r="E97" t="inlineStr">
        <is>
          <t>22.5–23.1</t>
        </is>
      </c>
      <c r="F97" t="inlineStr">
        <is>
          <t>ศรีรัช</t>
        </is>
      </c>
      <c r="G97" t="n">
        <v>5</v>
      </c>
      <c r="H97" t="n">
        <v>0</v>
      </c>
      <c r="I97" t="n">
        <v>1</v>
      </c>
      <c r="J97" t="n">
        <v>0.2</v>
      </c>
      <c r="K97" t="inlineStr">
        <is>
          <t>low</t>
        </is>
      </c>
      <c r="L97" s="2" t="n">
        <v>613083.2</v>
      </c>
      <c r="M97" s="2" t="n">
        <v>601127.7</v>
      </c>
      <c r="N97" s="2" t="n">
        <v>607857.5</v>
      </c>
      <c r="O97" s="2">
        <f>AVERAGE(L97:N97)</f>
        <v/>
      </c>
      <c r="P97" t="n">
        <v>3</v>
      </c>
      <c r="Q97" t="n">
        <v>1</v>
      </c>
      <c r="R97" s="2">
        <f>G97*1000000</f>
        <v/>
      </c>
      <c r="S97" s="2">
        <f>365*P97*O97*Q97</f>
        <v/>
      </c>
      <c r="T97" s="7">
        <f>R97/S97</f>
        <v/>
      </c>
      <c r="U97">
        <f>IF(ISNUMBER(T97),RANK(T97,$T$2:$T$127,0),"")</f>
        <v/>
      </c>
    </row>
    <row r="98">
      <c r="A98" t="inlineStr">
        <is>
          <t>zone_349</t>
        </is>
      </c>
      <c r="B98" t="inlineStr">
        <is>
          <t>แจ้งวัฒนะ-พญาไท</t>
        </is>
      </c>
      <c r="C98" t="inlineStr">
        <is>
          <t>นนทบุรี</t>
        </is>
      </c>
      <c r="D98" t="inlineStr">
        <is>
          <t>E002S014|I</t>
        </is>
      </c>
      <c r="E98" t="inlineStr">
        <is>
          <t>19.3–19.5</t>
        </is>
      </c>
      <c r="F98" t="inlineStr">
        <is>
          <t>ศรีรัช</t>
        </is>
      </c>
      <c r="G98" t="n">
        <v>4</v>
      </c>
      <c r="H98" t="n">
        <v>0</v>
      </c>
      <c r="I98" t="n">
        <v>2</v>
      </c>
      <c r="J98" t="n">
        <v>0.5</v>
      </c>
      <c r="K98" t="inlineStr">
        <is>
          <t>low</t>
        </is>
      </c>
      <c r="L98" s="2" t="n">
        <v>613083.2</v>
      </c>
      <c r="M98" s="2" t="n">
        <v>601127.7</v>
      </c>
      <c r="N98" s="2" t="n">
        <v>607857.5</v>
      </c>
      <c r="O98" s="2">
        <f>AVERAGE(L98:N98)</f>
        <v/>
      </c>
      <c r="P98" t="n">
        <v>3</v>
      </c>
      <c r="Q98" t="n">
        <v>1</v>
      </c>
      <c r="R98" s="2">
        <f>G98*1000000</f>
        <v/>
      </c>
      <c r="S98" s="2">
        <f>365*P98*O98*Q98</f>
        <v/>
      </c>
      <c r="T98" s="7">
        <f>R98/S98</f>
        <v/>
      </c>
      <c r="U98">
        <f>IF(ISNUMBER(T98),RANK(T98,$T$2:$T$127,0),"")</f>
        <v/>
      </c>
    </row>
    <row r="99">
      <c r="A99" t="inlineStr">
        <is>
          <t>zone_350</t>
        </is>
      </c>
      <c r="B99" t="inlineStr">
        <is>
          <t>แจ้งวัฒนะ-พญาไท</t>
        </is>
      </c>
      <c r="C99" t="inlineStr">
        <is>
          <t>นนทบุรี</t>
        </is>
      </c>
      <c r="D99" t="inlineStr">
        <is>
          <t>E002S014|U</t>
        </is>
      </c>
      <c r="E99" t="inlineStr">
        <is>
          <t>23.8–24.1</t>
        </is>
      </c>
      <c r="F99" t="inlineStr">
        <is>
          <t>ศรีรัช</t>
        </is>
      </c>
      <c r="G99" t="n">
        <v>4</v>
      </c>
      <c r="H99" t="n">
        <v>0</v>
      </c>
      <c r="I99" t="n">
        <v>0</v>
      </c>
      <c r="J99" t="n">
        <v>0</v>
      </c>
      <c r="K99" t="inlineStr">
        <is>
          <t>low</t>
        </is>
      </c>
      <c r="L99" s="2" t="n">
        <v>613083.2</v>
      </c>
      <c r="M99" s="2" t="n">
        <v>601127.7</v>
      </c>
      <c r="N99" s="2" t="n">
        <v>607857.5</v>
      </c>
      <c r="O99" s="2">
        <f>AVERAGE(L99:N99)</f>
        <v/>
      </c>
      <c r="P99" t="n">
        <v>3</v>
      </c>
      <c r="Q99" t="n">
        <v>1</v>
      </c>
      <c r="R99" s="2">
        <f>G99*1000000</f>
        <v/>
      </c>
      <c r="S99" s="2">
        <f>365*P99*O99*Q99</f>
        <v/>
      </c>
      <c r="T99" s="7">
        <f>R99/S99</f>
        <v/>
      </c>
      <c r="U99">
        <f>IF(ISNUMBER(T99),RANK(T99,$T$2:$T$127,0),"")</f>
        <v/>
      </c>
    </row>
    <row r="100">
      <c r="A100" t="inlineStr">
        <is>
          <t>zone_79</t>
        </is>
      </c>
      <c r="B100" t="inlineStr">
        <is>
          <t>พญาไท-ศรีนครินทร์</t>
        </is>
      </c>
      <c r="C100" t="inlineStr">
        <is>
          <t>กรุงเทพมหานคร</t>
        </is>
      </c>
      <c r="D100" t="inlineStr">
        <is>
          <t>E002S016|I</t>
        </is>
      </c>
      <c r="E100" t="inlineStr">
        <is>
          <t>12.8–13</t>
        </is>
      </c>
      <c r="F100" t="inlineStr">
        <is>
          <t>ศรีรัช</t>
        </is>
      </c>
      <c r="G100" t="n">
        <v>13</v>
      </c>
      <c r="H100" t="n">
        <v>0</v>
      </c>
      <c r="I100" t="n">
        <v>4</v>
      </c>
      <c r="J100" t="n">
        <v>0.3077</v>
      </c>
      <c r="K100" t="inlineStr">
        <is>
          <t>low</t>
        </is>
      </c>
      <c r="L100" s="2" t="n">
        <v>613083.2</v>
      </c>
      <c r="M100" s="2" t="n">
        <v>601127.7</v>
      </c>
      <c r="N100" s="2" t="n">
        <v>607857.5</v>
      </c>
      <c r="O100" s="2">
        <f>AVERAGE(L100:N100)</f>
        <v/>
      </c>
      <c r="P100" t="n">
        <v>3</v>
      </c>
      <c r="Q100" t="n">
        <v>1</v>
      </c>
      <c r="R100" s="2">
        <f>G100*1000000</f>
        <v/>
      </c>
      <c r="S100" s="2">
        <f>365*P100*O100*Q100</f>
        <v/>
      </c>
      <c r="T100" s="7">
        <f>R100/S100</f>
        <v/>
      </c>
      <c r="U100">
        <f>IF(ISNUMBER(T100),RANK(T100,$T$2:$T$127,0),"")</f>
        <v/>
      </c>
    </row>
    <row r="101">
      <c r="A101" t="inlineStr">
        <is>
          <t>zone_281</t>
        </is>
      </c>
      <c r="B101" t="inlineStr">
        <is>
          <t>หมอชิต-กาญจนาฯ</t>
        </is>
      </c>
      <c r="C101" t="inlineStr">
        <is>
          <t>กรุงเทพมหานคร</t>
        </is>
      </c>
      <c r="D101" t="inlineStr">
        <is>
          <t>E002S018|I</t>
        </is>
      </c>
      <c r="E101" t="inlineStr">
        <is>
          <t>15.3–15.6</t>
        </is>
      </c>
      <c r="F101" t="inlineStr">
        <is>
          <t>ศรีรัช-วงแหวนรอบนอกกรุงเทพมหานคร</t>
        </is>
      </c>
      <c r="G101" t="n">
        <v>7</v>
      </c>
      <c r="H101" t="n">
        <v>0</v>
      </c>
      <c r="I101" t="n">
        <v>4</v>
      </c>
      <c r="J101" t="n">
        <v>0.5714</v>
      </c>
      <c r="K101" t="inlineStr">
        <is>
          <t>low</t>
        </is>
      </c>
      <c r="L101" s="2" t="n">
        <v>61181.6</v>
      </c>
      <c r="M101" s="2" t="n">
        <v>63324.3</v>
      </c>
      <c r="N101" s="2" t="n">
        <v>62546.5</v>
      </c>
      <c r="O101" s="2">
        <f>AVERAGE(L101:N101)</f>
        <v/>
      </c>
      <c r="P101" t="n">
        <v>3</v>
      </c>
      <c r="Q101" t="n">
        <v>1</v>
      </c>
      <c r="R101" s="2">
        <f>G101*1000000</f>
        <v/>
      </c>
      <c r="S101" s="2">
        <f>365*P101*O101*Q101</f>
        <v/>
      </c>
      <c r="T101" s="7">
        <f>R101/S101</f>
        <v/>
      </c>
      <c r="U101">
        <f>IF(ISNUMBER(T101),RANK(T101,$T$2:$T$127,0),"")</f>
        <v/>
      </c>
    </row>
    <row r="102">
      <c r="A102" t="inlineStr">
        <is>
          <t>zone_308</t>
        </is>
      </c>
      <c r="B102" t="inlineStr">
        <is>
          <t>หมอชิต-กาญจนาฯ</t>
        </is>
      </c>
      <c r="C102" t="inlineStr">
        <is>
          <t>กรุงเทพมหานคร</t>
        </is>
      </c>
      <c r="D102" t="inlineStr">
        <is>
          <t>E002S018|I</t>
        </is>
      </c>
      <c r="E102" t="inlineStr">
        <is>
          <t>2.9–3.1</t>
        </is>
      </c>
      <c r="F102" t="inlineStr">
        <is>
          <t>ศรีรัช-วงแหวนรอบนอกกรุงเทพมหานคร</t>
        </is>
      </c>
      <c r="G102" t="n">
        <v>3</v>
      </c>
      <c r="H102" t="n">
        <v>0</v>
      </c>
      <c r="I102" t="n">
        <v>1</v>
      </c>
      <c r="J102" t="n">
        <v>0.3333</v>
      </c>
      <c r="K102" t="inlineStr">
        <is>
          <t>low</t>
        </is>
      </c>
      <c r="L102" s="2" t="n">
        <v>61181.6</v>
      </c>
      <c r="M102" s="2" t="n">
        <v>63324.3</v>
      </c>
      <c r="N102" s="2" t="n">
        <v>62546.5</v>
      </c>
      <c r="O102" s="2">
        <f>AVERAGE(L102:N102)</f>
        <v/>
      </c>
      <c r="P102" t="n">
        <v>3</v>
      </c>
      <c r="Q102" t="n">
        <v>1</v>
      </c>
      <c r="R102" s="2">
        <f>G102*1000000</f>
        <v/>
      </c>
      <c r="S102" s="2">
        <f>365*P102*O102*Q102</f>
        <v/>
      </c>
      <c r="T102" s="7">
        <f>R102/S102</f>
        <v/>
      </c>
      <c r="U102">
        <f>IF(ISNUMBER(T102),RANK(T102,$T$2:$T$127,0),"")</f>
        <v/>
      </c>
    </row>
    <row r="103">
      <c r="A103" t="inlineStr">
        <is>
          <t>zone_316</t>
        </is>
      </c>
      <c r="B103" t="inlineStr">
        <is>
          <t>หมอชิต-กาญจนาฯ</t>
        </is>
      </c>
      <c r="C103" t="inlineStr">
        <is>
          <t>กรุงเทพมหานคร</t>
        </is>
      </c>
      <c r="D103" t="inlineStr">
        <is>
          <t>E002S018|I</t>
        </is>
      </c>
      <c r="E103" t="inlineStr">
        <is>
          <t>11.7–12</t>
        </is>
      </c>
      <c r="F103" t="inlineStr">
        <is>
          <t>ศรีรัช-วงแหวนรอบนอกกรุงเทพมหานคร</t>
        </is>
      </c>
      <c r="G103" t="n">
        <v>5</v>
      </c>
      <c r="H103" t="n">
        <v>0</v>
      </c>
      <c r="I103" t="n">
        <v>1</v>
      </c>
      <c r="J103" t="n">
        <v>0.2</v>
      </c>
      <c r="K103" t="inlineStr">
        <is>
          <t>low</t>
        </is>
      </c>
      <c r="L103" s="2" t="n">
        <v>61181.6</v>
      </c>
      <c r="M103" s="2" t="n">
        <v>63324.3</v>
      </c>
      <c r="N103" s="2" t="n">
        <v>62546.5</v>
      </c>
      <c r="O103" s="2">
        <f>AVERAGE(L103:N103)</f>
        <v/>
      </c>
      <c r="P103" t="n">
        <v>3</v>
      </c>
      <c r="Q103" t="n">
        <v>1</v>
      </c>
      <c r="R103" s="2">
        <f>G103*1000000</f>
        <v/>
      </c>
      <c r="S103" s="2">
        <f>365*P103*O103*Q103</f>
        <v/>
      </c>
      <c r="T103" s="7">
        <f>R103/S103</f>
        <v/>
      </c>
      <c r="U103">
        <f>IF(ISNUMBER(T103),RANK(T103,$T$2:$T$127,0),"")</f>
        <v/>
      </c>
    </row>
    <row r="104">
      <c r="A104" t="inlineStr">
        <is>
          <t>zone_317</t>
        </is>
      </c>
      <c r="B104" t="inlineStr">
        <is>
          <t>หมอชิต-กาญจนาฯ</t>
        </is>
      </c>
      <c r="C104" t="inlineStr">
        <is>
          <t>กรุงเทพมหานคร</t>
        </is>
      </c>
      <c r="D104" t="inlineStr">
        <is>
          <t>E002S018|U</t>
        </is>
      </c>
      <c r="E104" t="inlineStr">
        <is>
          <t>10.8–11</t>
        </is>
      </c>
      <c r="F104" t="inlineStr">
        <is>
          <t>ศรีรัช-วงแหวนรอบนอกกรุงเทพมหานคร</t>
        </is>
      </c>
      <c r="G104" t="n">
        <v>7</v>
      </c>
      <c r="H104" t="n">
        <v>0</v>
      </c>
      <c r="I104" t="n">
        <v>1</v>
      </c>
      <c r="J104" t="n">
        <v>0.1429</v>
      </c>
      <c r="K104" t="inlineStr">
        <is>
          <t>low</t>
        </is>
      </c>
      <c r="L104" s="2" t="n">
        <v>61181.6</v>
      </c>
      <c r="M104" s="2" t="n">
        <v>63324.3</v>
      </c>
      <c r="N104" s="2" t="n">
        <v>62546.5</v>
      </c>
      <c r="O104" s="2">
        <f>AVERAGE(L104:N104)</f>
        <v/>
      </c>
      <c r="P104" t="n">
        <v>3</v>
      </c>
      <c r="Q104" t="n">
        <v>1</v>
      </c>
      <c r="R104" s="2">
        <f>G104*1000000</f>
        <v/>
      </c>
      <c r="S104" s="2">
        <f>365*P104*O104*Q104</f>
        <v/>
      </c>
      <c r="T104" s="7">
        <f>R104/S104</f>
        <v/>
      </c>
      <c r="U104">
        <f>IF(ISNUMBER(T104),RANK(T104,$T$2:$T$127,0),"")</f>
        <v/>
      </c>
    </row>
    <row r="105">
      <c r="A105" t="inlineStr">
        <is>
          <t>zone_334</t>
        </is>
      </c>
      <c r="B105" t="inlineStr">
        <is>
          <t>บางปะอิน-แจ้งวัฒนะ</t>
        </is>
      </c>
      <c r="C105" t="inlineStr">
        <is>
          <t>นนทบุรี</t>
        </is>
      </c>
      <c r="D105" t="inlineStr">
        <is>
          <t>E005S012|I</t>
        </is>
      </c>
      <c r="E105" t="inlineStr">
        <is>
          <t>0.6–0.8</t>
        </is>
      </c>
      <c r="F105" t="inlineStr">
        <is>
          <t>อุดรรัถยา</t>
        </is>
      </c>
      <c r="G105" t="n">
        <v>3</v>
      </c>
      <c r="H105" t="n">
        <v>0</v>
      </c>
      <c r="I105" t="n">
        <v>1</v>
      </c>
      <c r="J105" t="n">
        <v>0.3333</v>
      </c>
      <c r="K105" t="inlineStr">
        <is>
          <t>low</t>
        </is>
      </c>
      <c r="L105" s="2" t="n">
        <v>77540.5</v>
      </c>
      <c r="M105" s="2" t="n">
        <v>78380.60000000001</v>
      </c>
      <c r="N105" s="2" t="n">
        <v>76850.60000000001</v>
      </c>
      <c r="O105" s="2">
        <f>AVERAGE(L105:N105)</f>
        <v/>
      </c>
      <c r="P105" t="n">
        <v>3</v>
      </c>
      <c r="Q105" t="n">
        <v>1</v>
      </c>
      <c r="R105" s="2">
        <f>G105*1000000</f>
        <v/>
      </c>
      <c r="S105" s="2">
        <f>365*P105*O105*Q105</f>
        <v/>
      </c>
      <c r="T105" s="7">
        <f>R105/S105</f>
        <v/>
      </c>
      <c r="U105">
        <f>IF(ISNUMBER(T105),RANK(T105,$T$2:$T$127,0),"")</f>
        <v/>
      </c>
    </row>
    <row r="106">
      <c r="A106" t="inlineStr">
        <is>
          <t>zone_351</t>
        </is>
      </c>
      <c r="B106" t="inlineStr">
        <is>
          <t>บางปะอิน-แจ้งวัฒนะ</t>
        </is>
      </c>
      <c r="C106" t="inlineStr">
        <is>
          <t>นนทบุรี</t>
        </is>
      </c>
      <c r="D106" t="inlineStr">
        <is>
          <t>E005S012|U</t>
        </is>
      </c>
      <c r="E106" t="inlineStr">
        <is>
          <t>0.2–1</t>
        </is>
      </c>
      <c r="F106" t="inlineStr">
        <is>
          <t>อุดรรัถยา</t>
        </is>
      </c>
      <c r="G106" t="n">
        <v>3</v>
      </c>
      <c r="H106" t="n">
        <v>0</v>
      </c>
      <c r="I106" t="n">
        <v>0</v>
      </c>
      <c r="J106" t="n">
        <v>0</v>
      </c>
      <c r="K106" t="inlineStr">
        <is>
          <t>low</t>
        </is>
      </c>
      <c r="L106" s="2" t="n">
        <v>77540.5</v>
      </c>
      <c r="M106" s="2" t="n">
        <v>78380.60000000001</v>
      </c>
      <c r="N106" s="2" t="n">
        <v>76850.60000000001</v>
      </c>
      <c r="O106" s="2">
        <f>AVERAGE(L106:N106)</f>
        <v/>
      </c>
      <c r="P106" t="n">
        <v>3</v>
      </c>
      <c r="Q106" t="n">
        <v>1</v>
      </c>
      <c r="R106" s="2">
        <f>G106*1000000</f>
        <v/>
      </c>
      <c r="S106" s="2">
        <f>365*P106*O106*Q106</f>
        <v/>
      </c>
      <c r="T106" s="7">
        <f>R106/S106</f>
        <v/>
      </c>
      <c r="U106">
        <f>IF(ISNUMBER(T106),RANK(T106,$T$2:$T$127,0),"")</f>
        <v/>
      </c>
    </row>
    <row r="107">
      <c r="A107" t="inlineStr">
        <is>
          <t>zone_352</t>
        </is>
      </c>
      <c r="B107" t="inlineStr">
        <is>
          <t>บางปะอิน-แจ้งวัฒนะ</t>
        </is>
      </c>
      <c r="C107" t="inlineStr">
        <is>
          <t>นนทบุรี</t>
        </is>
      </c>
      <c r="D107" t="inlineStr">
        <is>
          <t>E005S012|U</t>
        </is>
      </c>
      <c r="E107" t="inlineStr">
        <is>
          <t>2.4–2.5</t>
        </is>
      </c>
      <c r="F107" t="inlineStr">
        <is>
          <t>อุดรรัถยา</t>
        </is>
      </c>
      <c r="G107" t="n">
        <v>3</v>
      </c>
      <c r="H107" t="n">
        <v>0</v>
      </c>
      <c r="I107" t="n">
        <v>0</v>
      </c>
      <c r="J107" t="n">
        <v>0</v>
      </c>
      <c r="K107" t="inlineStr">
        <is>
          <t>low</t>
        </is>
      </c>
      <c r="L107" s="2" t="n">
        <v>77540.5</v>
      </c>
      <c r="M107" s="2" t="n">
        <v>78380.60000000001</v>
      </c>
      <c r="N107" s="2" t="n">
        <v>76850.60000000001</v>
      </c>
      <c r="O107" s="2">
        <f>AVERAGE(L107:N107)</f>
        <v/>
      </c>
      <c r="P107" t="n">
        <v>3</v>
      </c>
      <c r="Q107" t="n">
        <v>1</v>
      </c>
      <c r="R107" s="2">
        <f>G107*1000000</f>
        <v/>
      </c>
      <c r="S107" s="2">
        <f>365*P107*O107*Q107</f>
        <v/>
      </c>
      <c r="T107" s="7">
        <f>R107/S107</f>
        <v/>
      </c>
      <c r="U107">
        <f>IF(ISNUMBER(T107),RANK(T107,$T$2:$T$127,0),"")</f>
        <v/>
      </c>
    </row>
    <row r="108">
      <c r="A108" t="inlineStr">
        <is>
          <t>zone_353</t>
        </is>
      </c>
      <c r="B108" t="inlineStr">
        <is>
          <t>บางปะอิน-แจ้งวัฒนะ</t>
        </is>
      </c>
      <c r="C108" t="inlineStr">
        <is>
          <t>นนทบุรี</t>
        </is>
      </c>
      <c r="D108" t="inlineStr">
        <is>
          <t>E005S012|I</t>
        </is>
      </c>
      <c r="E108" t="inlineStr">
        <is>
          <t>3.8–3.9</t>
        </is>
      </c>
      <c r="F108" t="inlineStr">
        <is>
          <t>อุดรรัถยา</t>
        </is>
      </c>
      <c r="G108" t="n">
        <v>5</v>
      </c>
      <c r="H108" t="n">
        <v>0</v>
      </c>
      <c r="I108" t="n">
        <v>4</v>
      </c>
      <c r="J108" t="n">
        <v>0.8</v>
      </c>
      <c r="K108" t="inlineStr">
        <is>
          <t>low</t>
        </is>
      </c>
      <c r="L108" s="2" t="n">
        <v>77540.5</v>
      </c>
      <c r="M108" s="2" t="n">
        <v>78380.60000000001</v>
      </c>
      <c r="N108" s="2" t="n">
        <v>76850.60000000001</v>
      </c>
      <c r="O108" s="2">
        <f>AVERAGE(L108:N108)</f>
        <v/>
      </c>
      <c r="P108" t="n">
        <v>3</v>
      </c>
      <c r="Q108" t="n">
        <v>1</v>
      </c>
      <c r="R108" s="2">
        <f>G108*1000000</f>
        <v/>
      </c>
      <c r="S108" s="2">
        <f>365*P108*O108*Q108</f>
        <v/>
      </c>
      <c r="T108" s="7">
        <f>R108/S108</f>
        <v/>
      </c>
      <c r="U108">
        <f>IF(ISNUMBER(T108),RANK(T108,$T$2:$T$127,0),"")</f>
        <v/>
      </c>
    </row>
    <row r="109">
      <c r="A109" t="inlineStr">
        <is>
          <t>zone_430</t>
        </is>
      </c>
      <c r="B109" t="inlineStr">
        <is>
          <t>บางปะอิน-แจ้งวัฒนะ</t>
        </is>
      </c>
      <c r="C109" t="inlineStr">
        <is>
          <t>ปทุมธานี</t>
        </is>
      </c>
      <c r="D109" t="inlineStr">
        <is>
          <t>E005S012|U</t>
        </is>
      </c>
      <c r="E109" t="inlineStr">
        <is>
          <t>10.6–10.8</t>
        </is>
      </c>
      <c r="F109" t="inlineStr">
        <is>
          <t>อุดรรัถยา</t>
        </is>
      </c>
      <c r="G109" t="n">
        <v>4</v>
      </c>
      <c r="H109" t="n">
        <v>0</v>
      </c>
      <c r="I109" t="n">
        <v>1</v>
      </c>
      <c r="J109" t="n">
        <v>0.25</v>
      </c>
      <c r="K109" t="inlineStr">
        <is>
          <t>low</t>
        </is>
      </c>
      <c r="L109" s="2" t="n">
        <v>77540.5</v>
      </c>
      <c r="M109" s="2" t="n">
        <v>78380.60000000001</v>
      </c>
      <c r="N109" s="2" t="n">
        <v>76850.60000000001</v>
      </c>
      <c r="O109" s="2">
        <f>AVERAGE(L109:N109)</f>
        <v/>
      </c>
      <c r="P109" t="n">
        <v>3</v>
      </c>
      <c r="Q109" t="n">
        <v>1</v>
      </c>
      <c r="R109" s="2">
        <f>G109*1000000</f>
        <v/>
      </c>
      <c r="S109" s="2">
        <f>365*P109*O109*Q109</f>
        <v/>
      </c>
      <c r="T109" s="7">
        <f>R109/S109</f>
        <v/>
      </c>
      <c r="U109">
        <f>IF(ISNUMBER(T109),RANK(T109,$T$2:$T$127,0),"")</f>
        <v/>
      </c>
    </row>
    <row r="110">
      <c r="A110" t="inlineStr">
        <is>
          <t>zone_436</t>
        </is>
      </c>
      <c r="B110" t="inlineStr">
        <is>
          <t>บางปะอิน-แจ้งวัฒนะ</t>
        </is>
      </c>
      <c r="C110" t="inlineStr">
        <is>
          <t>ปทุมธานี</t>
        </is>
      </c>
      <c r="D110" t="inlineStr">
        <is>
          <t>E005S012|U</t>
        </is>
      </c>
      <c r="E110" t="inlineStr">
        <is>
          <t>17.1–17.1</t>
        </is>
      </c>
      <c r="F110" t="inlineStr">
        <is>
          <t>อุดรรัถยา</t>
        </is>
      </c>
      <c r="G110" t="n">
        <v>3</v>
      </c>
      <c r="H110" t="n">
        <v>0</v>
      </c>
      <c r="I110" t="n">
        <v>3</v>
      </c>
      <c r="J110" t="n">
        <v>1</v>
      </c>
      <c r="K110" t="inlineStr">
        <is>
          <t>medium</t>
        </is>
      </c>
      <c r="L110" s="2" t="n">
        <v>77540.5</v>
      </c>
      <c r="M110" s="2" t="n">
        <v>78380.60000000001</v>
      </c>
      <c r="N110" s="2" t="n">
        <v>76850.60000000001</v>
      </c>
      <c r="O110" s="2">
        <f>AVERAGE(L110:N110)</f>
        <v/>
      </c>
      <c r="P110" t="n">
        <v>3</v>
      </c>
      <c r="Q110" t="n">
        <v>1</v>
      </c>
      <c r="R110" s="2">
        <f>G110*1000000</f>
        <v/>
      </c>
      <c r="S110" s="2">
        <f>365*P110*O110*Q110</f>
        <v/>
      </c>
      <c r="T110" s="7">
        <f>R110/S110</f>
        <v/>
      </c>
      <c r="U110">
        <f>IF(ISNUMBER(T110),RANK(T110,$T$2:$T$127,0),"")</f>
        <v/>
      </c>
    </row>
    <row r="111">
      <c r="A111" t="inlineStr">
        <is>
          <t>zone_438</t>
        </is>
      </c>
      <c r="B111" t="inlineStr">
        <is>
          <t>บางปะอิน-แจ้งวัฒนะ</t>
        </is>
      </c>
      <c r="C111" t="inlineStr">
        <is>
          <t>ปทุมธานี</t>
        </is>
      </c>
      <c r="D111" t="inlineStr">
        <is>
          <t>E005S012|U</t>
        </is>
      </c>
      <c r="E111" t="inlineStr">
        <is>
          <t>23.5–23.6</t>
        </is>
      </c>
      <c r="F111" t="inlineStr">
        <is>
          <t>อุดรรัถยา</t>
        </is>
      </c>
      <c r="G111" t="n">
        <v>3</v>
      </c>
      <c r="H111" t="n">
        <v>0</v>
      </c>
      <c r="I111" t="n">
        <v>1</v>
      </c>
      <c r="J111" t="n">
        <v>0.3333</v>
      </c>
      <c r="K111" t="inlineStr">
        <is>
          <t>low</t>
        </is>
      </c>
      <c r="L111" s="2" t="n">
        <v>77540.5</v>
      </c>
      <c r="M111" s="2" t="n">
        <v>78380.60000000001</v>
      </c>
      <c r="N111" s="2" t="n">
        <v>76850.60000000001</v>
      </c>
      <c r="O111" s="2">
        <f>AVERAGE(L111:N111)</f>
        <v/>
      </c>
      <c r="P111" t="n">
        <v>3</v>
      </c>
      <c r="Q111" t="n">
        <v>1</v>
      </c>
      <c r="R111" s="2">
        <f>G111*1000000</f>
        <v/>
      </c>
      <c r="S111" s="2">
        <f>365*P111*O111*Q111</f>
        <v/>
      </c>
      <c r="T111" s="7">
        <f>R111/S111</f>
        <v/>
      </c>
      <c r="U111">
        <f>IF(ISNUMBER(T111),RANK(T111,$T$2:$T$127,0),"")</f>
        <v/>
      </c>
    </row>
    <row r="112">
      <c r="A112" t="inlineStr">
        <is>
          <t>zone_439</t>
        </is>
      </c>
      <c r="B112" t="inlineStr">
        <is>
          <t>บางปะอิน-แจ้งวัฒนะ</t>
        </is>
      </c>
      <c r="C112" t="inlineStr">
        <is>
          <t>ปทุมธานี</t>
        </is>
      </c>
      <c r="D112" t="inlineStr">
        <is>
          <t>E005S012|I</t>
        </is>
      </c>
      <c r="E112" t="inlineStr">
        <is>
          <t>7.8–8</t>
        </is>
      </c>
      <c r="F112" t="inlineStr">
        <is>
          <t>อุดรรัถยา</t>
        </is>
      </c>
      <c r="G112" t="n">
        <v>3</v>
      </c>
      <c r="H112" t="n">
        <v>0</v>
      </c>
      <c r="I112" t="n">
        <v>1</v>
      </c>
      <c r="J112" t="n">
        <v>0.3333</v>
      </c>
      <c r="K112" t="inlineStr">
        <is>
          <t>low</t>
        </is>
      </c>
      <c r="L112" s="2" t="n">
        <v>77540.5</v>
      </c>
      <c r="M112" s="2" t="n">
        <v>78380.60000000001</v>
      </c>
      <c r="N112" s="2" t="n">
        <v>76850.60000000001</v>
      </c>
      <c r="O112" s="2">
        <f>AVERAGE(L112:N112)</f>
        <v/>
      </c>
      <c r="P112" t="n">
        <v>3</v>
      </c>
      <c r="Q112" t="n">
        <v>1</v>
      </c>
      <c r="R112" s="2">
        <f>G112*1000000</f>
        <v/>
      </c>
      <c r="S112" s="2">
        <f>365*P112*O112*Q112</f>
        <v/>
      </c>
      <c r="T112" s="7">
        <f>R112/S112</f>
        <v/>
      </c>
      <c r="U112">
        <f>IF(ISNUMBER(T112),RANK(T112,$T$2:$T$127,0),"")</f>
        <v/>
      </c>
    </row>
    <row r="113">
      <c r="A113" t="inlineStr">
        <is>
          <t>zone_443</t>
        </is>
      </c>
      <c r="B113" t="inlineStr">
        <is>
          <t>บางปะอิน-แจ้งวัฒนะ</t>
        </is>
      </c>
      <c r="C113" t="inlineStr">
        <is>
          <t>ปทุมธานี</t>
        </is>
      </c>
      <c r="D113" t="inlineStr">
        <is>
          <t>E005S012|U</t>
        </is>
      </c>
      <c r="E113" t="inlineStr">
        <is>
          <t>18.9–19</t>
        </is>
      </c>
      <c r="F113" t="inlineStr">
        <is>
          <t>อุดรรัถยา</t>
        </is>
      </c>
      <c r="G113" t="n">
        <v>3</v>
      </c>
      <c r="H113" t="n">
        <v>0</v>
      </c>
      <c r="I113" t="n">
        <v>4</v>
      </c>
      <c r="J113" t="n">
        <v>1.3333</v>
      </c>
      <c r="K113" t="inlineStr">
        <is>
          <t>medium</t>
        </is>
      </c>
      <c r="L113" s="2" t="n">
        <v>77540.5</v>
      </c>
      <c r="M113" s="2" t="n">
        <v>78380.60000000001</v>
      </c>
      <c r="N113" s="2" t="n">
        <v>76850.60000000001</v>
      </c>
      <c r="O113" s="2">
        <f>AVERAGE(L113:N113)</f>
        <v/>
      </c>
      <c r="P113" t="n">
        <v>3</v>
      </c>
      <c r="Q113" t="n">
        <v>1</v>
      </c>
      <c r="R113" s="2">
        <f>G113*1000000</f>
        <v/>
      </c>
      <c r="S113" s="2">
        <f>365*P113*O113*Q113</f>
        <v/>
      </c>
      <c r="T113" s="7">
        <f>R113/S113</f>
        <v/>
      </c>
      <c r="U113">
        <f>IF(ISNUMBER(T113),RANK(T113,$T$2:$T$127,0),"")</f>
        <v/>
      </c>
    </row>
    <row r="114">
      <c r="A114" t="inlineStr">
        <is>
          <t>zone_444</t>
        </is>
      </c>
      <c r="B114" t="inlineStr">
        <is>
          <t>บางปะอิน-แจ้งวัฒนะ</t>
        </is>
      </c>
      <c r="C114" t="inlineStr">
        <is>
          <t>ปทุมธานี</t>
        </is>
      </c>
      <c r="D114" t="inlineStr">
        <is>
          <t>E005S012|U</t>
        </is>
      </c>
      <c r="E114" t="inlineStr">
        <is>
          <t>18.6–18.7</t>
        </is>
      </c>
      <c r="F114" t="inlineStr">
        <is>
          <t>อุดรรัถยา</t>
        </is>
      </c>
      <c r="G114" t="n">
        <v>3</v>
      </c>
      <c r="H114" t="n">
        <v>0</v>
      </c>
      <c r="I114" t="n">
        <v>8</v>
      </c>
      <c r="J114" t="n">
        <v>2.6667</v>
      </c>
      <c r="K114" t="inlineStr">
        <is>
          <t>high</t>
        </is>
      </c>
      <c r="L114" s="2" t="n">
        <v>77540.5</v>
      </c>
      <c r="M114" s="2" t="n">
        <v>78380.60000000001</v>
      </c>
      <c r="N114" s="2" t="n">
        <v>76850.60000000001</v>
      </c>
      <c r="O114" s="2">
        <f>AVERAGE(L114:N114)</f>
        <v/>
      </c>
      <c r="P114" t="n">
        <v>3</v>
      </c>
      <c r="Q114" t="n">
        <v>1</v>
      </c>
      <c r="R114" s="2">
        <f>G114*1000000</f>
        <v/>
      </c>
      <c r="S114" s="2">
        <f>365*P114*O114*Q114</f>
        <v/>
      </c>
      <c r="T114" s="7">
        <f>R114/S114</f>
        <v/>
      </c>
      <c r="U114">
        <f>IF(ISNUMBER(T114),RANK(T114,$T$2:$T$127,0),"")</f>
        <v/>
      </c>
    </row>
    <row r="115">
      <c r="A115" t="inlineStr">
        <is>
          <t>zone_118</t>
        </is>
      </c>
      <c r="B115" t="inlineStr">
        <is>
          <t>ดินแดง-ท่าเรือ</t>
        </is>
      </c>
      <c r="C115" t="inlineStr">
        <is>
          <t>กรุงเทพมหานคร</t>
        </is>
      </c>
      <c r="D115" t="inlineStr">
        <is>
          <t>E001S001|I</t>
        </is>
      </c>
      <c r="E115" t="inlineStr">
        <is>
          <t>5.8–6.7</t>
        </is>
      </c>
      <c r="F115" t="inlineStr">
        <is>
          <t>เฉลิมมหานคร</t>
        </is>
      </c>
      <c r="G115" t="n">
        <v>14</v>
      </c>
      <c r="H115" t="n">
        <v>0</v>
      </c>
      <c r="I115" t="n">
        <v>7</v>
      </c>
      <c r="J115" t="n">
        <v>0.5</v>
      </c>
      <c r="K115" t="inlineStr">
        <is>
          <t>low</t>
        </is>
      </c>
      <c r="L115" s="2" t="n">
        <v>307323.1</v>
      </c>
      <c r="M115" s="2" t="n">
        <v>305805</v>
      </c>
      <c r="N115" s="2" t="n">
        <v>304213.9</v>
      </c>
      <c r="O115" s="2">
        <f>AVERAGE(L115:N115)</f>
        <v/>
      </c>
      <c r="P115" t="n">
        <v>3</v>
      </c>
      <c r="Q115" t="n">
        <v>1</v>
      </c>
      <c r="R115" s="2">
        <f>G115*1000000</f>
        <v/>
      </c>
      <c r="S115" s="2">
        <f>365*P115*O115*Q115</f>
        <v/>
      </c>
      <c r="T115" s="7">
        <f>R115/S115</f>
        <v/>
      </c>
      <c r="U115">
        <f>IF(ISNUMBER(T115),RANK(T115,$T$2:$T$127,0),"")</f>
        <v/>
      </c>
    </row>
    <row r="116">
      <c r="A116" t="inlineStr">
        <is>
          <t>zone_133</t>
        </is>
      </c>
      <c r="B116" t="inlineStr">
        <is>
          <t>ดาวคะนอง-ท่าเรือ</t>
        </is>
      </c>
      <c r="C116" t="inlineStr">
        <is>
          <t>กรุงเทพมหานคร</t>
        </is>
      </c>
      <c r="D116" t="inlineStr">
        <is>
          <t>E001S003|I</t>
        </is>
      </c>
      <c r="E116" t="inlineStr">
        <is>
          <t>24.9–25.4</t>
        </is>
      </c>
      <c r="F116" t="inlineStr">
        <is>
          <t>เฉลิมมหานคร</t>
        </is>
      </c>
      <c r="G116" t="n">
        <v>13</v>
      </c>
      <c r="H116" t="n">
        <v>0</v>
      </c>
      <c r="I116" t="n">
        <v>9</v>
      </c>
      <c r="J116" t="n">
        <v>0.6923</v>
      </c>
      <c r="K116" t="inlineStr">
        <is>
          <t>low</t>
        </is>
      </c>
      <c r="L116" s="2" t="n">
        <v>307323.1</v>
      </c>
      <c r="M116" s="2" t="n">
        <v>305805</v>
      </c>
      <c r="N116" s="2" t="n">
        <v>304213.9</v>
      </c>
      <c r="O116" s="2">
        <f>AVERAGE(L116:N116)</f>
        <v/>
      </c>
      <c r="P116" t="n">
        <v>3</v>
      </c>
      <c r="Q116" t="n">
        <v>1</v>
      </c>
      <c r="R116" s="2">
        <f>G116*1000000</f>
        <v/>
      </c>
      <c r="S116" s="2">
        <f>365*P116*O116*Q116</f>
        <v/>
      </c>
      <c r="T116" s="7">
        <f>R116/S116</f>
        <v/>
      </c>
      <c r="U116">
        <f>IF(ISNUMBER(T116),RANK(T116,$T$2:$T$127,0),"")</f>
        <v/>
      </c>
    </row>
    <row r="117">
      <c r="A117" t="inlineStr">
        <is>
          <t>zone_143</t>
        </is>
      </c>
      <c r="B117" t="inlineStr">
        <is>
          <t>ดาวคะนอง-ท่าเรือ</t>
        </is>
      </c>
      <c r="C117" t="inlineStr">
        <is>
          <t>กรุงเทพมหานคร</t>
        </is>
      </c>
      <c r="D117" t="inlineStr">
        <is>
          <t>E001S003|I</t>
        </is>
      </c>
      <c r="E117" t="inlineStr">
        <is>
          <t>22.4–22.5</t>
        </is>
      </c>
      <c r="F117" t="inlineStr">
        <is>
          <t>เฉลิมมหานคร</t>
        </is>
      </c>
      <c r="G117" t="n">
        <v>3</v>
      </c>
      <c r="H117" t="n">
        <v>0</v>
      </c>
      <c r="I117" t="n">
        <v>5</v>
      </c>
      <c r="J117" t="n">
        <v>1.6667</v>
      </c>
      <c r="K117" t="inlineStr">
        <is>
          <t>medium</t>
        </is>
      </c>
      <c r="L117" s="2" t="n">
        <v>307323.1</v>
      </c>
      <c r="M117" s="2" t="n">
        <v>305805</v>
      </c>
      <c r="N117" s="2" t="n">
        <v>304213.9</v>
      </c>
      <c r="O117" s="2">
        <f>AVERAGE(L117:N117)</f>
        <v/>
      </c>
      <c r="P117" t="n">
        <v>3</v>
      </c>
      <c r="Q117" t="n">
        <v>1</v>
      </c>
      <c r="R117" s="2">
        <f>G117*1000000</f>
        <v/>
      </c>
      <c r="S117" s="2">
        <f>365*P117*O117*Q117</f>
        <v/>
      </c>
      <c r="T117" s="7">
        <f>R117/S117</f>
        <v/>
      </c>
      <c r="U117">
        <f>IF(ISNUMBER(T117),RANK(T117,$T$2:$T$127,0),"")</f>
        <v/>
      </c>
    </row>
    <row r="118">
      <c r="A118" t="inlineStr">
        <is>
          <t>zone_208</t>
        </is>
      </c>
      <c r="B118" t="inlineStr">
        <is>
          <t>ดินแดง-ท่าเรือ</t>
        </is>
      </c>
      <c r="C118" t="inlineStr">
        <is>
          <t>กรุงเทพมหานคร</t>
        </is>
      </c>
      <c r="D118" t="inlineStr">
        <is>
          <t>E001S001|U</t>
        </is>
      </c>
      <c r="E118" t="inlineStr">
        <is>
          <t>4.4–5.5</t>
        </is>
      </c>
      <c r="F118" t="inlineStr">
        <is>
          <t>เฉลิมมหานคร</t>
        </is>
      </c>
      <c r="G118" t="n">
        <v>36</v>
      </c>
      <c r="H118" t="n">
        <v>0</v>
      </c>
      <c r="I118" t="n">
        <v>31</v>
      </c>
      <c r="J118" t="n">
        <v>0.8611</v>
      </c>
      <c r="K118" t="inlineStr">
        <is>
          <t>low</t>
        </is>
      </c>
      <c r="L118" s="2" t="n">
        <v>307323.1</v>
      </c>
      <c r="M118" s="2" t="n">
        <v>305805</v>
      </c>
      <c r="N118" s="2" t="n">
        <v>304213.9</v>
      </c>
      <c r="O118" s="2">
        <f>AVERAGE(L118:N118)</f>
        <v/>
      </c>
      <c r="P118" t="n">
        <v>3</v>
      </c>
      <c r="Q118" t="n">
        <v>1</v>
      </c>
      <c r="R118" s="2">
        <f>G118*1000000</f>
        <v/>
      </c>
      <c r="S118" s="2">
        <f>365*P118*O118*Q118</f>
        <v/>
      </c>
      <c r="T118" s="7">
        <f>R118/S118</f>
        <v/>
      </c>
      <c r="U118">
        <f>IF(ISNUMBER(T118),RANK(T118,$T$2:$T$127,0),"")</f>
        <v/>
      </c>
    </row>
    <row r="119">
      <c r="A119" t="inlineStr">
        <is>
          <t>zone_216</t>
        </is>
      </c>
      <c r="B119" t="inlineStr">
        <is>
          <t>ดาวคะนอง-ท่าเรือ</t>
        </is>
      </c>
      <c r="C119" t="inlineStr">
        <is>
          <t>กรุงเทพมหานคร</t>
        </is>
      </c>
      <c r="D119" t="inlineStr">
        <is>
          <t>E001S003|I</t>
        </is>
      </c>
      <c r="E119" t="inlineStr">
        <is>
          <t>26.2–26.8</t>
        </is>
      </c>
      <c r="F119" t="inlineStr">
        <is>
          <t>เฉลิมมหานคร</t>
        </is>
      </c>
      <c r="G119" t="n">
        <v>9</v>
      </c>
      <c r="H119" t="n">
        <v>0</v>
      </c>
      <c r="I119" t="n">
        <v>17</v>
      </c>
      <c r="J119" t="n">
        <v>1.8889</v>
      </c>
      <c r="K119" t="inlineStr">
        <is>
          <t>medium</t>
        </is>
      </c>
      <c r="L119" s="2" t="n">
        <v>307323.1</v>
      </c>
      <c r="M119" s="2" t="n">
        <v>305805</v>
      </c>
      <c r="N119" s="2" t="n">
        <v>304213.9</v>
      </c>
      <c r="O119" s="2">
        <f>AVERAGE(L119:N119)</f>
        <v/>
      </c>
      <c r="P119" t="n">
        <v>3</v>
      </c>
      <c r="Q119" t="n">
        <v>1</v>
      </c>
      <c r="R119" s="2">
        <f>G119*1000000</f>
        <v/>
      </c>
      <c r="S119" s="2">
        <f>365*P119*O119*Q119</f>
        <v/>
      </c>
      <c r="T119" s="7">
        <f>R119/S119</f>
        <v/>
      </c>
      <c r="U119">
        <f>IF(ISNUMBER(T119),RANK(T119,$T$2:$T$127,0),"")</f>
        <v/>
      </c>
    </row>
    <row r="120">
      <c r="A120" t="inlineStr">
        <is>
          <t>zone_257</t>
        </is>
      </c>
      <c r="B120" t="inlineStr">
        <is>
          <t>ดาวคะนอง-ท่าเรือ</t>
        </is>
      </c>
      <c r="C120" t="inlineStr">
        <is>
          <t>กรุงเทพมหานคร</t>
        </is>
      </c>
      <c r="D120" t="inlineStr">
        <is>
          <t>E001S003|U</t>
        </is>
      </c>
      <c r="E120" t="inlineStr">
        <is>
          <t>23.5–23.5</t>
        </is>
      </c>
      <c r="F120" t="inlineStr">
        <is>
          <t>เฉลิมมหานคร</t>
        </is>
      </c>
      <c r="G120" t="n">
        <v>5</v>
      </c>
      <c r="H120" t="n">
        <v>0</v>
      </c>
      <c r="I120" t="n">
        <v>1</v>
      </c>
      <c r="J120" t="n">
        <v>0.2</v>
      </c>
      <c r="K120" t="inlineStr">
        <is>
          <t>low</t>
        </is>
      </c>
      <c r="L120" s="2" t="n">
        <v>307323.1</v>
      </c>
      <c r="M120" s="2" t="n">
        <v>305805</v>
      </c>
      <c r="N120" s="2" t="n">
        <v>304213.9</v>
      </c>
      <c r="O120" s="2">
        <f>AVERAGE(L120:N120)</f>
        <v/>
      </c>
      <c r="P120" t="n">
        <v>3</v>
      </c>
      <c r="Q120" t="n">
        <v>1</v>
      </c>
      <c r="R120" s="2">
        <f>G120*1000000</f>
        <v/>
      </c>
      <c r="S120" s="2">
        <f>365*P120*O120*Q120</f>
        <v/>
      </c>
      <c r="T120" s="7">
        <f>R120/S120</f>
        <v/>
      </c>
      <c r="U120">
        <f>IF(ISNUMBER(T120),RANK(T120,$T$2:$T$127,0),"")</f>
        <v/>
      </c>
    </row>
    <row r="121">
      <c r="A121" t="inlineStr">
        <is>
          <t>zone_263</t>
        </is>
      </c>
      <c r="B121" t="inlineStr">
        <is>
          <t>ดาวคะนอง-ท่าเรือ</t>
        </is>
      </c>
      <c r="C121" t="inlineStr">
        <is>
          <t>กรุงเทพมหานคร</t>
        </is>
      </c>
      <c r="D121" t="inlineStr">
        <is>
          <t>E001S003|I</t>
        </is>
      </c>
      <c r="E121" t="inlineStr">
        <is>
          <t>23–23</t>
        </is>
      </c>
      <c r="F121" t="inlineStr">
        <is>
          <t>เฉลิมมหานคร</t>
        </is>
      </c>
      <c r="G121" t="n">
        <v>9</v>
      </c>
      <c r="H121" t="n">
        <v>0</v>
      </c>
      <c r="I121" t="n">
        <v>2</v>
      </c>
      <c r="J121" t="n">
        <v>0.2222</v>
      </c>
      <c r="K121" t="inlineStr">
        <is>
          <t>low</t>
        </is>
      </c>
      <c r="L121" s="2" t="n">
        <v>307323.1</v>
      </c>
      <c r="M121" s="2" t="n">
        <v>305805</v>
      </c>
      <c r="N121" s="2" t="n">
        <v>304213.9</v>
      </c>
      <c r="O121" s="2">
        <f>AVERAGE(L121:N121)</f>
        <v/>
      </c>
      <c r="P121" t="n">
        <v>3</v>
      </c>
      <c r="Q121" t="n">
        <v>1</v>
      </c>
      <c r="R121" s="2">
        <f>G121*1000000</f>
        <v/>
      </c>
      <c r="S121" s="2">
        <f>365*P121*O121*Q121</f>
        <v/>
      </c>
      <c r="T121" s="7">
        <f>R121/S121</f>
        <v/>
      </c>
      <c r="U121">
        <f>IF(ISNUMBER(T121),RANK(T121,$T$2:$T$127,0),"")</f>
        <v/>
      </c>
    </row>
    <row r="122">
      <c r="A122" t="inlineStr">
        <is>
          <t>zone_301</t>
        </is>
      </c>
      <c r="B122" t="inlineStr">
        <is>
          <t>บางนา-ท่าเรือ</t>
        </is>
      </c>
      <c r="C122" t="inlineStr">
        <is>
          <t>กรุงเทพมหานคร</t>
        </is>
      </c>
      <c r="D122" t="inlineStr">
        <is>
          <t>E001S002|I</t>
        </is>
      </c>
      <c r="E122" t="inlineStr">
        <is>
          <t>13.9–14.2</t>
        </is>
      </c>
      <c r="F122" t="inlineStr">
        <is>
          <t>เฉลิมมหานคร</t>
        </is>
      </c>
      <c r="G122" t="n">
        <v>3</v>
      </c>
      <c r="H122" t="n">
        <v>0</v>
      </c>
      <c r="I122" t="n">
        <v>3</v>
      </c>
      <c r="J122" t="n">
        <v>1</v>
      </c>
      <c r="K122" t="inlineStr">
        <is>
          <t>medium</t>
        </is>
      </c>
      <c r="L122" s="2" t="n">
        <v>307323.1</v>
      </c>
      <c r="M122" s="2" t="n">
        <v>305805</v>
      </c>
      <c r="N122" s="2" t="n">
        <v>304213.9</v>
      </c>
      <c r="O122" s="2">
        <f>AVERAGE(L122:N122)</f>
        <v/>
      </c>
      <c r="P122" t="n">
        <v>3</v>
      </c>
      <c r="Q122" t="n">
        <v>1</v>
      </c>
      <c r="R122" s="2">
        <f>G122*1000000</f>
        <v/>
      </c>
      <c r="S122" s="2">
        <f>365*P122*O122*Q122</f>
        <v/>
      </c>
      <c r="T122" s="7">
        <f>R122/S122</f>
        <v/>
      </c>
      <c r="U122">
        <f>IF(ISNUMBER(T122),RANK(T122,$T$2:$T$127,0),"")</f>
        <v/>
      </c>
    </row>
    <row r="123">
      <c r="A123" t="inlineStr">
        <is>
          <t>zone_306</t>
        </is>
      </c>
      <c r="B123" t="inlineStr">
        <is>
          <t>ดาวคะนอง-ท่าเรือ</t>
        </is>
      </c>
      <c r="C123" t="inlineStr">
        <is>
          <t>กรุงเทพมหานคร</t>
        </is>
      </c>
      <c r="D123" t="inlineStr">
        <is>
          <t>E001S003|I</t>
        </is>
      </c>
      <c r="E123" t="inlineStr">
        <is>
          <t>20–20.1</t>
        </is>
      </c>
      <c r="F123" t="inlineStr">
        <is>
          <t>เฉลิมมหานคร</t>
        </is>
      </c>
      <c r="G123" t="n">
        <v>4</v>
      </c>
      <c r="H123" t="n">
        <v>0</v>
      </c>
      <c r="I123" t="n">
        <v>2</v>
      </c>
      <c r="J123" t="n">
        <v>0.5</v>
      </c>
      <c r="K123" t="inlineStr">
        <is>
          <t>low</t>
        </is>
      </c>
      <c r="L123" s="2" t="n">
        <v>307323.1</v>
      </c>
      <c r="M123" s="2" t="n">
        <v>305805</v>
      </c>
      <c r="N123" s="2" t="n">
        <v>304213.9</v>
      </c>
      <c r="O123" s="2">
        <f>AVERAGE(L123:N123)</f>
        <v/>
      </c>
      <c r="P123" t="n">
        <v>3</v>
      </c>
      <c r="Q123" t="n">
        <v>1</v>
      </c>
      <c r="R123" s="2">
        <f>G123*1000000</f>
        <v/>
      </c>
      <c r="S123" s="2">
        <f>365*P123*O123*Q123</f>
        <v/>
      </c>
      <c r="T123" s="7">
        <f>R123/S123</f>
        <v/>
      </c>
      <c r="U123">
        <f>IF(ISNUMBER(T123),RANK(T123,$T$2:$T$127,0),"")</f>
        <v/>
      </c>
    </row>
    <row r="124">
      <c r="A124" t="inlineStr">
        <is>
          <t>zone_307</t>
        </is>
      </c>
      <c r="B124" t="inlineStr">
        <is>
          <t>บางนา-ท่าเรือ</t>
        </is>
      </c>
      <c r="C124" t="inlineStr">
        <is>
          <t>กรุงเทพมหานคร</t>
        </is>
      </c>
      <c r="D124" t="inlineStr">
        <is>
          <t>E001S002|U</t>
        </is>
      </c>
      <c r="E124" t="inlineStr">
        <is>
          <t>11–11</t>
        </is>
      </c>
      <c r="F124" t="inlineStr">
        <is>
          <t>เฉลิมมหานคร</t>
        </is>
      </c>
      <c r="G124" t="n">
        <v>3</v>
      </c>
      <c r="H124" t="n">
        <v>0</v>
      </c>
      <c r="I124" t="n">
        <v>1</v>
      </c>
      <c r="J124" t="n">
        <v>0.3333</v>
      </c>
      <c r="K124" t="inlineStr">
        <is>
          <t>low</t>
        </is>
      </c>
      <c r="L124" s="2" t="n">
        <v>307323.1</v>
      </c>
      <c r="M124" s="2" t="n">
        <v>305805</v>
      </c>
      <c r="N124" s="2" t="n">
        <v>304213.9</v>
      </c>
      <c r="O124" s="2">
        <f>AVERAGE(L124:N124)</f>
        <v/>
      </c>
      <c r="P124" t="n">
        <v>3</v>
      </c>
      <c r="Q124" t="n">
        <v>1</v>
      </c>
      <c r="R124" s="2">
        <f>G124*1000000</f>
        <v/>
      </c>
      <c r="S124" s="2">
        <f>365*P124*O124*Q124</f>
        <v/>
      </c>
      <c r="T124" s="7">
        <f>R124/S124</f>
        <v/>
      </c>
      <c r="U124">
        <f>IF(ISNUMBER(T124),RANK(T124,$T$2:$T$127,0),"")</f>
        <v/>
      </c>
    </row>
    <row r="125">
      <c r="A125" t="inlineStr">
        <is>
          <t>zone_314</t>
        </is>
      </c>
      <c r="B125" t="inlineStr">
        <is>
          <t>บางนา-ท่าเรือ</t>
        </is>
      </c>
      <c r="C125" t="inlineStr">
        <is>
          <t>กรุงเทพมหานคร</t>
        </is>
      </c>
      <c r="D125" t="inlineStr">
        <is>
          <t>E001S002|I</t>
        </is>
      </c>
      <c r="E125" t="inlineStr">
        <is>
          <t>11.5–11.5</t>
        </is>
      </c>
      <c r="F125" t="inlineStr">
        <is>
          <t>เฉลิมมหานคร</t>
        </is>
      </c>
      <c r="G125" t="n">
        <v>4</v>
      </c>
      <c r="H125" t="n">
        <v>0</v>
      </c>
      <c r="I125" t="n">
        <v>0</v>
      </c>
      <c r="J125" t="n">
        <v>0</v>
      </c>
      <c r="K125" t="inlineStr">
        <is>
          <t>low</t>
        </is>
      </c>
      <c r="L125" s="2" t="n">
        <v>307323.1</v>
      </c>
      <c r="M125" s="2" t="n">
        <v>305805</v>
      </c>
      <c r="N125" s="2" t="n">
        <v>304213.9</v>
      </c>
      <c r="O125" s="2">
        <f>AVERAGE(L125:N125)</f>
        <v/>
      </c>
      <c r="P125" t="n">
        <v>3</v>
      </c>
      <c r="Q125" t="n">
        <v>1</v>
      </c>
      <c r="R125" s="2">
        <f>G125*1000000</f>
        <v/>
      </c>
      <c r="S125" s="2">
        <f>365*P125*O125*Q125</f>
        <v/>
      </c>
      <c r="T125" s="7">
        <f>R125/S125</f>
        <v/>
      </c>
      <c r="U125">
        <f>IF(ISNUMBER(T125),RANK(T125,$T$2:$T$127,0),"")</f>
        <v/>
      </c>
    </row>
    <row r="126">
      <c r="A126" t="inlineStr">
        <is>
          <t>zone_53</t>
        </is>
      </c>
      <c r="B126" t="inlineStr">
        <is>
          <t>ดาวคะนอง-ท่าเรือ</t>
        </is>
      </c>
      <c r="C126" t="inlineStr">
        <is>
          <t>กรุงเทพมหานคร</t>
        </is>
      </c>
      <c r="D126" t="inlineStr">
        <is>
          <t>E001S003|I</t>
        </is>
      </c>
      <c r="E126" t="inlineStr">
        <is>
          <t>30.6–31</t>
        </is>
      </c>
      <c r="F126" t="inlineStr">
        <is>
          <t>เฉลิมมหานคร</t>
        </is>
      </c>
      <c r="G126" t="n">
        <v>7</v>
      </c>
      <c r="H126" t="n">
        <v>0</v>
      </c>
      <c r="I126" t="n">
        <v>3</v>
      </c>
      <c r="J126" t="n">
        <v>0.4286</v>
      </c>
      <c r="K126" t="inlineStr">
        <is>
          <t>low</t>
        </is>
      </c>
      <c r="L126" s="2" t="n">
        <v>307323.1</v>
      </c>
      <c r="M126" s="2" t="n">
        <v>305805</v>
      </c>
      <c r="N126" s="2" t="n">
        <v>304213.9</v>
      </c>
      <c r="O126" s="2">
        <f>AVERAGE(L126:N126)</f>
        <v/>
      </c>
      <c r="P126" t="n">
        <v>3</v>
      </c>
      <c r="Q126" t="n">
        <v>1</v>
      </c>
      <c r="R126" s="2">
        <f>G126*1000000</f>
        <v/>
      </c>
      <c r="S126" s="2">
        <f>365*P126*O126*Q126</f>
        <v/>
      </c>
      <c r="T126" s="7">
        <f>R126/S126</f>
        <v/>
      </c>
      <c r="U126">
        <f>IF(ISNUMBER(T126),RANK(T126,$T$2:$T$127,0),"")</f>
        <v/>
      </c>
    </row>
    <row r="127">
      <c r="A127" t="inlineStr">
        <is>
          <t>zone_210</t>
        </is>
      </c>
      <c r="B127" t="inlineStr">
        <is>
          <t>อาจณรงค์-บางนา</t>
        </is>
      </c>
      <c r="C127" t="inlineStr">
        <is>
          <t>กรุงเทพมหานคร</t>
        </is>
      </c>
      <c r="D127" t="inlineStr">
        <is>
          <t>E006S012|U</t>
        </is>
      </c>
      <c r="E127" t="inlineStr">
        <is>
          <t>3.5–4.1</t>
        </is>
      </c>
      <c r="F127" t="inlineStr">
        <is>
          <t>— ไม่มีสายนี้ใน API กทพ. —</t>
        </is>
      </c>
      <c r="G127" t="n">
        <v>7</v>
      </c>
      <c r="H127" t="n">
        <v>0</v>
      </c>
      <c r="I127" t="n">
        <v>6</v>
      </c>
      <c r="J127" t="n">
        <v>0.8571</v>
      </c>
      <c r="K127" t="inlineStr">
        <is>
          <t>low</t>
        </is>
      </c>
      <c r="P127" t="n">
        <v>3</v>
      </c>
      <c r="Q127" t="n">
        <v>1</v>
      </c>
    </row>
  </sheetData>
  <autoFilter ref="A1:Q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6" customWidth="1" min="2" max="2"/>
    <col width="34" customWidth="1" min="3" max="3"/>
    <col width="14" customWidth="1" min="4" max="4"/>
    <col width="14" customWidth="1" min="5" max="5"/>
  </cols>
  <sheetData>
    <row r="1" ht="42" customHeight="1">
      <c r="A1" s="1" t="inlineStr">
        <is>
          <t>ปีงบประมาณ</t>
        </is>
      </c>
      <c r="B1" s="1" t="inlineStr">
        <is>
          <t>สายทาง (highway_name)</t>
        </is>
      </c>
      <c r="C1" s="1" t="inlineStr">
        <is>
          <t>ด่าน (plaza_name)</t>
        </is>
      </c>
      <c r="D1" s="1" t="inlineStr">
        <is>
          <t>ยอดรถทั้งปี (traffic)</t>
        </is>
      </c>
      <c r="E1" s="1" t="inlineStr">
        <is>
          <t>ค่าซ้ำกับด่านอื่นในสายเดียวกัน</t>
        </is>
      </c>
    </row>
    <row r="2">
      <c r="A2" t="n">
        <v>2566</v>
      </c>
      <c r="B2" t="inlineStr">
        <is>
          <t>ศรีรัช</t>
        </is>
      </c>
      <c r="C2" t="inlineStr">
        <is>
          <t>อโศก 4</t>
        </is>
      </c>
      <c r="D2" s="2" t="n">
        <v>22864475</v>
      </c>
    </row>
    <row r="3">
      <c r="A3" t="n">
        <v>2566</v>
      </c>
      <c r="B3" t="inlineStr">
        <is>
          <t>ศรีรัช</t>
        </is>
      </c>
      <c r="C3" t="inlineStr">
        <is>
          <t>อโศก 3</t>
        </is>
      </c>
      <c r="D3" s="2" t="n">
        <v>21256796</v>
      </c>
    </row>
    <row r="4">
      <c r="A4" t="n">
        <v>2566</v>
      </c>
      <c r="B4" t="inlineStr">
        <is>
          <t>ศรีรัช</t>
        </is>
      </c>
      <c r="C4" t="inlineStr">
        <is>
          <t>ศรีนครินทร์</t>
        </is>
      </c>
      <c r="D4" s="2" t="n">
        <v>21102830</v>
      </c>
    </row>
    <row r="5">
      <c r="A5" t="n">
        <v>2566</v>
      </c>
      <c r="B5" t="inlineStr">
        <is>
          <t>ศรีรัช</t>
        </is>
      </c>
      <c r="C5" t="inlineStr">
        <is>
          <t>ประชาชื่น (ขาออก)</t>
        </is>
      </c>
      <c r="D5" s="2" t="n">
        <v>20902216</v>
      </c>
    </row>
    <row r="6">
      <c r="A6" t="n">
        <v>2566</v>
      </c>
      <c r="B6" t="inlineStr">
        <is>
          <t>เฉลิมมหานคร</t>
        </is>
      </c>
      <c r="C6" t="inlineStr">
        <is>
          <t>บางนา</t>
        </is>
      </c>
      <c r="D6" s="2" t="n">
        <v>17131780</v>
      </c>
    </row>
    <row r="7">
      <c r="A7" s="8" t="n">
        <v>2566</v>
      </c>
      <c r="B7" s="8" t="inlineStr">
        <is>
          <t>ศรีรัช</t>
        </is>
      </c>
      <c r="C7" s="8" t="inlineStr">
        <is>
          <t>ประชาชื่น (ขาเข้า-ในเมือง)</t>
        </is>
      </c>
      <c r="D7" s="9" t="n">
        <v>16785161</v>
      </c>
      <c r="E7" s="8" t="inlineStr">
        <is>
          <t>ซ้ำ</t>
        </is>
      </c>
    </row>
    <row r="8">
      <c r="A8" s="8" t="n">
        <v>2566</v>
      </c>
      <c r="B8" s="8" t="inlineStr">
        <is>
          <t>ศรีรัช</t>
        </is>
      </c>
      <c r="C8" s="8" t="inlineStr">
        <is>
          <t>ประชาชื่น (ขาเข้า-นอกเมือง)</t>
        </is>
      </c>
      <c r="D8" s="9" t="n">
        <v>16785161</v>
      </c>
      <c r="E8" s="8" t="inlineStr">
        <is>
          <t>ซ้ำ</t>
        </is>
      </c>
    </row>
    <row r="9">
      <c r="A9" t="n">
        <v>2566</v>
      </c>
      <c r="B9" t="inlineStr">
        <is>
          <t>เฉลิมมหานคร</t>
        </is>
      </c>
      <c r="C9" t="inlineStr">
        <is>
          <t>ดินแดง</t>
        </is>
      </c>
      <c r="D9" s="2" t="n">
        <v>16514990</v>
      </c>
    </row>
    <row r="10">
      <c r="A10" t="n">
        <v>2566</v>
      </c>
      <c r="B10" t="inlineStr">
        <is>
          <t>เฉลิมมหานคร</t>
        </is>
      </c>
      <c r="C10" t="inlineStr">
        <is>
          <t>ดาวคะนอง</t>
        </is>
      </c>
      <c r="D10" s="2" t="n">
        <v>12442093</v>
      </c>
    </row>
    <row r="11">
      <c r="A11" t="n">
        <v>2566</v>
      </c>
      <c r="B11" t="inlineStr">
        <is>
          <t>ฉลองรัช</t>
        </is>
      </c>
      <c r="C11" t="inlineStr">
        <is>
          <t>จตุโชติ</t>
        </is>
      </c>
      <c r="D11" s="2" t="n">
        <v>11356592</v>
      </c>
    </row>
    <row r="12">
      <c r="A12" t="n">
        <v>2566</v>
      </c>
      <c r="B12" t="inlineStr">
        <is>
          <t>ศรีรัช</t>
        </is>
      </c>
      <c r="C12" t="inlineStr">
        <is>
          <t>พระราม 9-1 (ศรีรัช)</t>
        </is>
      </c>
      <c r="D12" s="2" t="n">
        <v>10988402</v>
      </c>
    </row>
    <row r="13">
      <c r="A13" t="n">
        <v>2566</v>
      </c>
      <c r="B13" t="inlineStr">
        <is>
          <t>ฉลองรัช</t>
        </is>
      </c>
      <c r="C13" t="inlineStr">
        <is>
          <t>พระราม 9-1 (ฉลองรัช)</t>
        </is>
      </c>
      <c r="D13" s="2" t="n">
        <v>10380400</v>
      </c>
    </row>
    <row r="14">
      <c r="A14" t="n">
        <v>2566</v>
      </c>
      <c r="B14" t="inlineStr">
        <is>
          <t>บูรพาวิถี</t>
        </is>
      </c>
      <c r="C14" t="inlineStr">
        <is>
          <t>บางนา กม.6 (ขาเข้า) ช่องทางที่ 1 - 4</t>
        </is>
      </c>
      <c r="D14" s="2" t="n">
        <v>9920859</v>
      </c>
    </row>
    <row r="15">
      <c r="A15" t="n">
        <v>2566</v>
      </c>
      <c r="B15" t="inlineStr">
        <is>
          <t>ทางพิเศษกาญจนาภิเษก(บางพลี-สุขสวัสดิ์)</t>
        </is>
      </c>
      <c r="C15" t="inlineStr">
        <is>
          <t>บางแก้ว (ทางออก 1)</t>
        </is>
      </c>
      <c r="D15" s="2" t="n">
        <v>9539078</v>
      </c>
    </row>
    <row r="16">
      <c r="A16" t="n">
        <v>2566</v>
      </c>
      <c r="B16" t="inlineStr">
        <is>
          <t>ทางพิเศษกาญจนาภิเษก(บางพลี-สุขสวัสดิ์)</t>
        </is>
      </c>
      <c r="C16" t="inlineStr">
        <is>
          <t>ปู่เจ้าสมิงพราย (ขาออก)</t>
        </is>
      </c>
      <c r="D16" s="2" t="n">
        <v>9087251</v>
      </c>
    </row>
    <row r="17">
      <c r="A17" t="n">
        <v>2566</v>
      </c>
      <c r="B17" t="inlineStr">
        <is>
          <t>ทางพิเศษกาญจนาภิเษก(บางพลี-สุขสวัสดิ์)</t>
        </is>
      </c>
      <c r="C17" t="inlineStr">
        <is>
          <t>บางขุนเทียน (ทางออก 1)</t>
        </is>
      </c>
      <c r="D17" s="2" t="n">
        <v>9007965</v>
      </c>
    </row>
    <row r="18">
      <c r="A18" t="n">
        <v>2566</v>
      </c>
      <c r="B18" t="inlineStr">
        <is>
          <t>ศรีรัช</t>
        </is>
      </c>
      <c r="C18" t="inlineStr">
        <is>
          <t>ประชาชื่น 2</t>
        </is>
      </c>
      <c r="D18" s="2" t="n">
        <v>7853613</v>
      </c>
    </row>
    <row r="19">
      <c r="A19" t="n">
        <v>2566</v>
      </c>
      <c r="B19" t="inlineStr">
        <is>
          <t>บูรพาวิถี</t>
        </is>
      </c>
      <c r="C19" t="inlineStr">
        <is>
          <t>ชลบุรี</t>
        </is>
      </c>
      <c r="D19" s="2" t="n">
        <v>7686283</v>
      </c>
    </row>
    <row r="20">
      <c r="A20" t="n">
        <v>2566</v>
      </c>
      <c r="B20" t="inlineStr">
        <is>
          <t>ทางพิเศษกาญจนาภิเษก(บางพลี-สุขสวัสดิ์)</t>
        </is>
      </c>
      <c r="C20" t="inlineStr">
        <is>
          <t>บางแก้ว (ทางออก 3)</t>
        </is>
      </c>
      <c r="D20" s="2" t="n">
        <v>7326639</v>
      </c>
    </row>
    <row r="21">
      <c r="A21" t="n">
        <v>2566</v>
      </c>
      <c r="B21" t="inlineStr">
        <is>
          <t>เฉลิมมหานคร</t>
        </is>
      </c>
      <c r="C21" t="inlineStr">
        <is>
          <t>สุขสวัสดิ์</t>
        </is>
      </c>
      <c r="D21" s="2" t="n">
        <v>6961178</v>
      </c>
    </row>
    <row r="22">
      <c r="A22" t="n">
        <v>2566</v>
      </c>
      <c r="B22" t="inlineStr">
        <is>
          <t>ทางพิเศษกาญจนาภิเษก(บางพลี-สุขสวัสดิ์)</t>
        </is>
      </c>
      <c r="C22" t="inlineStr">
        <is>
          <t>บางครุ (ทางออก 1)</t>
        </is>
      </c>
      <c r="D22" s="2" t="n">
        <v>6670784</v>
      </c>
    </row>
    <row r="23">
      <c r="A23" t="n">
        <v>2566</v>
      </c>
      <c r="B23" t="inlineStr">
        <is>
          <t>ศรีรัช</t>
        </is>
      </c>
      <c r="C23" t="inlineStr">
        <is>
          <t>อโศก 1</t>
        </is>
      </c>
      <c r="D23" s="2" t="n">
        <v>6670249</v>
      </c>
    </row>
    <row r="24">
      <c r="A24" t="n">
        <v>2566</v>
      </c>
      <c r="B24" t="inlineStr">
        <is>
          <t>บูรพาวิถี</t>
        </is>
      </c>
      <c r="C24" t="inlineStr">
        <is>
          <t>วงแหวนรอบนอก (บางแก้ว)</t>
        </is>
      </c>
      <c r="D24" s="2" t="n">
        <v>6593673</v>
      </c>
    </row>
    <row r="25">
      <c r="A25" t="n">
        <v>2566</v>
      </c>
      <c r="B25" t="inlineStr">
        <is>
          <t>ทางพิเศษกาญจนาภิเษก(บางพลี-สุขสวัสดิ์)</t>
        </is>
      </c>
      <c r="C25" t="inlineStr">
        <is>
          <t>บางขุนเทียน (ทางออก 3)</t>
        </is>
      </c>
      <c r="D25" s="2" t="n">
        <v>6271597</v>
      </c>
    </row>
    <row r="26">
      <c r="A26" t="n">
        <v>2566</v>
      </c>
      <c r="B26" t="inlineStr">
        <is>
          <t>ศรีรัช</t>
        </is>
      </c>
      <c r="C26" t="inlineStr">
        <is>
          <t>สุรวงศ์</t>
        </is>
      </c>
      <c r="D26" s="2" t="n">
        <v>5958894</v>
      </c>
    </row>
    <row r="27">
      <c r="A27" t="n">
        <v>2566</v>
      </c>
      <c r="B27" t="inlineStr">
        <is>
          <t>เฉลิมมหานคร</t>
        </is>
      </c>
      <c r="C27" t="inlineStr">
        <is>
          <t>บางจาก</t>
        </is>
      </c>
      <c r="D27" s="2" t="n">
        <v>5866372</v>
      </c>
    </row>
    <row r="28">
      <c r="A28" t="n">
        <v>2566</v>
      </c>
      <c r="B28" t="inlineStr">
        <is>
          <t>ศรีรัช</t>
        </is>
      </c>
      <c r="C28" t="inlineStr">
        <is>
          <t>ยมราช</t>
        </is>
      </c>
      <c r="D28" s="2" t="n">
        <v>5793160</v>
      </c>
    </row>
    <row r="29">
      <c r="A29" t="n">
        <v>2566</v>
      </c>
      <c r="B29" t="inlineStr">
        <is>
          <t>เฉลิมมหานคร</t>
        </is>
      </c>
      <c r="C29" t="inlineStr">
        <is>
          <t>พระรามที่สี่ 1</t>
        </is>
      </c>
      <c r="D29" s="2" t="n">
        <v>5751324</v>
      </c>
    </row>
    <row r="30">
      <c r="A30" t="n">
        <v>2566</v>
      </c>
      <c r="B30" t="inlineStr">
        <is>
          <t>ศรีรัช</t>
        </is>
      </c>
      <c r="C30" t="inlineStr">
        <is>
          <t>อโศก 3-1</t>
        </is>
      </c>
      <c r="D30" s="2" t="n">
        <v>5734805</v>
      </c>
    </row>
    <row r="31">
      <c r="A31" t="n">
        <v>2566</v>
      </c>
      <c r="B31" t="inlineStr">
        <is>
          <t>ฉลองรัช</t>
        </is>
      </c>
      <c r="C31" t="inlineStr">
        <is>
          <t>อาจณรงค์ 2 (ท่าเรือ)</t>
        </is>
      </c>
      <c r="D31" s="2" t="n">
        <v>5718768</v>
      </c>
    </row>
    <row r="32">
      <c r="A32" t="n">
        <v>2566</v>
      </c>
      <c r="B32" t="inlineStr">
        <is>
          <t>เฉลิมมหานคร</t>
        </is>
      </c>
      <c r="C32" t="inlineStr">
        <is>
          <t>เลียบแม่น้ำ</t>
        </is>
      </c>
      <c r="D32" s="2" t="n">
        <v>5541441</v>
      </c>
    </row>
    <row r="33">
      <c r="A33" t="n">
        <v>2566</v>
      </c>
      <c r="B33" t="inlineStr">
        <is>
          <t>ฉลองรัช</t>
        </is>
      </c>
      <c r="C33" t="inlineStr">
        <is>
          <t>โยธินพัฒนา</t>
        </is>
      </c>
      <c r="D33" s="2" t="n">
        <v>5409856</v>
      </c>
    </row>
    <row r="34">
      <c r="A34" t="n">
        <v>2566</v>
      </c>
      <c r="B34" t="inlineStr">
        <is>
          <t>เฉลิมมหานคร</t>
        </is>
      </c>
      <c r="C34" t="inlineStr">
        <is>
          <t>อาจณรงค์ 1 (ท่าเรือ)</t>
        </is>
      </c>
      <c r="D34" s="2" t="n">
        <v>5400295</v>
      </c>
    </row>
    <row r="35">
      <c r="A35" t="n">
        <v>2566</v>
      </c>
      <c r="B35" t="inlineStr">
        <is>
          <t>ศรีรัช-วงแหวนรอบนอกกรุงเทพมหานคร</t>
        </is>
      </c>
      <c r="C35" t="inlineStr">
        <is>
          <t>ฉิมพลี</t>
        </is>
      </c>
      <c r="D35" s="2" t="n">
        <v>5338807</v>
      </c>
    </row>
    <row r="36">
      <c r="A36" t="n">
        <v>2566</v>
      </c>
      <c r="B36" t="inlineStr">
        <is>
          <t>ศรีรัช</t>
        </is>
      </c>
      <c r="C36" t="inlineStr">
        <is>
          <t>บางซื่อ 2</t>
        </is>
      </c>
      <c r="D36" s="2" t="n">
        <v>5023033</v>
      </c>
    </row>
    <row r="37">
      <c r="A37" t="n">
        <v>2566</v>
      </c>
      <c r="B37" t="inlineStr">
        <is>
          <t>ศรีรัช</t>
        </is>
      </c>
      <c r="C37" t="inlineStr">
        <is>
          <t>ย่านพหลโยธิน</t>
        </is>
      </c>
      <c r="D37" s="2" t="n">
        <v>5017707</v>
      </c>
    </row>
    <row r="38">
      <c r="A38" t="n">
        <v>2566</v>
      </c>
      <c r="B38" t="inlineStr">
        <is>
          <t>ทางพิเศษกาญจนาภิเษก(บางพลี-สุขสวัสดิ์)</t>
        </is>
      </c>
      <c r="C38" t="inlineStr">
        <is>
          <t>บางแก้ว (ทางออก 2)</t>
        </is>
      </c>
      <c r="D38" s="2" t="n">
        <v>4985108</v>
      </c>
    </row>
    <row r="39">
      <c r="A39" t="n">
        <v>2566</v>
      </c>
      <c r="B39" t="inlineStr">
        <is>
          <t>ศรีรัช</t>
        </is>
      </c>
      <c r="C39" t="inlineStr">
        <is>
          <t>ประชาชื่น 1</t>
        </is>
      </c>
      <c r="D39" s="2" t="n">
        <v>4961483</v>
      </c>
    </row>
    <row r="40">
      <c r="A40" t="n">
        <v>2566</v>
      </c>
      <c r="B40" t="inlineStr">
        <is>
          <t>ฉลองรัช</t>
        </is>
      </c>
      <c r="C40" t="inlineStr">
        <is>
          <t>รามอินทรา 1</t>
        </is>
      </c>
      <c r="D40" s="2" t="n">
        <v>4914351</v>
      </c>
    </row>
    <row r="41">
      <c r="A41" t="n">
        <v>2566</v>
      </c>
      <c r="B41" t="inlineStr">
        <is>
          <t>ศรีรัช</t>
        </is>
      </c>
      <c r="C41" t="inlineStr">
        <is>
          <t>หัวลำโพง</t>
        </is>
      </c>
      <c r="D41" s="2" t="n">
        <v>4762177</v>
      </c>
    </row>
    <row r="42">
      <c r="A42" t="n">
        <v>2566</v>
      </c>
      <c r="B42" t="inlineStr">
        <is>
          <t>ฉลองรัช</t>
        </is>
      </c>
      <c r="C42" t="inlineStr">
        <is>
          <t>พระราม 9-2</t>
        </is>
      </c>
      <c r="D42" s="2" t="n">
        <v>4757473</v>
      </c>
    </row>
    <row r="43">
      <c r="A43" t="n">
        <v>2566</v>
      </c>
      <c r="B43" t="inlineStr">
        <is>
          <t>ฉลองรัช</t>
        </is>
      </c>
      <c r="C43" t="inlineStr">
        <is>
          <t>ประชาอุทิศ</t>
        </is>
      </c>
      <c r="D43" s="2" t="n">
        <v>4742813</v>
      </c>
    </row>
    <row r="44">
      <c r="A44" t="n">
        <v>2566</v>
      </c>
      <c r="B44" t="inlineStr">
        <is>
          <t>เฉลิมมหานคร</t>
        </is>
      </c>
      <c r="C44" t="inlineStr">
        <is>
          <t>สุขุมวิท</t>
        </is>
      </c>
      <c r="D44" s="2" t="n">
        <v>4663670</v>
      </c>
    </row>
    <row r="45">
      <c r="A45" t="n">
        <v>2566</v>
      </c>
      <c r="B45" t="inlineStr">
        <is>
          <t>ศรีรัช</t>
        </is>
      </c>
      <c r="C45" t="inlineStr">
        <is>
          <t>พระราม 9</t>
        </is>
      </c>
      <c r="D45" s="2" t="n">
        <v>4630892</v>
      </c>
    </row>
    <row r="46">
      <c r="A46" t="n">
        <v>2566</v>
      </c>
      <c r="B46" t="inlineStr">
        <is>
          <t>ฉลองรัช</t>
        </is>
      </c>
      <c r="C46" t="inlineStr">
        <is>
          <t>พระโขนง</t>
        </is>
      </c>
      <c r="D46" s="2" t="n">
        <v>4504802</v>
      </c>
    </row>
    <row r="47">
      <c r="A47" t="n">
        <v>2566</v>
      </c>
      <c r="B47" t="inlineStr">
        <is>
          <t>ฉลองรัช</t>
        </is>
      </c>
      <c r="C47" t="inlineStr">
        <is>
          <t>อาจณรงค์ 3-S1</t>
        </is>
      </c>
      <c r="D47" s="2" t="n">
        <v>4497486</v>
      </c>
    </row>
    <row r="48">
      <c r="A48" t="n">
        <v>2566</v>
      </c>
      <c r="B48" t="inlineStr">
        <is>
          <t>เฉลิมมหานคร</t>
        </is>
      </c>
      <c r="C48" t="inlineStr">
        <is>
          <t>พระรามที่สี่ 2</t>
        </is>
      </c>
      <c r="D48" s="2" t="n">
        <v>4481174</v>
      </c>
    </row>
    <row r="49">
      <c r="A49" t="n">
        <v>2566</v>
      </c>
      <c r="B49" t="inlineStr">
        <is>
          <t>ทางพิเศษกาญจนาภิเษก(บางพลี-สุขสวัสดิ์)</t>
        </is>
      </c>
      <c r="C49" t="inlineStr">
        <is>
          <t>บางครุ (ทางออก 2)</t>
        </is>
      </c>
      <c r="D49" s="2" t="n">
        <v>4130733</v>
      </c>
    </row>
    <row r="50">
      <c r="A50" t="n">
        <v>2566</v>
      </c>
      <c r="B50" t="inlineStr">
        <is>
          <t>ฉลองรัช</t>
        </is>
      </c>
      <c r="C50" t="inlineStr">
        <is>
          <t>สุขาภิบาล 5-1</t>
        </is>
      </c>
      <c r="D50" s="2" t="n">
        <v>4108241</v>
      </c>
    </row>
    <row r="51">
      <c r="A51" t="n">
        <v>2566</v>
      </c>
      <c r="B51" t="inlineStr">
        <is>
          <t>บูรพาวิถี</t>
        </is>
      </c>
      <c r="C51" t="inlineStr">
        <is>
          <t>บางนา กม.6 (ขาเข้า) ช่องทางที่ 5 - 14</t>
        </is>
      </c>
      <c r="D51" s="2" t="n">
        <v>4068899</v>
      </c>
    </row>
    <row r="52">
      <c r="A52" t="n">
        <v>2566</v>
      </c>
      <c r="B52" t="inlineStr">
        <is>
          <t>ศรีรัช</t>
        </is>
      </c>
      <c r="C52" t="inlineStr">
        <is>
          <t>งามวงศ์วาน 2</t>
        </is>
      </c>
      <c r="D52" s="2" t="n">
        <v>4042154</v>
      </c>
    </row>
    <row r="53">
      <c r="A53" t="n">
        <v>2566</v>
      </c>
      <c r="B53" t="inlineStr">
        <is>
          <t>เฉลิมมหานคร</t>
        </is>
      </c>
      <c r="C53" t="inlineStr">
        <is>
          <t>สาธุประดิษฐ์ 1</t>
        </is>
      </c>
      <c r="D53" s="2" t="n">
        <v>3995075</v>
      </c>
    </row>
    <row r="54">
      <c r="A54" t="n">
        <v>2566</v>
      </c>
      <c r="B54" t="inlineStr">
        <is>
          <t>ฉลองรัช</t>
        </is>
      </c>
      <c r="C54" t="inlineStr">
        <is>
          <t>รามอินทรา</t>
        </is>
      </c>
      <c r="D54" s="2" t="n">
        <v>3892191</v>
      </c>
    </row>
    <row r="55">
      <c r="A55" t="n">
        <v>2566</v>
      </c>
      <c r="B55" t="inlineStr">
        <is>
          <t>ศรีรัช</t>
        </is>
      </c>
      <c r="C55" t="inlineStr">
        <is>
          <t>จันทน์</t>
        </is>
      </c>
      <c r="D55" s="2" t="n">
        <v>3890357</v>
      </c>
    </row>
    <row r="56">
      <c r="A56" t="n">
        <v>2566</v>
      </c>
      <c r="B56" t="inlineStr">
        <is>
          <t>เฉลิมมหานคร</t>
        </is>
      </c>
      <c r="C56" t="inlineStr">
        <is>
          <t>อาจณรงค์ 1 (บางนา)</t>
        </is>
      </c>
      <c r="D56" s="2" t="n">
        <v>3870195</v>
      </c>
    </row>
    <row r="57">
      <c r="A57" t="n">
        <v>2566</v>
      </c>
      <c r="B57" t="inlineStr">
        <is>
          <t>อุดรรัถยา</t>
        </is>
      </c>
      <c r="C57" t="inlineStr">
        <is>
          <t>ศรีสมาน (ขาเข้า)</t>
        </is>
      </c>
      <c r="D57" s="2" t="n">
        <v>3868963</v>
      </c>
    </row>
    <row r="58">
      <c r="A58" t="n">
        <v>2566</v>
      </c>
      <c r="B58" t="inlineStr">
        <is>
          <t>อุดรรัถยา</t>
        </is>
      </c>
      <c r="C58" t="inlineStr">
        <is>
          <t>ศรีสมาน (ขาออก)</t>
        </is>
      </c>
      <c r="D58" s="2" t="n">
        <v>3858542</v>
      </c>
    </row>
    <row r="59">
      <c r="A59" t="n">
        <v>2566</v>
      </c>
      <c r="B59" t="inlineStr">
        <is>
          <t>ทางพิเศษกาญจนาภิเษก(บางพลี-สุขสวัสดิ์)</t>
        </is>
      </c>
      <c r="C59" t="inlineStr">
        <is>
          <t>บางเมือง (ทางออก 3)</t>
        </is>
      </c>
      <c r="D59" s="2" t="n">
        <v>3856920</v>
      </c>
    </row>
    <row r="60">
      <c r="A60" t="n">
        <v>2566</v>
      </c>
      <c r="B60" t="inlineStr">
        <is>
          <t>เฉลิมมหานคร</t>
        </is>
      </c>
      <c r="C60" t="inlineStr">
        <is>
          <t>สุขุมวิท 62</t>
        </is>
      </c>
      <c r="D60" s="2" t="n">
        <v>3767683</v>
      </c>
    </row>
    <row r="61">
      <c r="A61" t="n">
        <v>2566</v>
      </c>
      <c r="B61" t="inlineStr">
        <is>
          <t>เฉลิมมหานคร</t>
        </is>
      </c>
      <c r="C61" t="inlineStr">
        <is>
          <t>ท่าเรือ 2</t>
        </is>
      </c>
      <c r="D61" s="2" t="n">
        <v>3704804</v>
      </c>
    </row>
    <row r="62">
      <c r="A62" t="n">
        <v>2566</v>
      </c>
      <c r="B62" t="inlineStr">
        <is>
          <t>ฉลองรัช</t>
        </is>
      </c>
      <c r="C62" t="inlineStr">
        <is>
          <t>ลาดพร้าว</t>
        </is>
      </c>
      <c r="D62" s="2" t="n">
        <v>3685066</v>
      </c>
    </row>
    <row r="63">
      <c r="A63" t="n">
        <v>2566</v>
      </c>
      <c r="B63" t="inlineStr">
        <is>
          <t>ฉลองรัช</t>
        </is>
      </c>
      <c r="C63" t="inlineStr">
        <is>
          <t>พัฒนาการ 1</t>
        </is>
      </c>
      <c r="D63" s="2" t="n">
        <v>3614915</v>
      </c>
    </row>
    <row r="64">
      <c r="A64" t="n">
        <v>2566</v>
      </c>
      <c r="B64" t="inlineStr">
        <is>
          <t>บูรพาวิถี</t>
        </is>
      </c>
      <c r="C64" t="inlineStr">
        <is>
          <t>บางสมัคร</t>
        </is>
      </c>
      <c r="D64" s="2" t="n">
        <v>3513410</v>
      </c>
    </row>
    <row r="65">
      <c r="A65" t="n">
        <v>2566</v>
      </c>
      <c r="B65" t="inlineStr">
        <is>
          <t>ศรีรัช</t>
        </is>
      </c>
      <c r="C65" t="inlineStr">
        <is>
          <t>สะพานสว่าง</t>
        </is>
      </c>
      <c r="D65" s="2" t="n">
        <v>3398375</v>
      </c>
    </row>
    <row r="66">
      <c r="A66" t="n">
        <v>2566</v>
      </c>
      <c r="B66" t="inlineStr">
        <is>
          <t>อุดรรัถยา</t>
        </is>
      </c>
      <c r="C66" t="inlineStr">
        <is>
          <t>เชียงราก (ขาออก)</t>
        </is>
      </c>
      <c r="D66" s="2" t="n">
        <v>3395617</v>
      </c>
    </row>
    <row r="67">
      <c r="A67" t="n">
        <v>2566</v>
      </c>
      <c r="B67" t="inlineStr">
        <is>
          <t>ทางพิเศษกาญจนาภิเษก(บางพลี-สุขสวัสดิ์)</t>
        </is>
      </c>
      <c r="C67" t="inlineStr">
        <is>
          <t>เทพารักษ์ (ทางออก 4)</t>
        </is>
      </c>
      <c r="D67" s="2" t="n">
        <v>3390906</v>
      </c>
    </row>
    <row r="68">
      <c r="A68" t="n">
        <v>2566</v>
      </c>
      <c r="B68" t="inlineStr">
        <is>
          <t>ศรีรัช-วงแหวนรอบนอกกรุงเทพมหานคร</t>
        </is>
      </c>
      <c r="C68" t="inlineStr">
        <is>
          <t>กำแพงเพชร 2</t>
        </is>
      </c>
      <c r="D68" s="2" t="n">
        <v>3386029</v>
      </c>
    </row>
    <row r="69">
      <c r="A69" t="n">
        <v>2566</v>
      </c>
      <c r="B69" t="inlineStr">
        <is>
          <t>ทางพิเศษกาญจนาภิเษก(บางพลี-สุขสวัสดิ์)</t>
        </is>
      </c>
      <c r="C69" t="inlineStr">
        <is>
          <t>บางเมือง (ทางออก 2)</t>
        </is>
      </c>
      <c r="D69" s="2" t="n">
        <v>3372000</v>
      </c>
    </row>
    <row r="70">
      <c r="A70" t="n">
        <v>2566</v>
      </c>
      <c r="B70" t="inlineStr">
        <is>
          <t>บูรพาวิถี</t>
        </is>
      </c>
      <c r="C70" t="inlineStr">
        <is>
          <t>บางเสาธง</t>
        </is>
      </c>
      <c r="D70" s="2" t="n">
        <v>3360412</v>
      </c>
    </row>
    <row r="71">
      <c r="A71" t="n">
        <v>2566</v>
      </c>
      <c r="B71" t="inlineStr">
        <is>
          <t>ทางพิเศษกาญจนาภิเษก(บางพลี-สุขสวัสดิ์)</t>
        </is>
      </c>
      <c r="C71" t="inlineStr">
        <is>
          <t>เทพารักษ์ (ทางออก 3)</t>
        </is>
      </c>
      <c r="D71" s="2" t="n">
        <v>3333524</v>
      </c>
    </row>
    <row r="72">
      <c r="A72" t="n">
        <v>2566</v>
      </c>
      <c r="B72" t="inlineStr">
        <is>
          <t>ศรีรัช</t>
        </is>
      </c>
      <c r="C72" t="inlineStr">
        <is>
          <t>งามวงศ์วาน 1</t>
        </is>
      </c>
      <c r="D72" s="2" t="n">
        <v>3322998</v>
      </c>
    </row>
    <row r="73">
      <c r="A73" t="n">
        <v>2566</v>
      </c>
      <c r="B73" t="inlineStr">
        <is>
          <t>ศรีรัช-วงแหวนรอบนอกกรุงเทพมหานคร</t>
        </is>
      </c>
      <c r="C73" t="inlineStr">
        <is>
          <t>ตลิ่งชัน</t>
        </is>
      </c>
      <c r="D73" s="2" t="n">
        <v>3294464</v>
      </c>
    </row>
    <row r="74">
      <c r="A74" t="n">
        <v>2566</v>
      </c>
      <c r="B74" t="inlineStr">
        <is>
          <t>ศรีรัช-วงแหวนรอบนอกกรุงเทพมหานคร</t>
        </is>
      </c>
      <c r="C74" t="inlineStr">
        <is>
          <t>บางซื่อ 1</t>
        </is>
      </c>
      <c r="D74" s="2" t="n">
        <v>3261374</v>
      </c>
    </row>
    <row r="75">
      <c r="A75" t="n">
        <v>2566</v>
      </c>
      <c r="B75" t="inlineStr">
        <is>
          <t>อุดรรัถยา</t>
        </is>
      </c>
      <c r="C75" t="inlineStr">
        <is>
          <t>เชียงราก (ขาเข้า)</t>
        </is>
      </c>
      <c r="D75" s="2" t="n">
        <v>3255564</v>
      </c>
    </row>
    <row r="76">
      <c r="A76" t="n">
        <v>2566</v>
      </c>
      <c r="B76" t="inlineStr">
        <is>
          <t>ศรีรัช-วงแหวนรอบนอกกรุงเทพมหานคร</t>
        </is>
      </c>
      <c r="C76" t="inlineStr">
        <is>
          <t>บรมราชชนนี</t>
        </is>
      </c>
      <c r="D76" s="2" t="n">
        <v>3048728</v>
      </c>
    </row>
    <row r="77">
      <c r="A77" t="n">
        <v>2566</v>
      </c>
      <c r="B77" t="inlineStr">
        <is>
          <t>เฉลิมมหานคร</t>
        </is>
      </c>
      <c r="C77" t="inlineStr">
        <is>
          <t>อาจณรงค์</t>
        </is>
      </c>
      <c r="D77" s="2" t="n">
        <v>3008090</v>
      </c>
    </row>
    <row r="78">
      <c r="A78" t="n">
        <v>2566</v>
      </c>
      <c r="B78" t="inlineStr">
        <is>
          <t>อุดรรัถยา</t>
        </is>
      </c>
      <c r="C78" t="inlineStr">
        <is>
          <t>บางปะอิน (ขาออก)</t>
        </is>
      </c>
      <c r="D78" s="2" t="n">
        <v>2939756</v>
      </c>
    </row>
    <row r="79">
      <c r="A79" t="n">
        <v>2566</v>
      </c>
      <c r="B79" t="inlineStr">
        <is>
          <t>ศรีรัช</t>
        </is>
      </c>
      <c r="C79" t="inlineStr">
        <is>
          <t>คลองประปา 2</t>
        </is>
      </c>
      <c r="D79" s="2" t="n">
        <v>2936440</v>
      </c>
    </row>
    <row r="80">
      <c r="A80" t="n">
        <v>2566</v>
      </c>
      <c r="B80" t="inlineStr">
        <is>
          <t>บูรพาวิถี</t>
        </is>
      </c>
      <c r="C80" t="inlineStr">
        <is>
          <t>บางพลี 2</t>
        </is>
      </c>
      <c r="D80" s="2" t="n">
        <v>2874213</v>
      </c>
    </row>
    <row r="81">
      <c r="A81" t="n">
        <v>2566</v>
      </c>
      <c r="B81" t="inlineStr">
        <is>
          <t>ฉลองรัช</t>
        </is>
      </c>
      <c r="C81" t="inlineStr">
        <is>
          <t>พัฒนาการ 2</t>
        </is>
      </c>
      <c r="D81" s="2" t="n">
        <v>2748593</v>
      </c>
    </row>
    <row r="82">
      <c r="A82" t="n">
        <v>2566</v>
      </c>
      <c r="B82" t="inlineStr">
        <is>
          <t>บูรพาวิถี</t>
        </is>
      </c>
      <c r="C82" t="inlineStr">
        <is>
          <t>เมืองใหม่บางพลี</t>
        </is>
      </c>
      <c r="D82" s="2" t="n">
        <v>2747162</v>
      </c>
    </row>
    <row r="83">
      <c r="A83" t="n">
        <v>2566</v>
      </c>
      <c r="B83" t="inlineStr">
        <is>
          <t>อุดรรัถยา</t>
        </is>
      </c>
      <c r="C83" t="inlineStr">
        <is>
          <t>บางพูน (ขาเข้า)</t>
        </is>
      </c>
      <c r="D83" s="2" t="n">
        <v>2739202</v>
      </c>
    </row>
    <row r="84">
      <c r="A84" t="n">
        <v>2566</v>
      </c>
      <c r="B84" t="inlineStr">
        <is>
          <t>เฉลิมมหานคร</t>
        </is>
      </c>
      <c r="C84" t="inlineStr">
        <is>
          <t>ท่าเรือ 1</t>
        </is>
      </c>
      <c r="D84" s="2" t="n">
        <v>2697059</v>
      </c>
    </row>
    <row r="85">
      <c r="A85" t="n">
        <v>2566</v>
      </c>
      <c r="B85" t="inlineStr">
        <is>
          <t>ทางพิเศษกาญจนาภิเษก(บางพลี-สุขสวัสดิ์)</t>
        </is>
      </c>
      <c r="C85" t="inlineStr">
        <is>
          <t>บางเมือง (ทางออก 1)</t>
        </is>
      </c>
      <c r="D85" s="2" t="n">
        <v>2688279</v>
      </c>
    </row>
    <row r="86">
      <c r="A86" t="n">
        <v>2566</v>
      </c>
      <c r="B86" t="inlineStr">
        <is>
          <t>อุดรรัถยา</t>
        </is>
      </c>
      <c r="C86" t="inlineStr">
        <is>
          <t>บางปะอิน (ขาเข้า)</t>
        </is>
      </c>
      <c r="D86" s="2" t="n">
        <v>2667902</v>
      </c>
    </row>
    <row r="87">
      <c r="A87" t="n">
        <v>2566</v>
      </c>
      <c r="B87" t="inlineStr">
        <is>
          <t>เฉลิมมหานคร</t>
        </is>
      </c>
      <c r="C87" t="inlineStr">
        <is>
          <t>เพชรบุรี</t>
        </is>
      </c>
      <c r="D87" s="2" t="n">
        <v>2655002</v>
      </c>
    </row>
    <row r="88">
      <c r="A88" t="n">
        <v>2566</v>
      </c>
      <c r="B88" t="inlineStr">
        <is>
          <t>ทางพิเศษกาญจนาภิเษก(บางพลี-สุขสวัสดิ์)</t>
        </is>
      </c>
      <c r="C88" t="inlineStr">
        <is>
          <t>ปากน้ำ (ทางออก 1)</t>
        </is>
      </c>
      <c r="D88" s="2" t="n">
        <v>2541988</v>
      </c>
    </row>
    <row r="89">
      <c r="A89" t="n">
        <v>2566</v>
      </c>
      <c r="B89" t="inlineStr">
        <is>
          <t>เฉลิมมหานคร</t>
        </is>
      </c>
      <c r="C89" t="inlineStr">
        <is>
          <t>ดินแดง 1</t>
        </is>
      </c>
      <c r="D89" s="2" t="n">
        <v>2312227</v>
      </c>
    </row>
    <row r="90">
      <c r="A90" t="n">
        <v>2566</v>
      </c>
      <c r="B90" t="inlineStr">
        <is>
          <t>ศรีรัช</t>
        </is>
      </c>
      <c r="C90" t="inlineStr">
        <is>
          <t>รามคำแหง</t>
        </is>
      </c>
      <c r="D90" s="2" t="n">
        <v>2181205</v>
      </c>
    </row>
    <row r="91">
      <c r="A91" t="n">
        <v>2566</v>
      </c>
      <c r="B91" t="inlineStr">
        <is>
          <t>อุดรรัถยา</t>
        </is>
      </c>
      <c r="C91" t="inlineStr">
        <is>
          <t>บางพูน (ขาออก)</t>
        </is>
      </c>
      <c r="D91" s="2" t="n">
        <v>2119725</v>
      </c>
    </row>
    <row r="92">
      <c r="A92" t="n">
        <v>2566</v>
      </c>
      <c r="B92" t="inlineStr">
        <is>
          <t>ศรีรัช</t>
        </is>
      </c>
      <c r="C92" t="inlineStr">
        <is>
          <t>คลองประปา 1</t>
        </is>
      </c>
      <c r="D92" s="2" t="n">
        <v>2088111</v>
      </c>
    </row>
    <row r="93">
      <c r="A93" t="n">
        <v>2566</v>
      </c>
      <c r="B93" t="inlineStr">
        <is>
          <t>ทางพิเศษกาญจนาภิเษก(บางพลี-สุขสวัสดิ์)</t>
        </is>
      </c>
      <c r="C93" t="inlineStr">
        <is>
          <t>เทพารักษ์ (ทางออก 2)</t>
        </is>
      </c>
      <c r="D93" s="2" t="n">
        <v>2059619</v>
      </c>
    </row>
    <row r="94">
      <c r="A94" t="n">
        <v>2566</v>
      </c>
      <c r="B94" t="inlineStr">
        <is>
          <t>อุดรรัถยา</t>
        </is>
      </c>
      <c r="C94" t="inlineStr">
        <is>
          <t>เมืองทองธานี (ขาเข้า)</t>
        </is>
      </c>
      <c r="D94" s="2" t="n">
        <v>2043391</v>
      </c>
    </row>
    <row r="95">
      <c r="A95" t="n">
        <v>2566</v>
      </c>
      <c r="B95" t="inlineStr">
        <is>
          <t>ทางพิเศษกาญจนาภิเษก(บางพลี-สุขสวัสดิ์)</t>
        </is>
      </c>
      <c r="C95" t="inlineStr">
        <is>
          <t>ปากน้ำ (ทางออก 2)</t>
        </is>
      </c>
      <c r="D95" s="2" t="n">
        <v>2000321</v>
      </c>
    </row>
    <row r="96">
      <c r="A96" t="n">
        <v>2566</v>
      </c>
      <c r="B96" t="inlineStr">
        <is>
          <t>ศรีรัช</t>
        </is>
      </c>
      <c r="C96" t="inlineStr">
        <is>
          <t>บางซื่อ</t>
        </is>
      </c>
      <c r="D96" s="2" t="n">
        <v>1943442</v>
      </c>
    </row>
    <row r="97">
      <c r="A97" t="n">
        <v>2566</v>
      </c>
      <c r="B97" t="inlineStr">
        <is>
          <t>ศรีรัช</t>
        </is>
      </c>
      <c r="C97" t="inlineStr">
        <is>
          <t>รัชดาภิเษก</t>
        </is>
      </c>
      <c r="D97" s="2" t="n">
        <v>1879757</v>
      </c>
    </row>
    <row r="98">
      <c r="A98" t="n">
        <v>2566</v>
      </c>
      <c r="B98" t="inlineStr">
        <is>
          <t>ศรีรัช-วงแหวนรอบนอกกรุงเทพมหานคร</t>
        </is>
      </c>
      <c r="C98" t="inlineStr">
        <is>
          <t>สะพานพระราม 7</t>
        </is>
      </c>
      <c r="D98" s="2" t="n">
        <v>1866590</v>
      </c>
    </row>
    <row r="99">
      <c r="A99" t="n">
        <v>2566</v>
      </c>
      <c r="B99" t="inlineStr">
        <is>
          <t>ศรีรัช</t>
        </is>
      </c>
      <c r="C99" t="inlineStr">
        <is>
          <t>พหลโยธิน 1</t>
        </is>
      </c>
      <c r="D99" s="2" t="n">
        <v>1826070</v>
      </c>
    </row>
    <row r="100">
      <c r="A100" t="n">
        <v>2566</v>
      </c>
      <c r="B100" t="inlineStr">
        <is>
          <t>ศรีรัช</t>
        </is>
      </c>
      <c r="C100" t="inlineStr">
        <is>
          <t>พหลโยธิน 2</t>
        </is>
      </c>
      <c r="D100" s="2" t="n">
        <v>1809012</v>
      </c>
    </row>
    <row r="101">
      <c r="A101" t="n">
        <v>2566</v>
      </c>
      <c r="B101" t="inlineStr">
        <is>
          <t>ฉลองรัช</t>
        </is>
      </c>
      <c r="C101" t="inlineStr">
        <is>
          <t>สุขาภิบาล 5-2</t>
        </is>
      </c>
      <c r="D101" s="2" t="n">
        <v>1735278</v>
      </c>
    </row>
    <row r="102">
      <c r="A102" t="n">
        <v>2566</v>
      </c>
      <c r="B102" t="inlineStr">
        <is>
          <t>บูรพาวิถี</t>
        </is>
      </c>
      <c r="C102" t="inlineStr">
        <is>
          <t>บางพลี 1</t>
        </is>
      </c>
      <c r="D102" s="2" t="n">
        <v>1729988</v>
      </c>
    </row>
    <row r="103">
      <c r="A103" t="n">
        <v>2566</v>
      </c>
      <c r="B103" t="inlineStr">
        <is>
          <t>ศรีรัช</t>
        </is>
      </c>
      <c r="C103" t="inlineStr">
        <is>
          <t>พระราม 3</t>
        </is>
      </c>
      <c r="D103" s="2" t="n">
        <v>1724154</v>
      </c>
    </row>
    <row r="104">
      <c r="A104" t="n">
        <v>2566</v>
      </c>
      <c r="B104" t="inlineStr">
        <is>
          <t>ฉลองรัช</t>
        </is>
      </c>
      <c r="C104" t="inlineStr">
        <is>
          <t>อาจณรงค์ 2 (บางนา)</t>
        </is>
      </c>
      <c r="D104" s="2" t="n">
        <v>1697813</v>
      </c>
    </row>
    <row r="105">
      <c r="A105" t="n">
        <v>2566</v>
      </c>
      <c r="B105" t="inlineStr">
        <is>
          <t>ทางพิเศษกาญจนาภิเษก(บางพลี-สุขสวัสดิ์)</t>
        </is>
      </c>
      <c r="C105" t="inlineStr">
        <is>
          <t>บางขุนเทียน (ทางออก 2)</t>
        </is>
      </c>
      <c r="D105" s="2" t="n">
        <v>1684157</v>
      </c>
    </row>
    <row r="106">
      <c r="A106" t="n">
        <v>2566</v>
      </c>
      <c r="B106" t="inlineStr">
        <is>
          <t>บูรพาวิถี</t>
        </is>
      </c>
      <c r="C106" t="inlineStr">
        <is>
          <t>บางแก้ว</t>
        </is>
      </c>
      <c r="D106" s="2" t="n">
        <v>1661719</v>
      </c>
    </row>
    <row r="107">
      <c r="A107" t="n">
        <v>2566</v>
      </c>
      <c r="B107" t="inlineStr">
        <is>
          <t>บูรพาวิถี</t>
        </is>
      </c>
      <c r="C107" t="inlineStr">
        <is>
          <t>บางพลีน้อย</t>
        </is>
      </c>
      <c r="D107" s="2" t="n">
        <v>1649947</v>
      </c>
    </row>
    <row r="108">
      <c r="A108" t="n">
        <v>2566</v>
      </c>
      <c r="B108" t="inlineStr">
        <is>
          <t>ศรีรัช</t>
        </is>
      </c>
      <c r="C108" t="inlineStr">
        <is>
          <t>สาธุประดิษฐ์ 3</t>
        </is>
      </c>
      <c r="D108" s="2" t="n">
        <v>1635883</v>
      </c>
    </row>
    <row r="109">
      <c r="A109" t="n">
        <v>2566</v>
      </c>
      <c r="B109" t="inlineStr">
        <is>
          <t>ทางพิเศษกาญจนาภิเษก(บางพลี-สุขสวัสดิ์)</t>
        </is>
      </c>
      <c r="C109" t="inlineStr">
        <is>
          <t>ปากน้ำ (ทางออก 4)</t>
        </is>
      </c>
      <c r="D109" s="2" t="n">
        <v>1588654</v>
      </c>
    </row>
    <row r="110">
      <c r="A110" t="n">
        <v>2566</v>
      </c>
      <c r="B110" t="inlineStr">
        <is>
          <t>ศรีรัช</t>
        </is>
      </c>
      <c r="C110" t="inlineStr">
        <is>
          <t>สาทร</t>
        </is>
      </c>
      <c r="D110" s="2" t="n">
        <v>1568875</v>
      </c>
    </row>
    <row r="111">
      <c r="A111" t="n">
        <v>2566</v>
      </c>
      <c r="B111" t="inlineStr">
        <is>
          <t>อุดรรัถยา</t>
        </is>
      </c>
      <c r="C111" t="inlineStr">
        <is>
          <t>เมืองทองธานี (ขาออก)</t>
        </is>
      </c>
      <c r="D111" s="2" t="n">
        <v>1413627</v>
      </c>
    </row>
    <row r="112">
      <c r="A112" t="n">
        <v>2566</v>
      </c>
      <c r="B112" t="inlineStr">
        <is>
          <t>บูรพาวิถี</t>
        </is>
      </c>
      <c r="C112" t="inlineStr">
        <is>
          <t>บางบ่อ</t>
        </is>
      </c>
      <c r="D112" s="2" t="n">
        <v>1346033</v>
      </c>
    </row>
    <row r="113">
      <c r="A113" t="n">
        <v>2566</v>
      </c>
      <c r="B113" t="inlineStr">
        <is>
          <t>บูรพาวิถี</t>
        </is>
      </c>
      <c r="C113" t="inlineStr">
        <is>
          <t>บางปะกง 1</t>
        </is>
      </c>
      <c r="D113" s="2" t="n">
        <v>1327562</v>
      </c>
    </row>
    <row r="114">
      <c r="A114" t="n">
        <v>2566</v>
      </c>
      <c r="B114" t="inlineStr">
        <is>
          <t>ศรีรัช-วงแหวนรอบนอกกรุงเทพมหานคร</t>
        </is>
      </c>
      <c r="C114" t="inlineStr">
        <is>
          <t>บางบำหรุ</t>
        </is>
      </c>
      <c r="D114" s="2" t="n">
        <v>1248290</v>
      </c>
    </row>
    <row r="115">
      <c r="A115" t="n">
        <v>2566</v>
      </c>
      <c r="B115" t="inlineStr">
        <is>
          <t>ศรีรัช</t>
        </is>
      </c>
      <c r="C115" t="inlineStr">
        <is>
          <t>อุรุพงษ์</t>
        </is>
      </c>
      <c r="D115" s="2" t="n">
        <v>1238922</v>
      </c>
    </row>
    <row r="116">
      <c r="A116" t="n">
        <v>2566</v>
      </c>
      <c r="B116" t="inlineStr">
        <is>
          <t>บูรพาวิถี</t>
        </is>
      </c>
      <c r="C116" t="inlineStr">
        <is>
          <t>สุวรรณภูมิ 1</t>
        </is>
      </c>
      <c r="D116" s="2" t="n">
        <v>1226298</v>
      </c>
    </row>
    <row r="117">
      <c r="A117" t="n">
        <v>2566</v>
      </c>
      <c r="B117" t="inlineStr">
        <is>
          <t>ศรีรัช</t>
        </is>
      </c>
      <c r="C117" t="inlineStr">
        <is>
          <t>อโศก 2</t>
        </is>
      </c>
      <c r="D117" s="2" t="n">
        <v>1198541</v>
      </c>
    </row>
    <row r="118">
      <c r="A118" t="n">
        <v>2566</v>
      </c>
      <c r="B118" t="inlineStr">
        <is>
          <t>เฉลิมมหานคร</t>
        </is>
      </c>
      <c r="C118" t="inlineStr">
        <is>
          <t>สาธุประดิษฐ์ 2</t>
        </is>
      </c>
      <c r="D118" s="2" t="n">
        <v>985590</v>
      </c>
    </row>
    <row r="119">
      <c r="A119" t="n">
        <v>2566</v>
      </c>
      <c r="B119" t="inlineStr">
        <is>
          <t>บูรพาวิถี</t>
        </is>
      </c>
      <c r="C119" t="inlineStr">
        <is>
          <t>สุวรรณภูมิ 2</t>
        </is>
      </c>
      <c r="D119" s="2" t="n">
        <v>942530</v>
      </c>
    </row>
    <row r="120">
      <c r="A120" t="n">
        <v>2566</v>
      </c>
      <c r="B120" t="inlineStr">
        <is>
          <t>ทางพิเศษกาญจนาภิเษก(บางพลี-สุขสวัสดิ์)</t>
        </is>
      </c>
      <c r="C120" t="inlineStr">
        <is>
          <t>ปากน้ำ (ทางออก 3)</t>
        </is>
      </c>
      <c r="D120" s="2" t="n">
        <v>866802</v>
      </c>
    </row>
    <row r="121">
      <c r="A121" t="n">
        <v>2566</v>
      </c>
      <c r="B121" t="inlineStr">
        <is>
          <t>ศรีรัช-วงแหวนรอบนอกกรุงเทพมหานคร</t>
        </is>
      </c>
      <c r="C121" t="inlineStr">
        <is>
          <t>บางกรวย</t>
        </is>
      </c>
      <c r="D121" s="2" t="n">
        <v>828205</v>
      </c>
    </row>
    <row r="122">
      <c r="A122" t="n">
        <v>2566</v>
      </c>
      <c r="B122" t="inlineStr">
        <is>
          <t>บูรพาวิถี</t>
        </is>
      </c>
      <c r="C122" t="inlineStr">
        <is>
          <t>บางนา กม.9-1</t>
        </is>
      </c>
      <c r="D122" s="2" t="n">
        <v>704440</v>
      </c>
    </row>
    <row r="123">
      <c r="A123" t="n">
        <v>2566</v>
      </c>
      <c r="B123" t="inlineStr">
        <is>
          <t>ทางพิเศษกาญจนาภิเษก(บางพลี-สุขสวัสดิ์)</t>
        </is>
      </c>
      <c r="C123" t="inlineStr">
        <is>
          <t>เทพารักษ์ (ทางออก 1)</t>
        </is>
      </c>
      <c r="D123" s="2" t="n">
        <v>656182</v>
      </c>
    </row>
    <row r="124">
      <c r="A124" t="n">
        <v>2566</v>
      </c>
      <c r="B124" t="inlineStr">
        <is>
          <t>บูรพาวิถี</t>
        </is>
      </c>
      <c r="C124" t="inlineStr">
        <is>
          <t>บางนา กม.9-2</t>
        </is>
      </c>
      <c r="D124" s="2" t="n">
        <v>564638</v>
      </c>
    </row>
    <row r="125">
      <c r="A125" t="n">
        <v>2566</v>
      </c>
      <c r="B125" t="inlineStr">
        <is>
          <t>เฉลิมมหานคร</t>
        </is>
      </c>
      <c r="C125" t="inlineStr">
        <is>
          <t>อาจณรงค์ 3</t>
        </is>
      </c>
      <c r="D125" s="2" t="n">
        <v>422887</v>
      </c>
    </row>
    <row r="126">
      <c r="A126" t="n">
        <v>2566</v>
      </c>
      <c r="B126" t="inlineStr">
        <is>
          <t>บูรพาวิถี</t>
        </is>
      </c>
      <c r="C126" t="inlineStr">
        <is>
          <t>บางปะกง 2</t>
        </is>
      </c>
      <c r="D126" s="2" t="n">
        <v>199503</v>
      </c>
    </row>
    <row r="127">
      <c r="A127" t="n">
        <v>2566</v>
      </c>
      <c r="B127" t="inlineStr">
        <is>
          <t>บูรพาวิถี</t>
        </is>
      </c>
      <c r="C127" t="inlineStr">
        <is>
          <t>บางวัว</t>
        </is>
      </c>
      <c r="D127" s="2" t="n">
        <v>190335</v>
      </c>
    </row>
    <row r="128">
      <c r="A128" t="n">
        <v>2566</v>
      </c>
      <c r="B128" t="inlineStr">
        <is>
          <t>ศรีรัช-วงแหวนรอบนอกกรุงเทพมหานคร</t>
        </is>
      </c>
      <c r="C128" t="inlineStr">
        <is>
          <t>บางพลัด</t>
        </is>
      </c>
      <c r="D128" s="2" t="n">
        <v>58812</v>
      </c>
    </row>
    <row r="129">
      <c r="A129" t="n">
        <v>2567</v>
      </c>
      <c r="B129" t="inlineStr">
        <is>
          <t>ศรีรัช</t>
        </is>
      </c>
      <c r="C129" t="inlineStr">
        <is>
          <t>อโศก 4</t>
        </is>
      </c>
      <c r="D129" s="2" t="n">
        <v>23402234</v>
      </c>
    </row>
    <row r="130">
      <c r="A130" t="n">
        <v>2567</v>
      </c>
      <c r="B130" t="inlineStr">
        <is>
          <t>ศรีรัช</t>
        </is>
      </c>
      <c r="C130" t="inlineStr">
        <is>
          <t>ศรีนครินทร์</t>
        </is>
      </c>
      <c r="D130" s="2" t="n">
        <v>21607938</v>
      </c>
    </row>
    <row r="131">
      <c r="A131" t="n">
        <v>2567</v>
      </c>
      <c r="B131" t="inlineStr">
        <is>
          <t>ศรีรัช</t>
        </is>
      </c>
      <c r="C131" t="inlineStr">
        <is>
          <t>อโศก 3</t>
        </is>
      </c>
      <c r="D131" s="2" t="n">
        <v>21240599</v>
      </c>
    </row>
    <row r="132">
      <c r="A132" t="n">
        <v>2567</v>
      </c>
      <c r="B132" t="inlineStr">
        <is>
          <t>ศรีรัช</t>
        </is>
      </c>
      <c r="C132" t="inlineStr">
        <is>
          <t>ประชาชื่น (ขาออก)</t>
        </is>
      </c>
      <c r="D132" s="2" t="n">
        <v>21159195</v>
      </c>
    </row>
    <row r="133">
      <c r="A133" t="n">
        <v>2567</v>
      </c>
      <c r="B133" t="inlineStr">
        <is>
          <t>เฉลิมมหานคร</t>
        </is>
      </c>
      <c r="C133" t="inlineStr">
        <is>
          <t>บางนา</t>
        </is>
      </c>
      <c r="D133" s="2" t="n">
        <v>17045508</v>
      </c>
    </row>
    <row r="134">
      <c r="A134" t="n">
        <v>2567</v>
      </c>
      <c r="B134" t="inlineStr">
        <is>
          <t>เฉลิมมหานคร</t>
        </is>
      </c>
      <c r="C134" t="inlineStr">
        <is>
          <t>ดินแดง</t>
        </is>
      </c>
      <c r="D134" s="2" t="n">
        <v>16457091</v>
      </c>
    </row>
    <row r="135">
      <c r="A135" s="8" t="n">
        <v>2567</v>
      </c>
      <c r="B135" s="8" t="inlineStr">
        <is>
          <t>ศรีรัช</t>
        </is>
      </c>
      <c r="C135" s="8" t="inlineStr">
        <is>
          <t>ประชาชื่น (ขาเข้า-ในเมือง)</t>
        </is>
      </c>
      <c r="D135" s="9" t="n">
        <v>16437887</v>
      </c>
      <c r="E135" s="8" t="inlineStr">
        <is>
          <t>ซ้ำ</t>
        </is>
      </c>
    </row>
    <row r="136">
      <c r="A136" s="8" t="n">
        <v>2567</v>
      </c>
      <c r="B136" s="8" t="inlineStr">
        <is>
          <t>ศรีรัช</t>
        </is>
      </c>
      <c r="C136" s="8" t="inlineStr">
        <is>
          <t>ประชาชื่น (ขาเข้า-นอกเมือง)</t>
        </is>
      </c>
      <c r="D136" s="9" t="n">
        <v>16437887</v>
      </c>
      <c r="E136" s="8" t="inlineStr">
        <is>
          <t>ซ้ำ</t>
        </is>
      </c>
    </row>
    <row r="137">
      <c r="A137" t="n">
        <v>2567</v>
      </c>
      <c r="B137" t="inlineStr">
        <is>
          <t>เฉลิมมหานคร</t>
        </is>
      </c>
      <c r="C137" t="inlineStr">
        <is>
          <t>ดาวคะนอง</t>
        </is>
      </c>
      <c r="D137" s="2" t="n">
        <v>12054981</v>
      </c>
    </row>
    <row r="138">
      <c r="A138" t="n">
        <v>2567</v>
      </c>
      <c r="B138" t="inlineStr">
        <is>
          <t>ฉลองรัช</t>
        </is>
      </c>
      <c r="C138" t="inlineStr">
        <is>
          <t>จตุโชติ</t>
        </is>
      </c>
      <c r="D138" s="2" t="n">
        <v>10879788</v>
      </c>
    </row>
    <row r="139">
      <c r="A139" t="n">
        <v>2567</v>
      </c>
      <c r="B139" t="inlineStr">
        <is>
          <t>ศรีรัช</t>
        </is>
      </c>
      <c r="C139" t="inlineStr">
        <is>
          <t>พระราม 9-1 (ศรีรัช)</t>
        </is>
      </c>
      <c r="D139" s="2" t="n">
        <v>10823639</v>
      </c>
    </row>
    <row r="140">
      <c r="A140" t="n">
        <v>2567</v>
      </c>
      <c r="B140" t="inlineStr">
        <is>
          <t>บูรพาวิถี</t>
        </is>
      </c>
      <c r="C140" t="inlineStr">
        <is>
          <t>บางนา กม.6 (ขาเข้า) ช่องทางที่ 1 - 4</t>
        </is>
      </c>
      <c r="D140" s="2" t="n">
        <v>10040339</v>
      </c>
    </row>
    <row r="141">
      <c r="A141" t="n">
        <v>2567</v>
      </c>
      <c r="B141" t="inlineStr">
        <is>
          <t>ฉลองรัช</t>
        </is>
      </c>
      <c r="C141" t="inlineStr">
        <is>
          <t>พระราม 9-1 (ฉลองรัช)</t>
        </is>
      </c>
      <c r="D141" s="2" t="n">
        <v>9857633</v>
      </c>
    </row>
    <row r="142">
      <c r="A142" t="n">
        <v>2567</v>
      </c>
      <c r="B142" t="inlineStr">
        <is>
          <t>ทางพิเศษกาญจนาภิเษก(บางพลี-สุขสวัสดิ์)</t>
        </is>
      </c>
      <c r="C142" t="inlineStr">
        <is>
          <t>บางขุนเทียน (ทางออก 1)</t>
        </is>
      </c>
      <c r="D142" s="2" t="n">
        <v>9601656</v>
      </c>
    </row>
    <row r="143">
      <c r="A143" t="n">
        <v>2567</v>
      </c>
      <c r="B143" t="inlineStr">
        <is>
          <t>ทางพิเศษกาญจนาภิเษก(บางพลี-สุขสวัสดิ์)</t>
        </is>
      </c>
      <c r="C143" t="inlineStr">
        <is>
          <t>ปู่เจ้าสมิงพราย (ขาออก)</t>
        </is>
      </c>
      <c r="D143" s="2" t="n">
        <v>9157651</v>
      </c>
    </row>
    <row r="144">
      <c r="A144" t="n">
        <v>2567</v>
      </c>
      <c r="B144" t="inlineStr">
        <is>
          <t>ทางพิเศษกาญจนาภิเษก(บางพลี-สุขสวัสดิ์)</t>
        </is>
      </c>
      <c r="C144" t="inlineStr">
        <is>
          <t>บางแก้ว (ทางออก 1)</t>
        </is>
      </c>
      <c r="D144" s="2" t="n">
        <v>8491284</v>
      </c>
    </row>
    <row r="145">
      <c r="A145" t="n">
        <v>2567</v>
      </c>
      <c r="B145" t="inlineStr">
        <is>
          <t>ศรีรัช</t>
        </is>
      </c>
      <c r="C145" t="inlineStr">
        <is>
          <t>ประชาชื่น 2</t>
        </is>
      </c>
      <c r="D145" s="2" t="n">
        <v>7713310</v>
      </c>
    </row>
    <row r="146">
      <c r="A146" t="n">
        <v>2567</v>
      </c>
      <c r="B146" t="inlineStr">
        <is>
          <t>บูรพาวิถี</t>
        </is>
      </c>
      <c r="C146" t="inlineStr">
        <is>
          <t>ชลบุรี</t>
        </is>
      </c>
      <c r="D146" s="2" t="n">
        <v>7570883</v>
      </c>
    </row>
    <row r="147">
      <c r="A147" t="n">
        <v>2567</v>
      </c>
      <c r="B147" t="inlineStr">
        <is>
          <t>ทางพิเศษกาญจนาภิเษก(บางพลี-สุขสวัสดิ์)</t>
        </is>
      </c>
      <c r="C147" t="inlineStr">
        <is>
          <t>บางแก้ว (ทางออก 3)</t>
        </is>
      </c>
      <c r="D147" s="2" t="n">
        <v>7115101</v>
      </c>
    </row>
    <row r="148">
      <c r="A148" t="n">
        <v>2567</v>
      </c>
      <c r="B148" t="inlineStr">
        <is>
          <t>บูรพาวิถี</t>
        </is>
      </c>
      <c r="C148" t="inlineStr">
        <is>
          <t>วงแหวนรอบนอก (บางแก้ว)</t>
        </is>
      </c>
      <c r="D148" s="2" t="n">
        <v>6784123</v>
      </c>
    </row>
    <row r="149">
      <c r="A149" t="n">
        <v>2567</v>
      </c>
      <c r="B149" t="inlineStr">
        <is>
          <t>ทางพิเศษกาญจนาภิเษก(บางพลี-สุขสวัสดิ์)</t>
        </is>
      </c>
      <c r="C149" t="inlineStr">
        <is>
          <t>บางครุ (ทางออก 1)</t>
        </is>
      </c>
      <c r="D149" s="2" t="n">
        <v>6765123</v>
      </c>
    </row>
    <row r="150">
      <c r="A150" t="n">
        <v>2567</v>
      </c>
      <c r="B150" t="inlineStr">
        <is>
          <t>เฉลิมมหานคร</t>
        </is>
      </c>
      <c r="C150" t="inlineStr">
        <is>
          <t>สุขสวัสดิ์</t>
        </is>
      </c>
      <c r="D150" s="2" t="n">
        <v>6590149</v>
      </c>
    </row>
    <row r="151">
      <c r="A151" t="n">
        <v>2567</v>
      </c>
      <c r="B151" t="inlineStr">
        <is>
          <t>ทางพิเศษกาญจนาภิเษก(บางพลี-สุขสวัสดิ์)</t>
        </is>
      </c>
      <c r="C151" t="inlineStr">
        <is>
          <t>บางขุนเทียน (ทางออก 3)</t>
        </is>
      </c>
      <c r="D151" s="2" t="n">
        <v>6357936</v>
      </c>
    </row>
    <row r="152">
      <c r="A152" t="n">
        <v>2567</v>
      </c>
      <c r="B152" t="inlineStr">
        <is>
          <t>ศรีรัช</t>
        </is>
      </c>
      <c r="C152" t="inlineStr">
        <is>
          <t>สุรวงศ์</t>
        </is>
      </c>
      <c r="D152" s="2" t="n">
        <v>6342236</v>
      </c>
    </row>
    <row r="153">
      <c r="A153" t="n">
        <v>2567</v>
      </c>
      <c r="B153" t="inlineStr">
        <is>
          <t>ทางพิเศษกาญจนาภิเษก(บางพลี-สุขสวัสดิ์)</t>
        </is>
      </c>
      <c r="C153" t="inlineStr">
        <is>
          <t>บางแก้ว (ทางออก 2)</t>
        </is>
      </c>
      <c r="D153" s="2" t="n">
        <v>6115216</v>
      </c>
    </row>
    <row r="154">
      <c r="A154" t="n">
        <v>2567</v>
      </c>
      <c r="B154" t="inlineStr">
        <is>
          <t>ศรีรัช</t>
        </is>
      </c>
      <c r="C154" t="inlineStr">
        <is>
          <t>ยมราช</t>
        </is>
      </c>
      <c r="D154" s="2" t="n">
        <v>6060773</v>
      </c>
    </row>
    <row r="155">
      <c r="A155" t="n">
        <v>2567</v>
      </c>
      <c r="B155" t="inlineStr">
        <is>
          <t>ศรีรัช</t>
        </is>
      </c>
      <c r="C155" t="inlineStr">
        <is>
          <t>อโศก 3-1</t>
        </is>
      </c>
      <c r="D155" s="2" t="n">
        <v>5973916</v>
      </c>
    </row>
    <row r="156">
      <c r="A156" t="n">
        <v>2567</v>
      </c>
      <c r="B156" t="inlineStr">
        <is>
          <t>เฉลิมมหานคร</t>
        </is>
      </c>
      <c r="C156" t="inlineStr">
        <is>
          <t>บางจาก</t>
        </is>
      </c>
      <c r="D156" s="2" t="n">
        <v>5715810</v>
      </c>
    </row>
    <row r="157">
      <c r="A157" t="n">
        <v>2567</v>
      </c>
      <c r="B157" t="inlineStr">
        <is>
          <t>เฉลิมมหานคร</t>
        </is>
      </c>
      <c r="C157" t="inlineStr">
        <is>
          <t>พระรามที่สี่ 1</t>
        </is>
      </c>
      <c r="D157" s="2" t="n">
        <v>5652309</v>
      </c>
    </row>
    <row r="158">
      <c r="A158" t="n">
        <v>2567</v>
      </c>
      <c r="B158" t="inlineStr">
        <is>
          <t>เฉลิมมหานคร</t>
        </is>
      </c>
      <c r="C158" t="inlineStr">
        <is>
          <t>เลียบแม่น้ำ</t>
        </is>
      </c>
      <c r="D158" s="2" t="n">
        <v>5483756</v>
      </c>
    </row>
    <row r="159">
      <c r="A159" t="n">
        <v>2567</v>
      </c>
      <c r="B159" t="inlineStr">
        <is>
          <t>เฉลิมมหานคร</t>
        </is>
      </c>
      <c r="C159" t="inlineStr">
        <is>
          <t>อาจณรงค์ 1 (ท่าเรือ)</t>
        </is>
      </c>
      <c r="D159" s="2" t="n">
        <v>5412329</v>
      </c>
    </row>
    <row r="160">
      <c r="A160" t="n">
        <v>2567</v>
      </c>
      <c r="B160" t="inlineStr">
        <is>
          <t>ศรีรัช</t>
        </is>
      </c>
      <c r="C160" t="inlineStr">
        <is>
          <t>ย่านพหลโยธิน</t>
        </is>
      </c>
      <c r="D160" s="2" t="n">
        <v>5318928</v>
      </c>
    </row>
    <row r="161">
      <c r="A161" t="n">
        <v>2567</v>
      </c>
      <c r="B161" t="inlineStr">
        <is>
          <t>ศรีรัช-วงแหวนรอบนอกกรุงเทพมหานคร</t>
        </is>
      </c>
      <c r="C161" t="inlineStr">
        <is>
          <t>ฉิมพลี</t>
        </is>
      </c>
      <c r="D161" s="2" t="n">
        <v>5257933</v>
      </c>
    </row>
    <row r="162">
      <c r="A162" t="n">
        <v>2567</v>
      </c>
      <c r="B162" t="inlineStr">
        <is>
          <t>ศรีรัช</t>
        </is>
      </c>
      <c r="C162" t="inlineStr">
        <is>
          <t>หัวลำโพง</t>
        </is>
      </c>
      <c r="D162" s="2" t="n">
        <v>5160197</v>
      </c>
    </row>
    <row r="163">
      <c r="A163" t="n">
        <v>2567</v>
      </c>
      <c r="B163" t="inlineStr">
        <is>
          <t>ฉลองรัช</t>
        </is>
      </c>
      <c r="C163" t="inlineStr">
        <is>
          <t>โยธินพัฒนา</t>
        </is>
      </c>
      <c r="D163" s="2" t="n">
        <v>5144517</v>
      </c>
    </row>
    <row r="164">
      <c r="A164" t="n">
        <v>2567</v>
      </c>
      <c r="B164" t="inlineStr">
        <is>
          <t>ฉลองรัช</t>
        </is>
      </c>
      <c r="C164" t="inlineStr">
        <is>
          <t>รามอินทรา 1</t>
        </is>
      </c>
      <c r="D164" s="2" t="n">
        <v>5010959</v>
      </c>
    </row>
    <row r="165">
      <c r="A165" t="n">
        <v>2567</v>
      </c>
      <c r="B165" t="inlineStr">
        <is>
          <t>ศรีรัช</t>
        </is>
      </c>
      <c r="C165" t="inlineStr">
        <is>
          <t>ประชาชื่น 1</t>
        </is>
      </c>
      <c r="D165" s="2" t="n">
        <v>4959156</v>
      </c>
    </row>
    <row r="166">
      <c r="A166" t="n">
        <v>2567</v>
      </c>
      <c r="B166" t="inlineStr">
        <is>
          <t>ศรีรัช</t>
        </is>
      </c>
      <c r="C166" t="inlineStr">
        <is>
          <t>พระราม 9</t>
        </is>
      </c>
      <c r="D166" s="2" t="n">
        <v>4903387</v>
      </c>
    </row>
    <row r="167">
      <c r="A167" t="n">
        <v>2567</v>
      </c>
      <c r="B167" t="inlineStr">
        <is>
          <t>ศรีรัช</t>
        </is>
      </c>
      <c r="C167" t="inlineStr">
        <is>
          <t>บางซื่อ 2</t>
        </is>
      </c>
      <c r="D167" s="2" t="n">
        <v>4799728</v>
      </c>
    </row>
    <row r="168">
      <c r="A168" t="n">
        <v>2567</v>
      </c>
      <c r="B168" t="inlineStr">
        <is>
          <t>ฉลองรัช</t>
        </is>
      </c>
      <c r="C168" t="inlineStr">
        <is>
          <t>พระโขนง</t>
        </is>
      </c>
      <c r="D168" s="2" t="n">
        <v>4690411</v>
      </c>
    </row>
    <row r="169">
      <c r="A169" t="n">
        <v>2567</v>
      </c>
      <c r="B169" t="inlineStr">
        <is>
          <t>เฉลิมมหานคร</t>
        </is>
      </c>
      <c r="C169" t="inlineStr">
        <is>
          <t>พระรามที่สี่ 2</t>
        </is>
      </c>
      <c r="D169" s="2" t="n">
        <v>4634016</v>
      </c>
    </row>
    <row r="170">
      <c r="A170" t="n">
        <v>2567</v>
      </c>
      <c r="B170" t="inlineStr">
        <is>
          <t>เฉลิมมหานคร</t>
        </is>
      </c>
      <c r="C170" t="inlineStr">
        <is>
          <t>สุขุมวิท</t>
        </is>
      </c>
      <c r="D170" s="2" t="n">
        <v>4607046</v>
      </c>
    </row>
    <row r="171">
      <c r="A171" t="n">
        <v>2567</v>
      </c>
      <c r="B171" t="inlineStr">
        <is>
          <t>ฉลองรัช</t>
        </is>
      </c>
      <c r="C171" t="inlineStr">
        <is>
          <t>ประชาอุทิศ</t>
        </is>
      </c>
      <c r="D171" s="2" t="n">
        <v>4560684</v>
      </c>
    </row>
    <row r="172">
      <c r="A172" t="n">
        <v>2567</v>
      </c>
      <c r="B172" t="inlineStr">
        <is>
          <t>ฉลองรัช</t>
        </is>
      </c>
      <c r="C172" t="inlineStr">
        <is>
          <t>พระราม 9-2</t>
        </is>
      </c>
      <c r="D172" s="2" t="n">
        <v>4424498</v>
      </c>
    </row>
    <row r="173">
      <c r="A173" t="n">
        <v>2567</v>
      </c>
      <c r="B173" t="inlineStr">
        <is>
          <t>ฉลองรัช</t>
        </is>
      </c>
      <c r="C173" t="inlineStr">
        <is>
          <t>อาจณรงค์ 3-S1</t>
        </is>
      </c>
      <c r="D173" s="2" t="n">
        <v>4392618</v>
      </c>
    </row>
    <row r="174">
      <c r="A174" t="n">
        <v>2567</v>
      </c>
      <c r="B174" t="inlineStr">
        <is>
          <t>ทางพิเศษกาญจนาภิเษก(บางพลี-สุขสวัสดิ์)</t>
        </is>
      </c>
      <c r="C174" t="inlineStr">
        <is>
          <t>บางครุ (ทางออก 2)</t>
        </is>
      </c>
      <c r="D174" s="2" t="n">
        <v>4352971</v>
      </c>
    </row>
    <row r="175">
      <c r="A175" t="n">
        <v>2567</v>
      </c>
      <c r="B175" t="inlineStr">
        <is>
          <t>เฉลิมมหานคร</t>
        </is>
      </c>
      <c r="C175" t="inlineStr">
        <is>
          <t>ท่าเรือ 2</t>
        </is>
      </c>
      <c r="D175" s="2" t="n">
        <v>4256153</v>
      </c>
    </row>
    <row r="176">
      <c r="A176" t="n">
        <v>2567</v>
      </c>
      <c r="B176" t="inlineStr">
        <is>
          <t>ฉลองรัช</t>
        </is>
      </c>
      <c r="C176" t="inlineStr">
        <is>
          <t>อาจณรงค์ 2 (ท่าเรือ)</t>
        </is>
      </c>
      <c r="D176" s="2" t="n">
        <v>4236239</v>
      </c>
    </row>
    <row r="177">
      <c r="A177" t="n">
        <v>2567</v>
      </c>
      <c r="B177" t="inlineStr">
        <is>
          <t>ฉลองรัช</t>
        </is>
      </c>
      <c r="C177" t="inlineStr">
        <is>
          <t>รามอินทรา</t>
        </is>
      </c>
      <c r="D177" s="2" t="n">
        <v>4089062</v>
      </c>
    </row>
    <row r="178">
      <c r="A178" t="n">
        <v>2567</v>
      </c>
      <c r="B178" t="inlineStr">
        <is>
          <t>เฉลิมมหานคร</t>
        </is>
      </c>
      <c r="C178" t="inlineStr">
        <is>
          <t>สาธุประดิษฐ์ 1</t>
        </is>
      </c>
      <c r="D178" s="2" t="n">
        <v>4043340</v>
      </c>
    </row>
    <row r="179">
      <c r="A179" t="n">
        <v>2567</v>
      </c>
      <c r="B179" t="inlineStr">
        <is>
          <t>ฉลองรัช</t>
        </is>
      </c>
      <c r="C179" t="inlineStr">
        <is>
          <t>สุขาภิบาล 5-1</t>
        </is>
      </c>
      <c r="D179" s="2" t="n">
        <v>4023323</v>
      </c>
    </row>
    <row r="180">
      <c r="A180" t="n">
        <v>2567</v>
      </c>
      <c r="B180" t="inlineStr">
        <is>
          <t>ศรีรัช</t>
        </is>
      </c>
      <c r="C180" t="inlineStr">
        <is>
          <t>จันทน์</t>
        </is>
      </c>
      <c r="D180" s="2" t="n">
        <v>3980881</v>
      </c>
    </row>
    <row r="181">
      <c r="A181" t="n">
        <v>2567</v>
      </c>
      <c r="B181" t="inlineStr">
        <is>
          <t>อุดรรัถยา</t>
        </is>
      </c>
      <c r="C181" t="inlineStr">
        <is>
          <t>ศรีสมาน (ขาออก)</t>
        </is>
      </c>
      <c r="D181" s="2" t="n">
        <v>3953818</v>
      </c>
    </row>
    <row r="182">
      <c r="A182" t="n">
        <v>2567</v>
      </c>
      <c r="B182" t="inlineStr">
        <is>
          <t>อุดรรัถยา</t>
        </is>
      </c>
      <c r="C182" t="inlineStr">
        <is>
          <t>ศรีสมาน (ขาเข้า)</t>
        </is>
      </c>
      <c r="D182" s="2" t="n">
        <v>3917106</v>
      </c>
    </row>
    <row r="183">
      <c r="A183" t="n">
        <v>2567</v>
      </c>
      <c r="B183" t="inlineStr">
        <is>
          <t>บูรพาวิถี</t>
        </is>
      </c>
      <c r="C183" t="inlineStr">
        <is>
          <t>บางสมัคร</t>
        </is>
      </c>
      <c r="D183" s="2" t="n">
        <v>3907753</v>
      </c>
    </row>
    <row r="184">
      <c r="A184" t="n">
        <v>2567</v>
      </c>
      <c r="B184" t="inlineStr">
        <is>
          <t>ศรีรัช</t>
        </is>
      </c>
      <c r="C184" t="inlineStr">
        <is>
          <t>งามวงศ์วาน 2</t>
        </is>
      </c>
      <c r="D184" s="2" t="n">
        <v>3815512</v>
      </c>
    </row>
    <row r="185">
      <c r="A185" t="n">
        <v>2567</v>
      </c>
      <c r="B185" t="inlineStr">
        <is>
          <t>เฉลิมมหานคร</t>
        </is>
      </c>
      <c r="C185" t="inlineStr">
        <is>
          <t>อาจณรงค์ 1 (บางนา)</t>
        </is>
      </c>
      <c r="D185" s="2" t="n">
        <v>3800646</v>
      </c>
    </row>
    <row r="186">
      <c r="A186" t="n">
        <v>2567</v>
      </c>
      <c r="B186" t="inlineStr">
        <is>
          <t>เฉลิมมหานคร</t>
        </is>
      </c>
      <c r="C186" t="inlineStr">
        <is>
          <t>สุขุมวิท 62</t>
        </is>
      </c>
      <c r="D186" s="2" t="n">
        <v>3784309</v>
      </c>
    </row>
    <row r="187">
      <c r="A187" t="n">
        <v>2567</v>
      </c>
      <c r="B187" t="inlineStr">
        <is>
          <t>ทางพิเศษกาญจนาภิเษก(บางพลี-สุขสวัสดิ์)</t>
        </is>
      </c>
      <c r="C187" t="inlineStr">
        <is>
          <t>บางเมือง (ทางออก 3)</t>
        </is>
      </c>
      <c r="D187" s="2" t="n">
        <v>3751359</v>
      </c>
    </row>
    <row r="188">
      <c r="A188" t="n">
        <v>2567</v>
      </c>
      <c r="B188" t="inlineStr">
        <is>
          <t>บูรพาวิถี</t>
        </is>
      </c>
      <c r="C188" t="inlineStr">
        <is>
          <t>บางนา กม.6 (ขาเข้า) ช่องทางที่ 5 - 14</t>
        </is>
      </c>
      <c r="D188" s="2" t="n">
        <v>3685139</v>
      </c>
    </row>
    <row r="189">
      <c r="A189" t="n">
        <v>2567</v>
      </c>
      <c r="B189" t="inlineStr">
        <is>
          <t>ฉลองรัช</t>
        </is>
      </c>
      <c r="C189" t="inlineStr">
        <is>
          <t>พัฒนาการ 1</t>
        </is>
      </c>
      <c r="D189" s="2" t="n">
        <v>3564485</v>
      </c>
    </row>
    <row r="190">
      <c r="A190" t="n">
        <v>2567</v>
      </c>
      <c r="B190" t="inlineStr">
        <is>
          <t>ฉลองรัช</t>
        </is>
      </c>
      <c r="C190" t="inlineStr">
        <is>
          <t>ลาดพร้าว</t>
        </is>
      </c>
      <c r="D190" s="2" t="n">
        <v>3552923</v>
      </c>
    </row>
    <row r="191">
      <c r="A191" t="n">
        <v>2567</v>
      </c>
      <c r="B191" t="inlineStr">
        <is>
          <t>ศรีรัช-วงแหวนรอบนอกกรุงเทพมหานคร</t>
        </is>
      </c>
      <c r="C191" t="inlineStr">
        <is>
          <t>กำแพงเพชร 2</t>
        </is>
      </c>
      <c r="D191" s="2" t="n">
        <v>3551270</v>
      </c>
    </row>
    <row r="192">
      <c r="A192" t="n">
        <v>2567</v>
      </c>
      <c r="B192" t="inlineStr">
        <is>
          <t>ศรีรัช</t>
        </is>
      </c>
      <c r="C192" t="inlineStr">
        <is>
          <t>สะพานสว่าง</t>
        </is>
      </c>
      <c r="D192" s="2" t="n">
        <v>3522429</v>
      </c>
    </row>
    <row r="193">
      <c r="A193" t="n">
        <v>2567</v>
      </c>
      <c r="B193" t="inlineStr">
        <is>
          <t>ศรีรัช-วงแหวนรอบนอกกรุงเทพมหานคร</t>
        </is>
      </c>
      <c r="C193" t="inlineStr">
        <is>
          <t>บรมราชชนนี</t>
        </is>
      </c>
      <c r="D193" s="2" t="n">
        <v>3453819</v>
      </c>
    </row>
    <row r="194">
      <c r="A194" t="n">
        <v>2567</v>
      </c>
      <c r="B194" t="inlineStr">
        <is>
          <t>อุดรรัถยา</t>
        </is>
      </c>
      <c r="C194" t="inlineStr">
        <is>
          <t>เชียงราก (ขาออก)</t>
        </is>
      </c>
      <c r="D194" s="2" t="n">
        <v>3387340</v>
      </c>
    </row>
    <row r="195">
      <c r="A195" t="n">
        <v>2567</v>
      </c>
      <c r="B195" t="inlineStr">
        <is>
          <t>ทางพิเศษกาญจนาภิเษก(บางพลี-สุขสวัสดิ์)</t>
        </is>
      </c>
      <c r="C195" t="inlineStr">
        <is>
          <t>บางเมือง (ทางออก 2)</t>
        </is>
      </c>
      <c r="D195" s="2" t="n">
        <v>3385319</v>
      </c>
    </row>
    <row r="196">
      <c r="A196" t="n">
        <v>2567</v>
      </c>
      <c r="B196" t="inlineStr">
        <is>
          <t>ศรีรัช-วงแหวนรอบนอกกรุงเทพมหานคร</t>
        </is>
      </c>
      <c r="C196" t="inlineStr">
        <is>
          <t>ตลิ่งชัน</t>
        </is>
      </c>
      <c r="D196" s="2" t="n">
        <v>3369509</v>
      </c>
    </row>
    <row r="197">
      <c r="A197" t="n">
        <v>2567</v>
      </c>
      <c r="B197" t="inlineStr">
        <is>
          <t>บูรพาวิถี</t>
        </is>
      </c>
      <c r="C197" t="inlineStr">
        <is>
          <t>บางเสาธง</t>
        </is>
      </c>
      <c r="D197" s="2" t="n">
        <v>3323890</v>
      </c>
    </row>
    <row r="198">
      <c r="A198" t="n">
        <v>2567</v>
      </c>
      <c r="B198" t="inlineStr">
        <is>
          <t>ทางพิเศษกาญจนาภิเษก(บางพลี-สุขสวัสดิ์)</t>
        </is>
      </c>
      <c r="C198" t="inlineStr">
        <is>
          <t>เทพารักษ์ (ทางออก 3)</t>
        </is>
      </c>
      <c r="D198" s="2" t="n">
        <v>3276047</v>
      </c>
    </row>
    <row r="199">
      <c r="A199" t="n">
        <v>2567</v>
      </c>
      <c r="B199" t="inlineStr">
        <is>
          <t>อุดรรัถยา</t>
        </is>
      </c>
      <c r="C199" t="inlineStr">
        <is>
          <t>เชียงราก (ขาเข้า)</t>
        </is>
      </c>
      <c r="D199" s="2" t="n">
        <v>3185576</v>
      </c>
    </row>
    <row r="200">
      <c r="A200" t="n">
        <v>2567</v>
      </c>
      <c r="B200" t="inlineStr">
        <is>
          <t>ศรีรัช</t>
        </is>
      </c>
      <c r="C200" t="inlineStr">
        <is>
          <t>งามวงศ์วาน 1</t>
        </is>
      </c>
      <c r="D200" s="2" t="n">
        <v>3184403</v>
      </c>
    </row>
    <row r="201">
      <c r="A201" t="n">
        <v>2567</v>
      </c>
      <c r="B201" t="inlineStr">
        <is>
          <t>ศรีรัช-วงแหวนรอบนอกกรุงเทพมหานคร</t>
        </is>
      </c>
      <c r="C201" t="inlineStr">
        <is>
          <t>บางซื่อ 1</t>
        </is>
      </c>
      <c r="D201" s="2" t="n">
        <v>3183778</v>
      </c>
    </row>
    <row r="202">
      <c r="A202" t="n">
        <v>2567</v>
      </c>
      <c r="B202" t="inlineStr">
        <is>
          <t>อุดรรัถยา</t>
        </is>
      </c>
      <c r="C202" t="inlineStr">
        <is>
          <t>บางปะอิน (ขาออก)</t>
        </is>
      </c>
      <c r="D202" s="2" t="n">
        <v>3084057</v>
      </c>
    </row>
    <row r="203">
      <c r="A203" t="n">
        <v>2567</v>
      </c>
      <c r="B203" t="inlineStr">
        <is>
          <t>ฉลองรัช</t>
        </is>
      </c>
      <c r="C203" t="inlineStr">
        <is>
          <t>อาจณรงค์ 2 (บางนา)</t>
        </is>
      </c>
      <c r="D203" s="2" t="n">
        <v>3054292</v>
      </c>
    </row>
    <row r="204">
      <c r="A204" t="n">
        <v>2567</v>
      </c>
      <c r="B204" t="inlineStr">
        <is>
          <t>ศรีรัช</t>
        </is>
      </c>
      <c r="C204" t="inlineStr">
        <is>
          <t>คลองประปา 2</t>
        </is>
      </c>
      <c r="D204" s="2" t="n">
        <v>3005635</v>
      </c>
    </row>
    <row r="205">
      <c r="A205" t="n">
        <v>2567</v>
      </c>
      <c r="B205" t="inlineStr">
        <is>
          <t>ทางพิเศษกาญจนาภิเษก(บางพลี-สุขสวัสดิ์)</t>
        </is>
      </c>
      <c r="C205" t="inlineStr">
        <is>
          <t>เทพารักษ์ (ทางออก 4)</t>
        </is>
      </c>
      <c r="D205" s="2" t="n">
        <v>3004533</v>
      </c>
    </row>
    <row r="206">
      <c r="A206" t="n">
        <v>2567</v>
      </c>
      <c r="B206" t="inlineStr">
        <is>
          <t>บูรพาวิถี</t>
        </is>
      </c>
      <c r="C206" t="inlineStr">
        <is>
          <t>บางพลี 2</t>
        </is>
      </c>
      <c r="D206" s="2" t="n">
        <v>2898202</v>
      </c>
    </row>
    <row r="207">
      <c r="A207" t="n">
        <v>2567</v>
      </c>
      <c r="B207" t="inlineStr">
        <is>
          <t>อุดรรัถยา</t>
        </is>
      </c>
      <c r="C207" t="inlineStr">
        <is>
          <t>บางพูน (ขาเข้า)</t>
        </is>
      </c>
      <c r="D207" s="2" t="n">
        <v>2862344</v>
      </c>
    </row>
    <row r="208">
      <c r="A208" t="n">
        <v>2567</v>
      </c>
      <c r="B208" t="inlineStr">
        <is>
          <t>เฉลิมมหานคร</t>
        </is>
      </c>
      <c r="C208" t="inlineStr">
        <is>
          <t>อาจณรงค์</t>
        </is>
      </c>
      <c r="D208" s="2" t="n">
        <v>2860819</v>
      </c>
    </row>
    <row r="209">
      <c r="A209" t="n">
        <v>2567</v>
      </c>
      <c r="B209" t="inlineStr">
        <is>
          <t>บูรพาวิถี</t>
        </is>
      </c>
      <c r="C209" t="inlineStr">
        <is>
          <t>เมืองใหม่บางพลี</t>
        </is>
      </c>
      <c r="D209" s="2" t="n">
        <v>2800045</v>
      </c>
    </row>
    <row r="210">
      <c r="A210" t="n">
        <v>2567</v>
      </c>
      <c r="B210" t="inlineStr">
        <is>
          <t>ทางพิเศษกาญจนาภิเษก(บางพลี-สุขสวัสดิ์)</t>
        </is>
      </c>
      <c r="C210" t="inlineStr">
        <is>
          <t>บางเมือง (ทางออก 1)</t>
        </is>
      </c>
      <c r="D210" s="2" t="n">
        <v>2699221</v>
      </c>
    </row>
    <row r="211">
      <c r="A211" t="n">
        <v>2567</v>
      </c>
      <c r="B211" t="inlineStr">
        <is>
          <t>ฉลองรัช</t>
        </is>
      </c>
      <c r="C211" t="inlineStr">
        <is>
          <t>พัฒนาการ 2</t>
        </is>
      </c>
      <c r="D211" s="2" t="n">
        <v>2645700</v>
      </c>
    </row>
    <row r="212">
      <c r="A212" t="n">
        <v>2567</v>
      </c>
      <c r="B212" t="inlineStr">
        <is>
          <t>อุดรรัถยา</t>
        </is>
      </c>
      <c r="C212" t="inlineStr">
        <is>
          <t>บางปะอิน (ขาเข้า)</t>
        </is>
      </c>
      <c r="D212" s="2" t="n">
        <v>2634582</v>
      </c>
    </row>
    <row r="213">
      <c r="A213" t="n">
        <v>2567</v>
      </c>
      <c r="B213" t="inlineStr">
        <is>
          <t>เฉลิมมหานคร</t>
        </is>
      </c>
      <c r="C213" t="inlineStr">
        <is>
          <t>ท่าเรือ 1</t>
        </is>
      </c>
      <c r="D213" s="2" t="n">
        <v>2575951</v>
      </c>
    </row>
    <row r="214">
      <c r="A214" t="n">
        <v>2567</v>
      </c>
      <c r="B214" t="inlineStr">
        <is>
          <t>เฉลิมมหานคร</t>
        </is>
      </c>
      <c r="C214" t="inlineStr">
        <is>
          <t>เพชรบุรี</t>
        </is>
      </c>
      <c r="D214" s="2" t="n">
        <v>2569618</v>
      </c>
    </row>
    <row r="215">
      <c r="A215" t="n">
        <v>2567</v>
      </c>
      <c r="B215" t="inlineStr">
        <is>
          <t>ทางพิเศษกาญจนาภิเษก(บางพลี-สุขสวัสดิ์)</t>
        </is>
      </c>
      <c r="C215" t="inlineStr">
        <is>
          <t>ปากน้ำ (ทางออก 1)</t>
        </is>
      </c>
      <c r="D215" s="2" t="n">
        <v>2558183</v>
      </c>
    </row>
    <row r="216">
      <c r="A216" t="n">
        <v>2567</v>
      </c>
      <c r="B216" t="inlineStr">
        <is>
          <t>เฉลิมมหานคร</t>
        </is>
      </c>
      <c r="C216" t="inlineStr">
        <is>
          <t>ดินแดง 1</t>
        </is>
      </c>
      <c r="D216" s="2" t="n">
        <v>2470844</v>
      </c>
    </row>
    <row r="217">
      <c r="A217" t="n">
        <v>2567</v>
      </c>
      <c r="B217" t="inlineStr">
        <is>
          <t>ศรีรัช</t>
        </is>
      </c>
      <c r="C217" t="inlineStr">
        <is>
          <t>รามคำแหง</t>
        </is>
      </c>
      <c r="D217" s="2" t="n">
        <v>2325282</v>
      </c>
    </row>
    <row r="218">
      <c r="A218" t="n">
        <v>2567</v>
      </c>
      <c r="B218" t="inlineStr">
        <is>
          <t>อุดรรัถยา</t>
        </is>
      </c>
      <c r="C218" t="inlineStr">
        <is>
          <t>บางพูน (ขาออก)</t>
        </is>
      </c>
      <c r="D218" s="2" t="n">
        <v>2157083</v>
      </c>
    </row>
    <row r="219">
      <c r="A219" t="n">
        <v>2567</v>
      </c>
      <c r="B219" t="inlineStr">
        <is>
          <t>ศรีรัช</t>
        </is>
      </c>
      <c r="C219" t="inlineStr">
        <is>
          <t>คลองประปา 1</t>
        </is>
      </c>
      <c r="D219" s="2" t="n">
        <v>2108689</v>
      </c>
    </row>
    <row r="220">
      <c r="A220" t="n">
        <v>2567</v>
      </c>
      <c r="B220" t="inlineStr">
        <is>
          <t>ศรีรัช</t>
        </is>
      </c>
      <c r="C220" t="inlineStr">
        <is>
          <t>บางซื่อ</t>
        </is>
      </c>
      <c r="D220" s="2" t="n">
        <v>2021978</v>
      </c>
    </row>
    <row r="221">
      <c r="A221" t="n">
        <v>2567</v>
      </c>
      <c r="B221" t="inlineStr">
        <is>
          <t>ศรีรัช-วงแหวนรอบนอกกรุงเทพมหานคร</t>
        </is>
      </c>
      <c r="C221" t="inlineStr">
        <is>
          <t>สะพานพระราม 7</t>
        </is>
      </c>
      <c r="D221" s="2" t="n">
        <v>1977195</v>
      </c>
    </row>
    <row r="222">
      <c r="A222" t="n">
        <v>2567</v>
      </c>
      <c r="B222" t="inlineStr">
        <is>
          <t>ทางพิเศษกาญจนาภิเษก(บางพลี-สุขสวัสดิ์)</t>
        </is>
      </c>
      <c r="C222" t="inlineStr">
        <is>
          <t>ปากน้ำ (ทางออก 2)</t>
        </is>
      </c>
      <c r="D222" s="2" t="n">
        <v>1974361</v>
      </c>
    </row>
    <row r="223">
      <c r="A223" t="n">
        <v>2567</v>
      </c>
      <c r="B223" t="inlineStr">
        <is>
          <t>อุดรรัถยา</t>
        </is>
      </c>
      <c r="C223" t="inlineStr">
        <is>
          <t>เมืองทองธานี (ขาเข้า)</t>
        </is>
      </c>
      <c r="D223" s="2" t="n">
        <v>1968830</v>
      </c>
    </row>
    <row r="224">
      <c r="A224" t="n">
        <v>2567</v>
      </c>
      <c r="B224" t="inlineStr">
        <is>
          <t>ทางพิเศษกาญจนาภิเษก(บางพลี-สุขสวัสดิ์)</t>
        </is>
      </c>
      <c r="C224" t="inlineStr">
        <is>
          <t>เทพารักษ์ (ทางออก 2)</t>
        </is>
      </c>
      <c r="D224" s="2" t="n">
        <v>1909204</v>
      </c>
    </row>
    <row r="225">
      <c r="A225" t="n">
        <v>2567</v>
      </c>
      <c r="B225" t="inlineStr">
        <is>
          <t>ศรีรัช</t>
        </is>
      </c>
      <c r="C225" t="inlineStr">
        <is>
          <t>พหลโยธิน 1</t>
        </is>
      </c>
      <c r="D225" s="2" t="n">
        <v>1886639</v>
      </c>
    </row>
    <row r="226">
      <c r="A226" t="n">
        <v>2567</v>
      </c>
      <c r="B226" t="inlineStr">
        <is>
          <t>ศรีรัช</t>
        </is>
      </c>
      <c r="C226" t="inlineStr">
        <is>
          <t>พหลโยธิน 2</t>
        </is>
      </c>
      <c r="D226" s="2" t="n">
        <v>1849166</v>
      </c>
    </row>
    <row r="227">
      <c r="A227" t="n">
        <v>2567</v>
      </c>
      <c r="B227" t="inlineStr">
        <is>
          <t>บูรพาวิถี</t>
        </is>
      </c>
      <c r="C227" t="inlineStr">
        <is>
          <t>บางพลี 1</t>
        </is>
      </c>
      <c r="D227" s="2" t="n">
        <v>1815671</v>
      </c>
    </row>
    <row r="228">
      <c r="A228" t="n">
        <v>2567</v>
      </c>
      <c r="B228" t="inlineStr">
        <is>
          <t>ศรีรัช</t>
        </is>
      </c>
      <c r="C228" t="inlineStr">
        <is>
          <t>พระราม 3</t>
        </is>
      </c>
      <c r="D228" s="2" t="n">
        <v>1775980</v>
      </c>
    </row>
    <row r="229">
      <c r="A229" t="n">
        <v>2567</v>
      </c>
      <c r="B229" t="inlineStr">
        <is>
          <t>ศรีรัช</t>
        </is>
      </c>
      <c r="C229" t="inlineStr">
        <is>
          <t>รัชดาภิเษก</t>
        </is>
      </c>
      <c r="D229" s="2" t="n">
        <v>1703551</v>
      </c>
    </row>
    <row r="230">
      <c r="A230" t="n">
        <v>2567</v>
      </c>
      <c r="B230" t="inlineStr">
        <is>
          <t>ศรีรัช</t>
        </is>
      </c>
      <c r="C230" t="inlineStr">
        <is>
          <t>สาธุประดิษฐ์ 3</t>
        </is>
      </c>
      <c r="D230" s="2" t="n">
        <v>1695688</v>
      </c>
    </row>
    <row r="231">
      <c r="A231" t="n">
        <v>2567</v>
      </c>
      <c r="B231" t="inlineStr">
        <is>
          <t>ทางพิเศษกาญจนาภิเษก(บางพลี-สุขสวัสดิ์)</t>
        </is>
      </c>
      <c r="C231" t="inlineStr">
        <is>
          <t>บางขุนเทียน (ทางออก 2)</t>
        </is>
      </c>
      <c r="D231" s="2" t="n">
        <v>1682011</v>
      </c>
    </row>
    <row r="232">
      <c r="A232" t="n">
        <v>2567</v>
      </c>
      <c r="B232" t="inlineStr">
        <is>
          <t>บูรพาวิถี</t>
        </is>
      </c>
      <c r="C232" t="inlineStr">
        <is>
          <t>บางแก้ว</t>
        </is>
      </c>
      <c r="D232" s="2" t="n">
        <v>1667957</v>
      </c>
    </row>
    <row r="233">
      <c r="A233" t="n">
        <v>2567</v>
      </c>
      <c r="B233" t="inlineStr">
        <is>
          <t>ศรีรัช</t>
        </is>
      </c>
      <c r="C233" t="inlineStr">
        <is>
          <t>สาทร</t>
        </is>
      </c>
      <c r="D233" s="2" t="n">
        <v>1596387</v>
      </c>
    </row>
    <row r="234">
      <c r="A234" t="n">
        <v>2567</v>
      </c>
      <c r="B234" t="inlineStr">
        <is>
          <t>ฉลองรัช</t>
        </is>
      </c>
      <c r="C234" t="inlineStr">
        <is>
          <t>สุขาภิบาล 5-2</t>
        </is>
      </c>
      <c r="D234" s="2" t="n">
        <v>1587181</v>
      </c>
    </row>
    <row r="235">
      <c r="A235" t="n">
        <v>2567</v>
      </c>
      <c r="B235" t="inlineStr">
        <is>
          <t>บูรพาวิถี</t>
        </is>
      </c>
      <c r="C235" t="inlineStr">
        <is>
          <t>บางพลีน้อย</t>
        </is>
      </c>
      <c r="D235" s="2" t="n">
        <v>1573380</v>
      </c>
    </row>
    <row r="236">
      <c r="A236" t="n">
        <v>2567</v>
      </c>
      <c r="B236" t="inlineStr">
        <is>
          <t>บูรพาวิถี</t>
        </is>
      </c>
      <c r="C236" t="inlineStr">
        <is>
          <t>บางบ่อ</t>
        </is>
      </c>
      <c r="D236" s="2" t="n">
        <v>1572017</v>
      </c>
    </row>
    <row r="237">
      <c r="A237" t="n">
        <v>2567</v>
      </c>
      <c r="B237" t="inlineStr">
        <is>
          <t>ทางพิเศษกาญจนาภิเษก(บางพลี-สุขสวัสดิ์)</t>
        </is>
      </c>
      <c r="C237" t="inlineStr">
        <is>
          <t>ปากน้ำ (ทางออก 4)</t>
        </is>
      </c>
      <c r="D237" s="2" t="n">
        <v>1499479</v>
      </c>
    </row>
    <row r="238">
      <c r="A238" t="n">
        <v>2567</v>
      </c>
      <c r="B238" t="inlineStr">
        <is>
          <t>บูรพาวิถี</t>
        </is>
      </c>
      <c r="C238" t="inlineStr">
        <is>
          <t>บางปะกง 1</t>
        </is>
      </c>
      <c r="D238" s="2" t="n">
        <v>1492754</v>
      </c>
    </row>
    <row r="239">
      <c r="A239" t="n">
        <v>2567</v>
      </c>
      <c r="B239" t="inlineStr">
        <is>
          <t>อุดรรัถยา</t>
        </is>
      </c>
      <c r="C239" t="inlineStr">
        <is>
          <t>เมืองทองธานี (ขาออก)</t>
        </is>
      </c>
      <c r="D239" s="2" t="n">
        <v>1458175</v>
      </c>
    </row>
    <row r="240">
      <c r="A240" t="n">
        <v>2567</v>
      </c>
      <c r="B240" t="inlineStr">
        <is>
          <t>ศรีรัช-วงแหวนรอบนอกกรุงเทพมหานคร</t>
        </is>
      </c>
      <c r="C240" t="inlineStr">
        <is>
          <t>บางบำหรุ</t>
        </is>
      </c>
      <c r="D240" s="2" t="n">
        <v>1405841</v>
      </c>
    </row>
    <row r="241">
      <c r="A241" t="n">
        <v>2567</v>
      </c>
      <c r="B241" t="inlineStr">
        <is>
          <t>บูรพาวิถี</t>
        </is>
      </c>
      <c r="C241" t="inlineStr">
        <is>
          <t>สุวรรณภูมิ 1</t>
        </is>
      </c>
      <c r="D241" s="2" t="n">
        <v>1398870</v>
      </c>
    </row>
    <row r="242">
      <c r="A242" t="n">
        <v>2567</v>
      </c>
      <c r="B242" t="inlineStr">
        <is>
          <t>ศรีรัช</t>
        </is>
      </c>
      <c r="C242" t="inlineStr">
        <is>
          <t>อุรุพงษ์</t>
        </is>
      </c>
      <c r="D242" s="2" t="n">
        <v>1303993</v>
      </c>
    </row>
    <row r="243">
      <c r="A243" t="n">
        <v>2567</v>
      </c>
      <c r="B243" t="inlineStr">
        <is>
          <t>ศรีรัช</t>
        </is>
      </c>
      <c r="C243" t="inlineStr">
        <is>
          <t>อโศก 2</t>
        </is>
      </c>
      <c r="D243" s="2" t="n">
        <v>1205390</v>
      </c>
    </row>
    <row r="244">
      <c r="A244" t="n">
        <v>2567</v>
      </c>
      <c r="B244" t="inlineStr">
        <is>
          <t>เฉลิมมหานคร</t>
        </is>
      </c>
      <c r="C244" t="inlineStr">
        <is>
          <t>สาธุประดิษฐ์ 2</t>
        </is>
      </c>
      <c r="D244" s="2" t="n">
        <v>1171707</v>
      </c>
    </row>
    <row r="245">
      <c r="A245" t="n">
        <v>2567</v>
      </c>
      <c r="B245" t="inlineStr">
        <is>
          <t>บูรพาวิถี</t>
        </is>
      </c>
      <c r="C245" t="inlineStr">
        <is>
          <t>สุวรรณภูมิ 2</t>
        </is>
      </c>
      <c r="D245" s="2" t="n">
        <v>903450</v>
      </c>
    </row>
    <row r="246">
      <c r="A246" t="n">
        <v>2567</v>
      </c>
      <c r="B246" t="inlineStr">
        <is>
          <t>ศรีรัช-วงแหวนรอบนอกกรุงเทพมหานคร</t>
        </is>
      </c>
      <c r="C246" t="inlineStr">
        <is>
          <t>บางกรวย</t>
        </is>
      </c>
      <c r="D246" s="2" t="n">
        <v>853743</v>
      </c>
    </row>
    <row r="247">
      <c r="A247" t="n">
        <v>2567</v>
      </c>
      <c r="B247" t="inlineStr">
        <is>
          <t>ทางพิเศษกาญจนาภิเษก(บางพลี-สุขสวัสดิ์)</t>
        </is>
      </c>
      <c r="C247" t="inlineStr">
        <is>
          <t>ปากน้ำ (ทางออก 3)</t>
        </is>
      </c>
      <c r="D247" s="2" t="n">
        <v>801603</v>
      </c>
    </row>
    <row r="248">
      <c r="A248" t="n">
        <v>2567</v>
      </c>
      <c r="B248" t="inlineStr">
        <is>
          <t>บูรพาวิถี</t>
        </is>
      </c>
      <c r="C248" t="inlineStr">
        <is>
          <t>บางนา กม.9-1</t>
        </is>
      </c>
      <c r="D248" s="2" t="n">
        <v>725665</v>
      </c>
    </row>
    <row r="249">
      <c r="A249" t="n">
        <v>2567</v>
      </c>
      <c r="B249" t="inlineStr">
        <is>
          <t>ทางพิเศษกาญจนาภิเษก(บางพลี-สุขสวัสดิ์)</t>
        </is>
      </c>
      <c r="C249" t="inlineStr">
        <is>
          <t>เทพารักษ์ (ทางออก 1)</t>
        </is>
      </c>
      <c r="D249" s="2" t="n">
        <v>650763</v>
      </c>
    </row>
    <row r="250">
      <c r="A250" t="n">
        <v>2567</v>
      </c>
      <c r="B250" t="inlineStr">
        <is>
          <t>บูรพาวิถี</t>
        </is>
      </c>
      <c r="C250" t="inlineStr">
        <is>
          <t>บางนา กม.9-2</t>
        </is>
      </c>
      <c r="D250" s="2" t="n">
        <v>515597</v>
      </c>
    </row>
    <row r="251">
      <c r="A251" t="n">
        <v>2567</v>
      </c>
      <c r="B251" t="inlineStr">
        <is>
          <t>เฉลิมมหานคร</t>
        </is>
      </c>
      <c r="C251" t="inlineStr">
        <is>
          <t>อาจณรงค์ 3</t>
        </is>
      </c>
      <c r="D251" s="2" t="n">
        <v>432441</v>
      </c>
    </row>
    <row r="252">
      <c r="A252" t="n">
        <v>2567</v>
      </c>
      <c r="B252" t="inlineStr">
        <is>
          <t>บูรพาวิถี</t>
        </is>
      </c>
      <c r="C252" t="inlineStr">
        <is>
          <t>บางปะกง 2</t>
        </is>
      </c>
      <c r="D252" s="2" t="n">
        <v>225633</v>
      </c>
    </row>
    <row r="253">
      <c r="A253" t="n">
        <v>2567</v>
      </c>
      <c r="B253" t="inlineStr">
        <is>
          <t>บูรพาวิถี</t>
        </is>
      </c>
      <c r="C253" t="inlineStr">
        <is>
          <t>บางวัว</t>
        </is>
      </c>
      <c r="D253" s="2" t="n">
        <v>196710</v>
      </c>
    </row>
    <row r="254">
      <c r="A254" t="n">
        <v>2567</v>
      </c>
      <c r="B254" t="inlineStr">
        <is>
          <t>ศรีรัช</t>
        </is>
      </c>
      <c r="C254" t="inlineStr">
        <is>
          <t>อโศก 1</t>
        </is>
      </c>
      <c r="D254" s="2" t="n">
        <v>89000</v>
      </c>
    </row>
    <row r="255">
      <c r="A255" t="n">
        <v>2567</v>
      </c>
      <c r="B255" t="inlineStr">
        <is>
          <t>ศรีรัช-วงแหวนรอบนอกกรุงเทพมหานคร</t>
        </is>
      </c>
      <c r="C255" t="inlineStr">
        <is>
          <t>บางพลัด</t>
        </is>
      </c>
      <c r="D255" s="2" t="n">
        <v>60268</v>
      </c>
    </row>
    <row r="256">
      <c r="A256" t="n">
        <v>2568</v>
      </c>
      <c r="B256" t="inlineStr">
        <is>
          <t>ศรีรัช</t>
        </is>
      </c>
      <c r="C256" t="inlineStr">
        <is>
          <t>อโศก 4</t>
        </is>
      </c>
      <c r="D256" s="2" t="n">
        <v>22966266</v>
      </c>
    </row>
    <row r="257">
      <c r="A257" t="n">
        <v>2568</v>
      </c>
      <c r="B257" t="inlineStr">
        <is>
          <t>ศรีรัช</t>
        </is>
      </c>
      <c r="C257" t="inlineStr">
        <is>
          <t>ศรีนครินทร์</t>
        </is>
      </c>
      <c r="D257" s="2" t="n">
        <v>21082510</v>
      </c>
    </row>
    <row r="258">
      <c r="A258" t="n">
        <v>2568</v>
      </c>
      <c r="B258" t="inlineStr">
        <is>
          <t>ศรีรัช</t>
        </is>
      </c>
      <c r="C258" t="inlineStr">
        <is>
          <t>อโศก 3</t>
        </is>
      </c>
      <c r="D258" s="2" t="n">
        <v>20693520</v>
      </c>
    </row>
    <row r="259">
      <c r="A259" t="n">
        <v>2568</v>
      </c>
      <c r="B259" t="inlineStr">
        <is>
          <t>ศรีรัช</t>
        </is>
      </c>
      <c r="C259" t="inlineStr">
        <is>
          <t>ประชาชื่น (ขาออก)</t>
        </is>
      </c>
      <c r="D259" s="2" t="n">
        <v>20400883</v>
      </c>
    </row>
    <row r="260">
      <c r="A260" t="n">
        <v>2568</v>
      </c>
      <c r="B260" t="inlineStr">
        <is>
          <t>เฉลิมมหานคร</t>
        </is>
      </c>
      <c r="C260" t="inlineStr">
        <is>
          <t>บางนา</t>
        </is>
      </c>
      <c r="D260" s="2" t="n">
        <v>16948390</v>
      </c>
    </row>
    <row r="261">
      <c r="A261" s="8" t="n">
        <v>2568</v>
      </c>
      <c r="B261" s="8" t="inlineStr">
        <is>
          <t>ศรีรัช</t>
        </is>
      </c>
      <c r="C261" s="8" t="inlineStr">
        <is>
          <t>ประชาชื่น (ขาเข้า-นอกเมือง)</t>
        </is>
      </c>
      <c r="D261" s="9" t="n">
        <v>16056117</v>
      </c>
      <c r="E261" s="8" t="inlineStr">
        <is>
          <t>ซ้ำ</t>
        </is>
      </c>
    </row>
    <row r="262">
      <c r="A262" s="8" t="n">
        <v>2568</v>
      </c>
      <c r="B262" s="8" t="inlineStr">
        <is>
          <t>ศรีรัช</t>
        </is>
      </c>
      <c r="C262" s="8" t="inlineStr">
        <is>
          <t>ประชาชื่น (ขาเข้า-ในเมือง)</t>
        </is>
      </c>
      <c r="D262" s="9" t="n">
        <v>16056117</v>
      </c>
      <c r="E262" s="8" t="inlineStr">
        <is>
          <t>ซ้ำ</t>
        </is>
      </c>
    </row>
    <row r="263">
      <c r="A263" t="n">
        <v>2568</v>
      </c>
      <c r="B263" t="inlineStr">
        <is>
          <t>เฉลิมมหานคร</t>
        </is>
      </c>
      <c r="C263" t="inlineStr">
        <is>
          <t>ดินแดง</t>
        </is>
      </c>
      <c r="D263" s="2" t="n">
        <v>15985215</v>
      </c>
    </row>
    <row r="264">
      <c r="A264" t="n">
        <v>2568</v>
      </c>
      <c r="B264" t="inlineStr">
        <is>
          <t>เฉลิมมหานคร</t>
        </is>
      </c>
      <c r="C264" t="inlineStr">
        <is>
          <t>ดาวคะนอง</t>
        </is>
      </c>
      <c r="D264" s="2" t="n">
        <v>11376278</v>
      </c>
    </row>
    <row r="265">
      <c r="A265" t="n">
        <v>2568</v>
      </c>
      <c r="B265" t="inlineStr">
        <is>
          <t>ศรีรัช</t>
        </is>
      </c>
      <c r="C265" t="inlineStr">
        <is>
          <t>พระราม 9-1 (ศรีรัช)</t>
        </is>
      </c>
      <c r="D265" s="2" t="n">
        <v>10646305</v>
      </c>
    </row>
    <row r="266">
      <c r="A266" t="n">
        <v>2568</v>
      </c>
      <c r="B266" t="inlineStr">
        <is>
          <t>ฉลองรัช</t>
        </is>
      </c>
      <c r="C266" t="inlineStr">
        <is>
          <t>จตุโชติ</t>
        </is>
      </c>
      <c r="D266" s="2" t="n">
        <v>10626618</v>
      </c>
    </row>
    <row r="267">
      <c r="A267" t="n">
        <v>2568</v>
      </c>
      <c r="B267" t="inlineStr">
        <is>
          <t>บูรพาวิถี</t>
        </is>
      </c>
      <c r="C267" t="inlineStr">
        <is>
          <t>บางนา กม.6 (ขาเข้า) ช่องทางที่ 1 - 4</t>
        </is>
      </c>
      <c r="D267" s="2" t="n">
        <v>10054551</v>
      </c>
    </row>
    <row r="268">
      <c r="A268" t="n">
        <v>2568</v>
      </c>
      <c r="B268" t="inlineStr">
        <is>
          <t>ทางพิเศษกาญจนาภิเษก(บางพลี-สุขสวัสดิ์)</t>
        </is>
      </c>
      <c r="C268" t="inlineStr">
        <is>
          <t>บางขุนเทียน (ทางออก 1)</t>
        </is>
      </c>
      <c r="D268" s="2" t="n">
        <v>9909124</v>
      </c>
    </row>
    <row r="269">
      <c r="A269" t="n">
        <v>2568</v>
      </c>
      <c r="B269" t="inlineStr">
        <is>
          <t>ฉลองรัช</t>
        </is>
      </c>
      <c r="C269" t="inlineStr">
        <is>
          <t>พระราม 9-1 (ฉลองรัช)</t>
        </is>
      </c>
      <c r="D269" s="2" t="n">
        <v>9488164</v>
      </c>
    </row>
    <row r="270">
      <c r="A270" t="n">
        <v>2568</v>
      </c>
      <c r="B270" t="inlineStr">
        <is>
          <t>ทางพิเศษกาญจนาภิเษก(บางพลี-สุขสวัสดิ์)</t>
        </is>
      </c>
      <c r="C270" t="inlineStr">
        <is>
          <t>ปู่เจ้าสมิงพราย (ขาออก)</t>
        </is>
      </c>
      <c r="D270" s="2" t="n">
        <v>8909653</v>
      </c>
    </row>
    <row r="271">
      <c r="A271" t="n">
        <v>2568</v>
      </c>
      <c r="B271" t="inlineStr">
        <is>
          <t>ทางพิเศษกาญจนาภิเษก(บางพลี-สุขสวัสดิ์)</t>
        </is>
      </c>
      <c r="C271" t="inlineStr">
        <is>
          <t>บางครุ (ทางออก 1)</t>
        </is>
      </c>
      <c r="D271" s="2" t="n">
        <v>8774699</v>
      </c>
    </row>
    <row r="272">
      <c r="A272" t="n">
        <v>2568</v>
      </c>
      <c r="B272" t="inlineStr">
        <is>
          <t>ทางพิเศษกาญจนาภิเษก(บางพลี-สุขสวัสดิ์)</t>
        </is>
      </c>
      <c r="C272" t="inlineStr">
        <is>
          <t>บางแก้ว (ทางออก 1)</t>
        </is>
      </c>
      <c r="D272" s="2" t="n">
        <v>8236284</v>
      </c>
    </row>
    <row r="273">
      <c r="A273" t="n">
        <v>2568</v>
      </c>
      <c r="B273" t="inlineStr">
        <is>
          <t>บูรพาวิถี</t>
        </is>
      </c>
      <c r="C273" t="inlineStr">
        <is>
          <t>ชลบุรี</t>
        </is>
      </c>
      <c r="D273" s="2" t="n">
        <v>7762275</v>
      </c>
    </row>
    <row r="274">
      <c r="A274" t="n">
        <v>2568</v>
      </c>
      <c r="B274" t="inlineStr">
        <is>
          <t>ศรีรัช</t>
        </is>
      </c>
      <c r="C274" t="inlineStr">
        <is>
          <t>ประชาชื่น 2</t>
        </is>
      </c>
      <c r="D274" s="2" t="n">
        <v>7445253</v>
      </c>
    </row>
    <row r="275">
      <c r="A275" t="n">
        <v>2568</v>
      </c>
      <c r="B275" t="inlineStr">
        <is>
          <t>ทางพิเศษกาญจนาภิเษก(บางพลี-สุขสวัสดิ์)</t>
        </is>
      </c>
      <c r="C275" t="inlineStr">
        <is>
          <t>บางแก้ว (ทางออก 3)</t>
        </is>
      </c>
      <c r="D275" s="2" t="n">
        <v>7297464</v>
      </c>
    </row>
    <row r="276">
      <c r="A276" t="n">
        <v>2568</v>
      </c>
      <c r="B276" t="inlineStr">
        <is>
          <t>บูรพาวิถี</t>
        </is>
      </c>
      <c r="C276" t="inlineStr">
        <is>
          <t>วงแหวนรอบนอก (บางแก้ว)</t>
        </is>
      </c>
      <c r="D276" s="2" t="n">
        <v>6998874</v>
      </c>
    </row>
    <row r="277">
      <c r="A277" t="n">
        <v>2568</v>
      </c>
      <c r="B277" t="inlineStr">
        <is>
          <t>ทางพิเศษกาญจนาภิเษก(บางพลี-สุขสวัสดิ์)</t>
        </is>
      </c>
      <c r="C277" t="inlineStr">
        <is>
          <t>บางขุนเทียน (ทางออก 3)</t>
        </is>
      </c>
      <c r="D277" s="2" t="n">
        <v>6412974</v>
      </c>
    </row>
    <row r="278">
      <c r="A278" t="n">
        <v>2568</v>
      </c>
      <c r="B278" t="inlineStr">
        <is>
          <t>ศรีรัช</t>
        </is>
      </c>
      <c r="C278" t="inlineStr">
        <is>
          <t>สุรวงศ์</t>
        </is>
      </c>
      <c r="D278" s="2" t="n">
        <v>6410648</v>
      </c>
    </row>
    <row r="279">
      <c r="A279" t="n">
        <v>2568</v>
      </c>
      <c r="B279" t="inlineStr">
        <is>
          <t>ศรีรัช</t>
        </is>
      </c>
      <c r="C279" t="inlineStr">
        <is>
          <t>ยมราช</t>
        </is>
      </c>
      <c r="D279" s="2" t="n">
        <v>6225050</v>
      </c>
    </row>
    <row r="280">
      <c r="A280" t="n">
        <v>2568</v>
      </c>
      <c r="B280" t="inlineStr">
        <is>
          <t>ศรีรัช</t>
        </is>
      </c>
      <c r="C280" t="inlineStr">
        <is>
          <t>อโศก 1</t>
        </is>
      </c>
      <c r="D280" s="2" t="n">
        <v>6124305</v>
      </c>
    </row>
    <row r="281">
      <c r="A281" t="n">
        <v>2568</v>
      </c>
      <c r="B281" t="inlineStr">
        <is>
          <t>เฉลิมมหานคร</t>
        </is>
      </c>
      <c r="C281" t="inlineStr">
        <is>
          <t>พระรามที่สี่ 1</t>
        </is>
      </c>
      <c r="D281" s="2" t="n">
        <v>5973715</v>
      </c>
    </row>
    <row r="282">
      <c r="A282" t="n">
        <v>2568</v>
      </c>
      <c r="B282" t="inlineStr">
        <is>
          <t>เฉลิมมหานคร</t>
        </is>
      </c>
      <c r="C282" t="inlineStr">
        <is>
          <t>บางจาก</t>
        </is>
      </c>
      <c r="D282" s="2" t="n">
        <v>5858223</v>
      </c>
    </row>
    <row r="283">
      <c r="A283" t="n">
        <v>2568</v>
      </c>
      <c r="B283" t="inlineStr">
        <is>
          <t>ศรีรัช</t>
        </is>
      </c>
      <c r="C283" t="inlineStr">
        <is>
          <t>อโศก 3-1</t>
        </is>
      </c>
      <c r="D283" s="2" t="n">
        <v>5716063</v>
      </c>
    </row>
    <row r="284">
      <c r="A284" t="n">
        <v>2568</v>
      </c>
      <c r="B284" t="inlineStr">
        <is>
          <t>ศรีรัช</t>
        </is>
      </c>
      <c r="C284" t="inlineStr">
        <is>
          <t>ย่านพหลโยธิน</t>
        </is>
      </c>
      <c r="D284" s="2" t="n">
        <v>5475327</v>
      </c>
    </row>
    <row r="285">
      <c r="A285" t="n">
        <v>2568</v>
      </c>
      <c r="B285" t="inlineStr">
        <is>
          <t>เฉลิมมหานคร</t>
        </is>
      </c>
      <c r="C285" t="inlineStr">
        <is>
          <t>เลียบแม่น้ำ</t>
        </is>
      </c>
      <c r="D285" s="2" t="n">
        <v>5312380</v>
      </c>
    </row>
    <row r="286">
      <c r="A286" t="n">
        <v>2568</v>
      </c>
      <c r="B286" t="inlineStr">
        <is>
          <t>ศรีรัช</t>
        </is>
      </c>
      <c r="C286" t="inlineStr">
        <is>
          <t>หัวลำโพง</t>
        </is>
      </c>
      <c r="D286" s="2" t="n">
        <v>5272131</v>
      </c>
    </row>
    <row r="287">
      <c r="A287" t="n">
        <v>2568</v>
      </c>
      <c r="B287" t="inlineStr">
        <is>
          <t>เฉลิมมหานคร</t>
        </is>
      </c>
      <c r="C287" t="inlineStr">
        <is>
          <t>อาจณรงค์ 1 (ท่าเรือ)</t>
        </is>
      </c>
      <c r="D287" s="2" t="n">
        <v>5241820</v>
      </c>
    </row>
    <row r="288">
      <c r="A288" t="n">
        <v>2568</v>
      </c>
      <c r="B288" t="inlineStr">
        <is>
          <t>ฉลองรัช</t>
        </is>
      </c>
      <c r="C288" t="inlineStr">
        <is>
          <t>รามอินทรา 1</t>
        </is>
      </c>
      <c r="D288" s="2" t="n">
        <v>5193386</v>
      </c>
    </row>
    <row r="289">
      <c r="A289" t="n">
        <v>2568</v>
      </c>
      <c r="B289" t="inlineStr">
        <is>
          <t>ศรีรัช</t>
        </is>
      </c>
      <c r="C289" t="inlineStr">
        <is>
          <t>พระราม 9</t>
        </is>
      </c>
      <c r="D289" s="2" t="n">
        <v>5034716</v>
      </c>
    </row>
    <row r="290">
      <c r="A290" t="n">
        <v>2568</v>
      </c>
      <c r="B290" t="inlineStr">
        <is>
          <t>ฉลองรัช</t>
        </is>
      </c>
      <c r="C290" t="inlineStr">
        <is>
          <t>โยธินพัฒนา</t>
        </is>
      </c>
      <c r="D290" s="2" t="n">
        <v>5027032</v>
      </c>
    </row>
    <row r="291">
      <c r="A291" t="n">
        <v>2568</v>
      </c>
      <c r="B291" t="inlineStr">
        <is>
          <t>ศรีรัช-วงแหวนรอบนอกกรุงเทพมหานคร</t>
        </is>
      </c>
      <c r="C291" t="inlineStr">
        <is>
          <t>ฉิมพลี</t>
        </is>
      </c>
      <c r="D291" s="2" t="n">
        <v>4921617</v>
      </c>
    </row>
    <row r="292">
      <c r="A292" t="n">
        <v>2568</v>
      </c>
      <c r="B292" t="inlineStr">
        <is>
          <t>ศรีรัช</t>
        </is>
      </c>
      <c r="C292" t="inlineStr">
        <is>
          <t>ประชาชื่น 1</t>
        </is>
      </c>
      <c r="D292" s="2" t="n">
        <v>4792513</v>
      </c>
    </row>
    <row r="293">
      <c r="A293" t="n">
        <v>2568</v>
      </c>
      <c r="B293" t="inlineStr">
        <is>
          <t>ฉลองรัช</t>
        </is>
      </c>
      <c r="C293" t="inlineStr">
        <is>
          <t>พระโขนง</t>
        </is>
      </c>
      <c r="D293" s="2" t="n">
        <v>4753479</v>
      </c>
    </row>
    <row r="294">
      <c r="A294" t="n">
        <v>2568</v>
      </c>
      <c r="B294" t="inlineStr">
        <is>
          <t>เฉลิมมหานคร</t>
        </is>
      </c>
      <c r="C294" t="inlineStr">
        <is>
          <t>สุขสวัสดิ์</t>
        </is>
      </c>
      <c r="D294" s="2" t="n">
        <v>4669737</v>
      </c>
    </row>
    <row r="295">
      <c r="A295" t="n">
        <v>2568</v>
      </c>
      <c r="B295" t="inlineStr">
        <is>
          <t>ศรีรัช</t>
        </is>
      </c>
      <c r="C295" t="inlineStr">
        <is>
          <t>บางซื่อ 2</t>
        </is>
      </c>
      <c r="D295" s="2" t="n">
        <v>4608083</v>
      </c>
    </row>
    <row r="296">
      <c r="A296" t="n">
        <v>2568</v>
      </c>
      <c r="B296" t="inlineStr">
        <is>
          <t>ฉลองรัช</t>
        </is>
      </c>
      <c r="C296" t="inlineStr">
        <is>
          <t>ประชาอุทิศ</t>
        </is>
      </c>
      <c r="D296" s="2" t="n">
        <v>4580227</v>
      </c>
    </row>
    <row r="297">
      <c r="A297" t="n">
        <v>2568</v>
      </c>
      <c r="B297" t="inlineStr">
        <is>
          <t>ทางพิเศษกาญจนาภิเษก(บางพลี-สุขสวัสดิ์)</t>
        </is>
      </c>
      <c r="C297" t="inlineStr">
        <is>
          <t>บางครุ (ทางออก 2)</t>
        </is>
      </c>
      <c r="D297" s="2" t="n">
        <v>4454575</v>
      </c>
    </row>
    <row r="298">
      <c r="A298" t="n">
        <v>2568</v>
      </c>
      <c r="B298" t="inlineStr">
        <is>
          <t>เฉลิมมหานคร</t>
        </is>
      </c>
      <c r="C298" t="inlineStr">
        <is>
          <t>ท่าเรือ 2</t>
        </is>
      </c>
      <c r="D298" s="2" t="n">
        <v>4433947</v>
      </c>
    </row>
    <row r="299">
      <c r="A299" t="n">
        <v>2568</v>
      </c>
      <c r="B299" t="inlineStr">
        <is>
          <t>ฉลองรัช</t>
        </is>
      </c>
      <c r="C299" t="inlineStr">
        <is>
          <t>อาจณรงค์ 3-S1</t>
        </is>
      </c>
      <c r="D299" s="2" t="n">
        <v>4302390</v>
      </c>
    </row>
    <row r="300">
      <c r="A300" t="n">
        <v>2568</v>
      </c>
      <c r="B300" t="inlineStr">
        <is>
          <t>ฉลองรัช</t>
        </is>
      </c>
      <c r="C300" t="inlineStr">
        <is>
          <t>อาจณรงค์ 2 (ท่าเรือ)</t>
        </is>
      </c>
      <c r="D300" s="2" t="n">
        <v>4254143</v>
      </c>
    </row>
    <row r="301">
      <c r="A301" t="n">
        <v>2568</v>
      </c>
      <c r="B301" t="inlineStr">
        <is>
          <t>เฉลิมมหานคร</t>
        </is>
      </c>
      <c r="C301" t="inlineStr">
        <is>
          <t>พระรามที่สี่ 2</t>
        </is>
      </c>
      <c r="D301" s="2" t="n">
        <v>4237778</v>
      </c>
    </row>
    <row r="302">
      <c r="A302" t="n">
        <v>2568</v>
      </c>
      <c r="B302" t="inlineStr">
        <is>
          <t>เฉลิมมหานคร</t>
        </is>
      </c>
      <c r="C302" t="inlineStr">
        <is>
          <t>สุขุมวิท</t>
        </is>
      </c>
      <c r="D302" s="2" t="n">
        <v>4182610</v>
      </c>
    </row>
    <row r="303">
      <c r="A303" t="n">
        <v>2568</v>
      </c>
      <c r="B303" t="inlineStr">
        <is>
          <t>ฉลองรัช</t>
        </is>
      </c>
      <c r="C303" t="inlineStr">
        <is>
          <t>พระราม 9-2</t>
        </is>
      </c>
      <c r="D303" s="2" t="n">
        <v>4157644</v>
      </c>
    </row>
    <row r="304">
      <c r="A304" t="n">
        <v>2568</v>
      </c>
      <c r="B304" t="inlineStr">
        <is>
          <t>ฉลองรัช</t>
        </is>
      </c>
      <c r="C304" t="inlineStr">
        <is>
          <t>รามอินทรา</t>
        </is>
      </c>
      <c r="D304" s="2" t="n">
        <v>4103358</v>
      </c>
    </row>
    <row r="305">
      <c r="A305" t="n">
        <v>2568</v>
      </c>
      <c r="B305" t="inlineStr">
        <is>
          <t>เฉลิมมหานคร</t>
        </is>
      </c>
      <c r="C305" t="inlineStr">
        <is>
          <t>สาธุประดิษฐ์ 1</t>
        </is>
      </c>
      <c r="D305" s="2" t="n">
        <v>4026984</v>
      </c>
    </row>
    <row r="306">
      <c r="A306" t="n">
        <v>2568</v>
      </c>
      <c r="B306" t="inlineStr">
        <is>
          <t>อุดรรัถยา</t>
        </is>
      </c>
      <c r="C306" t="inlineStr">
        <is>
          <t>ศรีสมาน (ขาออก)</t>
        </is>
      </c>
      <c r="D306" s="2" t="n">
        <v>4016748</v>
      </c>
    </row>
    <row r="307">
      <c r="A307" t="n">
        <v>2568</v>
      </c>
      <c r="B307" t="inlineStr">
        <is>
          <t>บูรพาวิถี</t>
        </is>
      </c>
      <c r="C307" t="inlineStr">
        <is>
          <t>บางสมัคร</t>
        </is>
      </c>
      <c r="D307" s="2" t="n">
        <v>3994553</v>
      </c>
    </row>
    <row r="308">
      <c r="A308" t="n">
        <v>2568</v>
      </c>
      <c r="B308" t="inlineStr">
        <is>
          <t>ฉลองรัช</t>
        </is>
      </c>
      <c r="C308" t="inlineStr">
        <is>
          <t>สุขาภิบาล 5-1</t>
        </is>
      </c>
      <c r="D308" s="2" t="n">
        <v>3914156</v>
      </c>
    </row>
    <row r="309">
      <c r="A309" t="n">
        <v>2568</v>
      </c>
      <c r="B309" t="inlineStr">
        <is>
          <t>เฉลิมมหานคร</t>
        </is>
      </c>
      <c r="C309" t="inlineStr">
        <is>
          <t>อาจณรงค์ 1 (บางนา)</t>
        </is>
      </c>
      <c r="D309" s="2" t="n">
        <v>3910923</v>
      </c>
    </row>
    <row r="310">
      <c r="A310" t="n">
        <v>2568</v>
      </c>
      <c r="B310" t="inlineStr">
        <is>
          <t>อุดรรัถยา</t>
        </is>
      </c>
      <c r="C310" t="inlineStr">
        <is>
          <t>ศรีสมาน (ขาเข้า)</t>
        </is>
      </c>
      <c r="D310" s="2" t="n">
        <v>3910726</v>
      </c>
    </row>
    <row r="311">
      <c r="A311" t="n">
        <v>2568</v>
      </c>
      <c r="B311" t="inlineStr">
        <is>
          <t>ศรีรัช</t>
        </is>
      </c>
      <c r="C311" t="inlineStr">
        <is>
          <t>จันทน์</t>
        </is>
      </c>
      <c r="D311" s="2" t="n">
        <v>3794256</v>
      </c>
    </row>
    <row r="312">
      <c r="A312" t="n">
        <v>2568</v>
      </c>
      <c r="B312" t="inlineStr">
        <is>
          <t>เฉลิมมหานคร</t>
        </is>
      </c>
      <c r="C312" t="inlineStr">
        <is>
          <t>สุขุมวิท 62</t>
        </is>
      </c>
      <c r="D312" s="2" t="n">
        <v>3774721</v>
      </c>
    </row>
    <row r="313">
      <c r="A313" t="n">
        <v>2568</v>
      </c>
      <c r="B313" t="inlineStr">
        <is>
          <t>ศรีรัช</t>
        </is>
      </c>
      <c r="C313" t="inlineStr">
        <is>
          <t>งามวงศ์วาน 2</t>
        </is>
      </c>
      <c r="D313" s="2" t="n">
        <v>3677531</v>
      </c>
    </row>
    <row r="314">
      <c r="A314" t="n">
        <v>2568</v>
      </c>
      <c r="B314" t="inlineStr">
        <is>
          <t>ฉลองรัช</t>
        </is>
      </c>
      <c r="C314" t="inlineStr">
        <is>
          <t>พัฒนาการ 1</t>
        </is>
      </c>
      <c r="D314" s="2" t="n">
        <v>3674487</v>
      </c>
    </row>
    <row r="315">
      <c r="A315" t="n">
        <v>2568</v>
      </c>
      <c r="B315" t="inlineStr">
        <is>
          <t>ทางพิเศษกาญจนาภิเษก(บางพลี-สุขสวัสดิ์)</t>
        </is>
      </c>
      <c r="C315" t="inlineStr">
        <is>
          <t>บางเมือง (ทางออก 3)</t>
        </is>
      </c>
      <c r="D315" s="2" t="n">
        <v>3674153</v>
      </c>
    </row>
    <row r="316">
      <c r="A316" t="n">
        <v>2568</v>
      </c>
      <c r="B316" t="inlineStr">
        <is>
          <t>บูรพาวิถี</t>
        </is>
      </c>
      <c r="C316" t="inlineStr">
        <is>
          <t>บางนา กม.6 (ขาเข้า) ช่องทางที่ 5 - 14</t>
        </is>
      </c>
      <c r="D316" s="2" t="n">
        <v>3573016</v>
      </c>
    </row>
    <row r="317">
      <c r="A317" t="n">
        <v>2568</v>
      </c>
      <c r="B317" t="inlineStr">
        <is>
          <t>ศรีรัช</t>
        </is>
      </c>
      <c r="C317" t="inlineStr">
        <is>
          <t>สะพานสว่าง</t>
        </is>
      </c>
      <c r="D317" s="2" t="n">
        <v>3549559</v>
      </c>
    </row>
    <row r="318">
      <c r="A318" t="n">
        <v>2568</v>
      </c>
      <c r="B318" t="inlineStr">
        <is>
          <t>ศรีรัช-วงแหวนรอบนอกกรุงเทพมหานคร</t>
        </is>
      </c>
      <c r="C318" t="inlineStr">
        <is>
          <t>กำแพงเพชร 2</t>
        </is>
      </c>
      <c r="D318" s="2" t="n">
        <v>3481365</v>
      </c>
    </row>
    <row r="319">
      <c r="A319" t="n">
        <v>2568</v>
      </c>
      <c r="B319" t="inlineStr">
        <is>
          <t>ศรีรัช-วงแหวนรอบนอกกรุงเทพมหานคร</t>
        </is>
      </c>
      <c r="C319" t="inlineStr">
        <is>
          <t>บรมราชชนนี</t>
        </is>
      </c>
      <c r="D319" s="2" t="n">
        <v>3460992</v>
      </c>
    </row>
    <row r="320">
      <c r="A320" t="n">
        <v>2568</v>
      </c>
      <c r="B320" t="inlineStr">
        <is>
          <t>บูรพาวิถี</t>
        </is>
      </c>
      <c r="C320" t="inlineStr">
        <is>
          <t>บางเสาธง</t>
        </is>
      </c>
      <c r="D320" s="2" t="n">
        <v>3460030</v>
      </c>
    </row>
    <row r="321">
      <c r="A321" t="n">
        <v>2568</v>
      </c>
      <c r="B321" t="inlineStr">
        <is>
          <t>ฉลองรัช</t>
        </is>
      </c>
      <c r="C321" t="inlineStr">
        <is>
          <t>ลาดพร้าว</t>
        </is>
      </c>
      <c r="D321" s="2" t="n">
        <v>3442405</v>
      </c>
    </row>
    <row r="322">
      <c r="A322" t="n">
        <v>2568</v>
      </c>
      <c r="B322" t="inlineStr">
        <is>
          <t>ศรีรัช-วงแหวนรอบนอกกรุงเทพมหานคร</t>
        </is>
      </c>
      <c r="C322" t="inlineStr">
        <is>
          <t>ตลิ่งชัน</t>
        </is>
      </c>
      <c r="D322" s="2" t="n">
        <v>3369490</v>
      </c>
    </row>
    <row r="323">
      <c r="A323" t="n">
        <v>2568</v>
      </c>
      <c r="B323" t="inlineStr">
        <is>
          <t>ทางพิเศษกาญจนาภิเษก(บางพลี-สุขสวัสดิ์)</t>
        </is>
      </c>
      <c r="C323" t="inlineStr">
        <is>
          <t>บางเมือง (ทางออก 2)</t>
        </is>
      </c>
      <c r="D323" s="2" t="n">
        <v>3346269</v>
      </c>
    </row>
    <row r="324">
      <c r="A324" t="n">
        <v>2568</v>
      </c>
      <c r="B324" t="inlineStr">
        <is>
          <t>ศรีรัช-วงแหวนรอบนอกกรุงเทพมหานคร</t>
        </is>
      </c>
      <c r="C324" t="inlineStr">
        <is>
          <t>บางซื่อ 1</t>
        </is>
      </c>
      <c r="D324" s="2" t="n">
        <v>3239587</v>
      </c>
    </row>
    <row r="325">
      <c r="A325" t="n">
        <v>2568</v>
      </c>
      <c r="B325" t="inlineStr">
        <is>
          <t>ทางพิเศษกาญจนาภิเษก(บางพลี-สุขสวัสดิ์)</t>
        </is>
      </c>
      <c r="C325" t="inlineStr">
        <is>
          <t>เทพารักษ์ (ทางออก 3)</t>
        </is>
      </c>
      <c r="D325" s="2" t="n">
        <v>3230703</v>
      </c>
    </row>
    <row r="326">
      <c r="A326" t="n">
        <v>2568</v>
      </c>
      <c r="B326" t="inlineStr">
        <is>
          <t>อุดรรัถยา</t>
        </is>
      </c>
      <c r="C326" t="inlineStr">
        <is>
          <t>บางปะอิน (ขาออก)</t>
        </is>
      </c>
      <c r="D326" s="2" t="n">
        <v>3104231</v>
      </c>
    </row>
    <row r="327">
      <c r="A327" t="n">
        <v>2568</v>
      </c>
      <c r="B327" t="inlineStr">
        <is>
          <t>ฉลองรัช</t>
        </is>
      </c>
      <c r="C327" t="inlineStr">
        <is>
          <t>อาจณรงค์ 2 (บางนา)</t>
        </is>
      </c>
      <c r="D327" s="2" t="n">
        <v>3102740</v>
      </c>
    </row>
    <row r="328">
      <c r="A328" t="n">
        <v>2568</v>
      </c>
      <c r="B328" t="inlineStr">
        <is>
          <t>ศรีรัช</t>
        </is>
      </c>
      <c r="C328" t="inlineStr">
        <is>
          <t>คลองประปา 2</t>
        </is>
      </c>
      <c r="D328" s="2" t="n">
        <v>3084822</v>
      </c>
    </row>
    <row r="329">
      <c r="A329" t="n">
        <v>2568</v>
      </c>
      <c r="B329" t="inlineStr">
        <is>
          <t>ศรีรัช</t>
        </is>
      </c>
      <c r="C329" t="inlineStr">
        <is>
          <t>งามวงศ์วาน 1</t>
        </is>
      </c>
      <c r="D329" s="2" t="n">
        <v>3080226</v>
      </c>
    </row>
    <row r="330">
      <c r="A330" t="n">
        <v>2568</v>
      </c>
      <c r="B330" t="inlineStr">
        <is>
          <t>อุดรรัถยา</t>
        </is>
      </c>
      <c r="C330" t="inlineStr">
        <is>
          <t>เชียงราก (ขาเข้า)</t>
        </is>
      </c>
      <c r="D330" s="2" t="n">
        <v>3057667</v>
      </c>
    </row>
    <row r="331">
      <c r="A331" t="n">
        <v>2568</v>
      </c>
      <c r="B331" t="inlineStr">
        <is>
          <t>อุดรรัถยา</t>
        </is>
      </c>
      <c r="C331" t="inlineStr">
        <is>
          <t>เชียงราก (ขาออก)</t>
        </is>
      </c>
      <c r="D331" s="2" t="n">
        <v>3027514</v>
      </c>
    </row>
    <row r="332">
      <c r="A332" t="n">
        <v>2568</v>
      </c>
      <c r="B332" t="inlineStr">
        <is>
          <t>บูรพาวิถี</t>
        </is>
      </c>
      <c r="C332" t="inlineStr">
        <is>
          <t>บางพลี 2</t>
        </is>
      </c>
      <c r="D332" s="2" t="n">
        <v>2935186</v>
      </c>
    </row>
    <row r="333">
      <c r="A333" t="n">
        <v>2568</v>
      </c>
      <c r="B333" t="inlineStr">
        <is>
          <t>ทางพิเศษกาญจนาภิเษก(บางพลี-สุขสวัสดิ์)</t>
        </is>
      </c>
      <c r="C333" t="inlineStr">
        <is>
          <t>เทพารักษ์ (ทางออก 4)</t>
        </is>
      </c>
      <c r="D333" s="2" t="n">
        <v>2887342</v>
      </c>
    </row>
    <row r="334">
      <c r="A334" t="n">
        <v>2568</v>
      </c>
      <c r="B334" t="inlineStr">
        <is>
          <t>ทางพิเศษกาญจนาภิเษก(บางพลี-สุขสวัสดิ์)</t>
        </is>
      </c>
      <c r="C334" t="inlineStr">
        <is>
          <t>บางเมือง (ทางออก 1)</t>
        </is>
      </c>
      <c r="D334" s="2" t="n">
        <v>2846024</v>
      </c>
    </row>
    <row r="335">
      <c r="A335" t="n">
        <v>2568</v>
      </c>
      <c r="B335" t="inlineStr">
        <is>
          <t>อุดรรัถยา</t>
        </is>
      </c>
      <c r="C335" t="inlineStr">
        <is>
          <t>บางพูน (ขาเข้า)</t>
        </is>
      </c>
      <c r="D335" s="2" t="n">
        <v>2841607</v>
      </c>
    </row>
    <row r="336">
      <c r="A336" t="n">
        <v>2568</v>
      </c>
      <c r="B336" t="inlineStr">
        <is>
          <t>บูรพาวิถี</t>
        </is>
      </c>
      <c r="C336" t="inlineStr">
        <is>
          <t>เมืองใหม่บางพลี</t>
        </is>
      </c>
      <c r="D336" s="2" t="n">
        <v>2830458</v>
      </c>
    </row>
    <row r="337">
      <c r="A337" t="n">
        <v>2568</v>
      </c>
      <c r="B337" t="inlineStr">
        <is>
          <t>เฉลิมมหานคร</t>
        </is>
      </c>
      <c r="C337" t="inlineStr">
        <is>
          <t>อาจณรงค์</t>
        </is>
      </c>
      <c r="D337" s="2" t="n">
        <v>2821747</v>
      </c>
    </row>
    <row r="338">
      <c r="A338" t="n">
        <v>2568</v>
      </c>
      <c r="B338" t="inlineStr">
        <is>
          <t>ฉลองรัช</t>
        </is>
      </c>
      <c r="C338" t="inlineStr">
        <is>
          <t>พัฒนาการ 2</t>
        </is>
      </c>
      <c r="D338" s="2" t="n">
        <v>2739274</v>
      </c>
    </row>
    <row r="339">
      <c r="A339" t="n">
        <v>2568</v>
      </c>
      <c r="B339" t="inlineStr">
        <is>
          <t>อุดรรัถยา</t>
        </is>
      </c>
      <c r="C339" t="inlineStr">
        <is>
          <t>บางปะอิน (ขาเข้า)</t>
        </is>
      </c>
      <c r="D339" s="2" t="n">
        <v>2680434</v>
      </c>
    </row>
    <row r="340">
      <c r="A340" t="n">
        <v>2568</v>
      </c>
      <c r="B340" t="inlineStr">
        <is>
          <t>ทางพิเศษกาญจนาภิเษก(บางพลี-สุขสวัสดิ์)</t>
        </is>
      </c>
      <c r="C340" t="inlineStr">
        <is>
          <t>ปากน้ำ (ทางออก 1)</t>
        </is>
      </c>
      <c r="D340" s="2" t="n">
        <v>2527169</v>
      </c>
    </row>
    <row r="341">
      <c r="A341" t="n">
        <v>2568</v>
      </c>
      <c r="B341" t="inlineStr">
        <is>
          <t>เฉลิมมหานคร</t>
        </is>
      </c>
      <c r="C341" t="inlineStr">
        <is>
          <t>ท่าเรือ 1</t>
        </is>
      </c>
      <c r="D341" s="2" t="n">
        <v>2513890</v>
      </c>
    </row>
    <row r="342">
      <c r="A342" t="n">
        <v>2568</v>
      </c>
      <c r="B342" t="inlineStr">
        <is>
          <t>เฉลิมมหานคร</t>
        </is>
      </c>
      <c r="C342" t="inlineStr">
        <is>
          <t>ดินแดง 1</t>
        </is>
      </c>
      <c r="D342" s="2" t="n">
        <v>2469478</v>
      </c>
    </row>
    <row r="343">
      <c r="A343" t="n">
        <v>2568</v>
      </c>
      <c r="B343" t="inlineStr">
        <is>
          <t>ศรีรัช</t>
        </is>
      </c>
      <c r="C343" t="inlineStr">
        <is>
          <t>รามคำแหง</t>
        </is>
      </c>
      <c r="D343" s="2" t="n">
        <v>2352473</v>
      </c>
    </row>
    <row r="344">
      <c r="A344" t="n">
        <v>2568</v>
      </c>
      <c r="B344" t="inlineStr">
        <is>
          <t>ทางพิเศษกาญจนาภิเษก(บางพลี-สุขสวัสดิ์)</t>
        </is>
      </c>
      <c r="C344" t="inlineStr">
        <is>
          <t>บางแก้ว (ทางออก 2)</t>
        </is>
      </c>
      <c r="D344" s="2" t="n">
        <v>2324917</v>
      </c>
    </row>
    <row r="345">
      <c r="A345" t="n">
        <v>2568</v>
      </c>
      <c r="B345" t="inlineStr">
        <is>
          <t>เฉลิมมหานคร</t>
        </is>
      </c>
      <c r="C345" t="inlineStr">
        <is>
          <t>เพชรบุรี</t>
        </is>
      </c>
      <c r="D345" s="2" t="n">
        <v>2289920</v>
      </c>
    </row>
    <row r="346">
      <c r="A346" t="n">
        <v>2568</v>
      </c>
      <c r="B346" t="inlineStr">
        <is>
          <t>อุดรรัถยา</t>
        </is>
      </c>
      <c r="C346" t="inlineStr">
        <is>
          <t>บางพูน (ขาออก)</t>
        </is>
      </c>
      <c r="D346" s="2" t="n">
        <v>2183479</v>
      </c>
    </row>
    <row r="347">
      <c r="A347" t="n">
        <v>2568</v>
      </c>
      <c r="B347" t="inlineStr">
        <is>
          <t>ศรีรัช</t>
        </is>
      </c>
      <c r="C347" t="inlineStr">
        <is>
          <t>คลองประปา 1</t>
        </is>
      </c>
      <c r="D347" s="2" t="n">
        <v>2135572</v>
      </c>
    </row>
    <row r="348">
      <c r="A348" t="n">
        <v>2568</v>
      </c>
      <c r="B348" t="inlineStr">
        <is>
          <t>เฉลิมมหานคร</t>
        </is>
      </c>
      <c r="C348" t="inlineStr">
        <is>
          <t>สุขสวัสดิ์ 1 (ทางเข้า)</t>
        </is>
      </c>
      <c r="D348" s="2" t="n">
        <v>2078297</v>
      </c>
    </row>
    <row r="349">
      <c r="A349" t="n">
        <v>2568</v>
      </c>
      <c r="B349" t="inlineStr">
        <is>
          <t>ศรีรัช-วงแหวนรอบนอกกรุงเทพมหานคร</t>
        </is>
      </c>
      <c r="C349" t="inlineStr">
        <is>
          <t>สะพานพระราม 7</t>
        </is>
      </c>
      <c r="D349" s="2" t="n">
        <v>2021966</v>
      </c>
    </row>
    <row r="350">
      <c r="A350" t="n">
        <v>2568</v>
      </c>
      <c r="B350" t="inlineStr">
        <is>
          <t>ศรีรัช</t>
        </is>
      </c>
      <c r="C350" t="inlineStr">
        <is>
          <t>บางซื่อ</t>
        </is>
      </c>
      <c r="D350" s="2" t="n">
        <v>2010419</v>
      </c>
    </row>
    <row r="351">
      <c r="A351" t="n">
        <v>2568</v>
      </c>
      <c r="B351" t="inlineStr">
        <is>
          <t>ทางพิเศษกาญจนาภิเษก(บางพลี-สุขสวัสดิ์)</t>
        </is>
      </c>
      <c r="C351" t="inlineStr">
        <is>
          <t>ปากน้ำ (ทางออก 2)</t>
        </is>
      </c>
      <c r="D351" s="2" t="n">
        <v>1969301</v>
      </c>
    </row>
    <row r="352">
      <c r="A352" t="n">
        <v>2568</v>
      </c>
      <c r="B352" t="inlineStr">
        <is>
          <t>ศรีรัช</t>
        </is>
      </c>
      <c r="C352" t="inlineStr">
        <is>
          <t>พหลโยธิน 1</t>
        </is>
      </c>
      <c r="D352" s="2" t="n">
        <v>1949143</v>
      </c>
    </row>
    <row r="353">
      <c r="A353" t="n">
        <v>2568</v>
      </c>
      <c r="B353" t="inlineStr">
        <is>
          <t>บูรพาวิถี</t>
        </is>
      </c>
      <c r="C353" t="inlineStr">
        <is>
          <t>บางพลี 1</t>
        </is>
      </c>
      <c r="D353" s="2" t="n">
        <v>1919347</v>
      </c>
    </row>
    <row r="354">
      <c r="A354" t="n">
        <v>2568</v>
      </c>
      <c r="B354" t="inlineStr">
        <is>
          <t>ทางพิเศษกาญจนาภิเษก(บางพลี-สุขสวัสดิ์)</t>
        </is>
      </c>
      <c r="C354" t="inlineStr">
        <is>
          <t>เทพารักษ์ (ทางออก 2)</t>
        </is>
      </c>
      <c r="D354" s="2" t="n">
        <v>1862604</v>
      </c>
    </row>
    <row r="355">
      <c r="A355" t="n">
        <v>2568</v>
      </c>
      <c r="B355" t="inlineStr">
        <is>
          <t>ศรีรัช</t>
        </is>
      </c>
      <c r="C355" t="inlineStr">
        <is>
          <t>พหลโยธิน 2</t>
        </is>
      </c>
      <c r="D355" s="2" t="n">
        <v>1830834</v>
      </c>
    </row>
    <row r="356">
      <c r="A356" t="n">
        <v>2568</v>
      </c>
      <c r="B356" t="inlineStr">
        <is>
          <t>อุดรรัถยา</t>
        </is>
      </c>
      <c r="C356" t="inlineStr">
        <is>
          <t>เมืองทองธานี (ขาเข้า)</t>
        </is>
      </c>
      <c r="D356" s="2" t="n">
        <v>1809327</v>
      </c>
    </row>
    <row r="357">
      <c r="A357" t="n">
        <v>2568</v>
      </c>
      <c r="B357" t="inlineStr">
        <is>
          <t>ทางพิเศษกาญจนาภิเษก(บางพลี-สุขสวัสดิ์)</t>
        </is>
      </c>
      <c r="C357" t="inlineStr">
        <is>
          <t>บางขุนเทียน (ทางออก 2)</t>
        </is>
      </c>
      <c r="D357" s="2" t="n">
        <v>1773195</v>
      </c>
    </row>
    <row r="358">
      <c r="A358" t="n">
        <v>2568</v>
      </c>
      <c r="B358" t="inlineStr">
        <is>
          <t>ศรีรัช</t>
        </is>
      </c>
      <c r="C358" t="inlineStr">
        <is>
          <t>สาธุประดิษฐ์ 3</t>
        </is>
      </c>
      <c r="D358" s="2" t="n">
        <v>1765114</v>
      </c>
    </row>
    <row r="359">
      <c r="A359" t="n">
        <v>2568</v>
      </c>
      <c r="B359" t="inlineStr">
        <is>
          <t>ศรีรัช</t>
        </is>
      </c>
      <c r="C359" t="inlineStr">
        <is>
          <t>พระราม 3</t>
        </is>
      </c>
      <c r="D359" s="2" t="n">
        <v>1712719</v>
      </c>
    </row>
    <row r="360">
      <c r="A360" t="n">
        <v>2568</v>
      </c>
      <c r="B360" t="inlineStr">
        <is>
          <t>บูรพาวิถี</t>
        </is>
      </c>
      <c r="C360" t="inlineStr">
        <is>
          <t>บางแก้ว</t>
        </is>
      </c>
      <c r="D360" s="2" t="n">
        <v>1689669</v>
      </c>
    </row>
    <row r="361">
      <c r="A361" t="n">
        <v>2568</v>
      </c>
      <c r="B361" t="inlineStr">
        <is>
          <t>ศรีรัช</t>
        </is>
      </c>
      <c r="C361" t="inlineStr">
        <is>
          <t>รัชดาภิเษก</t>
        </is>
      </c>
      <c r="D361" s="2" t="n">
        <v>1610303</v>
      </c>
    </row>
    <row r="362">
      <c r="A362" t="n">
        <v>2568</v>
      </c>
      <c r="B362" t="inlineStr">
        <is>
          <t>ฉลองรัช</t>
        </is>
      </c>
      <c r="C362" t="inlineStr">
        <is>
          <t>สุขาภิบาล 5-2</t>
        </is>
      </c>
      <c r="D362" s="2" t="n">
        <v>1588370</v>
      </c>
    </row>
    <row r="363">
      <c r="A363" t="n">
        <v>2568</v>
      </c>
      <c r="B363" t="inlineStr">
        <is>
          <t>ศรีรัช</t>
        </is>
      </c>
      <c r="C363" t="inlineStr">
        <is>
          <t>สาทร</t>
        </is>
      </c>
      <c r="D363" s="2" t="n">
        <v>1572259</v>
      </c>
    </row>
    <row r="364">
      <c r="A364" t="n">
        <v>2568</v>
      </c>
      <c r="B364" t="inlineStr">
        <is>
          <t>บูรพาวิถี</t>
        </is>
      </c>
      <c r="C364" t="inlineStr">
        <is>
          <t>บางบ่อ</t>
        </is>
      </c>
      <c r="D364" s="2" t="n">
        <v>1506498</v>
      </c>
    </row>
    <row r="365">
      <c r="A365" t="n">
        <v>2568</v>
      </c>
      <c r="B365" t="inlineStr">
        <is>
          <t>บูรพาวิถี</t>
        </is>
      </c>
      <c r="C365" t="inlineStr">
        <is>
          <t>บางปะกง 1</t>
        </is>
      </c>
      <c r="D365" s="2" t="n">
        <v>1502897</v>
      </c>
    </row>
    <row r="366">
      <c r="A366" t="n">
        <v>2568</v>
      </c>
      <c r="B366" t="inlineStr">
        <is>
          <t>ทางพิเศษกาญจนาภิเษก(บางพลี-สุขสวัสดิ์)</t>
        </is>
      </c>
      <c r="C366" t="inlineStr">
        <is>
          <t>ปากน้ำ (ทางออก 4)</t>
        </is>
      </c>
      <c r="D366" s="2" t="n">
        <v>1500844</v>
      </c>
    </row>
    <row r="367">
      <c r="A367" t="n">
        <v>2568</v>
      </c>
      <c r="B367" t="inlineStr">
        <is>
          <t>อุดรรัถยา</t>
        </is>
      </c>
      <c r="C367" t="inlineStr">
        <is>
          <t>เมืองทองธานี (ขาออก)</t>
        </is>
      </c>
      <c r="D367" s="2" t="n">
        <v>1418730</v>
      </c>
    </row>
    <row r="368">
      <c r="A368" t="n">
        <v>2568</v>
      </c>
      <c r="B368" t="inlineStr">
        <is>
          <t>บูรพาวิถี</t>
        </is>
      </c>
      <c r="C368" t="inlineStr">
        <is>
          <t>สุวรรณภูมิ 1</t>
        </is>
      </c>
      <c r="D368" s="2" t="n">
        <v>1414515</v>
      </c>
    </row>
    <row r="369">
      <c r="A369" t="n">
        <v>2568</v>
      </c>
      <c r="B369" t="inlineStr">
        <is>
          <t>ศรีรัช-วงแหวนรอบนอกกรุงเทพมหานคร</t>
        </is>
      </c>
      <c r="C369" t="inlineStr">
        <is>
          <t>บางบำหรุ</t>
        </is>
      </c>
      <c r="D369" s="2" t="n">
        <v>1394782</v>
      </c>
    </row>
    <row r="370">
      <c r="A370" t="n">
        <v>2568</v>
      </c>
      <c r="B370" t="inlineStr">
        <is>
          <t>ศรีรัช</t>
        </is>
      </c>
      <c r="C370" t="inlineStr">
        <is>
          <t>อโศก 2</t>
        </is>
      </c>
      <c r="D370" s="2" t="n">
        <v>1379771</v>
      </c>
    </row>
    <row r="371">
      <c r="A371" t="n">
        <v>2568</v>
      </c>
      <c r="B371" t="inlineStr">
        <is>
          <t>ศรีรัช</t>
        </is>
      </c>
      <c r="C371" t="inlineStr">
        <is>
          <t>อุรุพงษ์</t>
        </is>
      </c>
      <c r="D371" s="2" t="n">
        <v>1357190</v>
      </c>
    </row>
    <row r="372">
      <c r="A372" t="n">
        <v>2568</v>
      </c>
      <c r="B372" t="inlineStr">
        <is>
          <t>เฉลิมมหานคร</t>
        </is>
      </c>
      <c r="C372" t="inlineStr">
        <is>
          <t>ลุมพินี</t>
        </is>
      </c>
      <c r="D372" s="2" t="n">
        <v>1338628</v>
      </c>
    </row>
    <row r="373">
      <c r="A373" t="n">
        <v>2568</v>
      </c>
      <c r="B373" t="inlineStr">
        <is>
          <t>บูรพาวิถี</t>
        </is>
      </c>
      <c r="C373" t="inlineStr">
        <is>
          <t>บางพลีน้อย</t>
        </is>
      </c>
      <c r="D373" s="2" t="n">
        <v>1297919</v>
      </c>
    </row>
    <row r="374">
      <c r="A374" t="n">
        <v>2568</v>
      </c>
      <c r="B374" t="inlineStr">
        <is>
          <t>เฉลิมมหานคร</t>
        </is>
      </c>
      <c r="C374" t="inlineStr">
        <is>
          <t>สาธุประดิษฐ์ 2</t>
        </is>
      </c>
      <c r="D374" s="2" t="n">
        <v>1109286</v>
      </c>
    </row>
    <row r="375">
      <c r="A375" t="n">
        <v>2568</v>
      </c>
      <c r="B375" t="inlineStr">
        <is>
          <t>ศรีรัช-วงแหวนรอบนอกกรุงเทพมหานคร</t>
        </is>
      </c>
      <c r="C375" t="inlineStr">
        <is>
          <t>บางกรวย</t>
        </is>
      </c>
      <c r="D375" s="2" t="n">
        <v>878414</v>
      </c>
    </row>
    <row r="376">
      <c r="A376" t="n">
        <v>2568</v>
      </c>
      <c r="B376" t="inlineStr">
        <is>
          <t>บูรพาวิถี</t>
        </is>
      </c>
      <c r="C376" t="inlineStr">
        <is>
          <t>สุวรรณภูมิ 2</t>
        </is>
      </c>
      <c r="D376" s="2" t="n">
        <v>877279</v>
      </c>
    </row>
    <row r="377">
      <c r="A377" t="n">
        <v>2568</v>
      </c>
      <c r="B377" t="inlineStr">
        <is>
          <t>บูรพาวิถี</t>
        </is>
      </c>
      <c r="C377" t="inlineStr">
        <is>
          <t>บางนา กม.9-1</t>
        </is>
      </c>
      <c r="D377" s="2" t="n">
        <v>764549</v>
      </c>
    </row>
    <row r="378">
      <c r="A378" t="n">
        <v>2568</v>
      </c>
      <c r="B378" t="inlineStr">
        <is>
          <t>ทางพิเศษกาญจนาภิเษก(บางพลี-สุขสวัสดิ์)</t>
        </is>
      </c>
      <c r="C378" t="inlineStr">
        <is>
          <t>ปากน้ำ (ทางออก 3)</t>
        </is>
      </c>
      <c r="D378" s="2" t="n">
        <v>730531</v>
      </c>
    </row>
    <row r="379">
      <c r="A379" t="n">
        <v>2568</v>
      </c>
      <c r="B379" t="inlineStr">
        <is>
          <t>ทางพิเศษกาญจนาภิเษก(บางพลี-สุขสวัสดิ์)</t>
        </is>
      </c>
      <c r="C379" t="inlineStr">
        <is>
          <t>เทพารักษ์ (ทางออก 1)</t>
        </is>
      </c>
      <c r="D379" s="2" t="n">
        <v>685729</v>
      </c>
    </row>
    <row r="380">
      <c r="A380" t="n">
        <v>2568</v>
      </c>
      <c r="B380" t="inlineStr">
        <is>
          <t>บูรพาวิถี</t>
        </is>
      </c>
      <c r="C380" t="inlineStr">
        <is>
          <t>บางนา กม.9-2</t>
        </is>
      </c>
      <c r="D380" s="2" t="n">
        <v>578476</v>
      </c>
    </row>
    <row r="381">
      <c r="A381" t="n">
        <v>2568</v>
      </c>
      <c r="B381" t="inlineStr">
        <is>
          <t>เฉลิมมหานคร</t>
        </is>
      </c>
      <c r="C381" t="inlineStr">
        <is>
          <t>อาจณรงค์ 3</t>
        </is>
      </c>
      <c r="D381" s="2" t="n">
        <v>484097</v>
      </c>
    </row>
    <row r="382">
      <c r="A382" t="n">
        <v>2568</v>
      </c>
      <c r="B382" t="inlineStr">
        <is>
          <t>บูรพาวิถี</t>
        </is>
      </c>
      <c r="C382" t="inlineStr">
        <is>
          <t>บางปะกง 2</t>
        </is>
      </c>
      <c r="D382" s="2" t="n">
        <v>274160</v>
      </c>
    </row>
    <row r="383">
      <c r="A383" t="n">
        <v>2568</v>
      </c>
      <c r="B383" t="inlineStr">
        <is>
          <t>บูรพาวิถี</t>
        </is>
      </c>
      <c r="C383" t="inlineStr">
        <is>
          <t>บางวัว</t>
        </is>
      </c>
      <c r="D383" s="2" t="n">
        <v>255217</v>
      </c>
    </row>
    <row r="384">
      <c r="A384" t="n">
        <v>2568</v>
      </c>
      <c r="B384" t="inlineStr">
        <is>
          <t>ศรีรัช-วงแหวนรอบนอกกรุงเทพมหานคร</t>
        </is>
      </c>
      <c r="C384" t="inlineStr">
        <is>
          <t>บางพลัด</t>
        </is>
      </c>
      <c r="D384" s="2" t="n">
        <v>61272</v>
      </c>
    </row>
  </sheetData>
  <autoFilter ref="A1:E3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0" customWidth="1" min="2" max="2"/>
  </cols>
  <sheetData>
    <row r="1" ht="42" customHeight="1">
      <c r="A1" s="1" t="inlineStr">
        <is>
          <t>รายการ</t>
        </is>
      </c>
      <c r="B1" s="1" t="inlineStr">
        <is>
          <t>รายละเอียด</t>
        </is>
      </c>
    </row>
    <row r="2">
      <c r="A2" t="inlineStr">
        <is>
          <t>แหล่งข้อมูล</t>
        </is>
      </c>
      <c r="B2" t="inlineStr">
        <is>
          <t>API สถิติปริมาณจราจรจำแนกตามด่าน ของการทางพิเศษแห่งประเทศไทย: https://exat-man.web.app/api/EXAT_TrafficStatByPlaza/{ปีงบ} (เปิดลิงก์ในเบราว์เซอร์ได้เลย ได้ข้อมูลแบบ JSON)</t>
        </is>
      </c>
    </row>
    <row r="3">
      <c r="B3" t="inlineStr">
        <is>
          <t>เอกสาร API (หน้าเว็บอธิบายวิธีเรียก): https://exat-man.web.app/docs</t>
        </is>
      </c>
    </row>
    <row r="4">
      <c r="B4" t="inlineStr">
        <is>
          <t>หน้าชุดข้อมูลในแคตตาล็อกข้อมูลเปิดของ กทพ.: https://catalog.exat.co.th/dataset/4f2d1df0-4ee3-4f29-8e38-b4be3ae140d1</t>
        </is>
      </c>
    </row>
    <row r="5">
      <c r="B5" t="inlineStr">
        <is>
          <t>ไฟล์ CSV ในแคตตาล็อก (มีปีงบ 2564–2566 ใช้ตรวจเทียบปี 2566): https://catalog.exat.co.th/dataset/4f2d1df0-4ee3-4f29-8e38-b4be3ae140d1/resource/029a49c5-81f3-4bde-a0cc-edb284a8a9bf</t>
        </is>
      </c>
    </row>
    <row r="6">
      <c r="A6" t="inlineStr">
        <is>
          <t>วิธีคำนวณ V</t>
        </is>
      </c>
      <c r="B6" t="inlineStr">
        <is>
          <t>ยอดรถผ่านด่านทั้งปีของทุกด่านในสายเดียวกัน รวมกัน ÷ 365 = รถเฉลี่ยต่อวันของสาย แล้วเฉลี่ย 3 ปีงบ (2566, 2567, 2568)</t>
        </is>
      </c>
    </row>
    <row r="7">
      <c r="A7" t="inlineStr">
        <is>
          <t>ตรวจเทียบแล้ว</t>
        </is>
      </c>
      <c r="B7" t="inlineStr">
        <is>
          <t>ยอดรวมปี 2566 จาก API = จากไฟล์ CSV ในแคตตาล็อก ทุกสาย (ตรงกันทุกคัน)</t>
        </is>
      </c>
    </row>
    <row r="8">
      <c r="A8" t="inlineStr">
        <is>
          <t>ข้อควรระวัง ①</t>
        </is>
      </c>
      <c r="B8" t="inlineStr">
        <is>
          <t>เป็นปริมาณรถที่ขึ้นทางพิเศษผ่านด่านของทั้งสาย ไม่ใช่ AADT ที่วัดตรงจุดเกิดเหตุ ทุกคลัสเตอร์ในสายเดียวกันจึงได้ค่า V เท่ากัน</t>
        </is>
      </c>
    </row>
    <row r="9">
      <c r="A9" t="inlineStr">
        <is>
          <t>ข้อควรระวัง ②</t>
        </is>
      </c>
      <c r="B9" t="inlineStr">
        <is>
          <t>ด่านประชาชื่น (ขาเข้า-ในเมือง) กับ (ขาเข้า-นอกเมือง) ของสายศรีรัช มีตัวเลขเท่ากันทุกปี (ทำเครื่องหมาย 'ซ้ำ' ในชีตรายด่าน) อาจเป็นการบันทึกซ้ำของ กทพ. แต่ใช้ตามตัวเลขที่ กทพ. เผยแพร่</t>
        </is>
      </c>
    </row>
    <row r="10">
      <c r="A10" t="inlineStr">
        <is>
          <t>ข้อควรระวัง ③</t>
        </is>
      </c>
      <c r="B10" t="inlineStr">
        <is>
          <t>ปีงบ 2566 = 1 ต.ค. 2565 – 30 ก.ย. 2566 (ปีงบประมาณ ไม่ใช่ปีปฏิทิน)</t>
        </is>
      </c>
    </row>
    <row r="11">
      <c r="A11" t="inlineStr">
        <is>
          <t>สูตร</t>
        </is>
      </c>
      <c r="B11" t="inlineStr">
        <is>
          <t>R = A × 1,000,000 / (365 × T × V × L) · T = 3 ปี · L = 1 กม.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2026-10-12T08:34:05Z</dcterms:created>
  <dcterms:modified xmlns:dcterms="http://purl.org/dc/terms/" xmlns:xsi="http://www.w3.org/2001/XMLSchema-instance" xsi:type="dcterms:W3CDTF">2026-10-12T08:34:05Z</dcterms:modified>
</cp:coreProperties>
</file>